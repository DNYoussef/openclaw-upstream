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5"/>
    <sheet state="visible" name="Growth Hypotheses" sheetId="2" r:id="rId6"/>
    <sheet state="visible" name="Costs Hypotheses" sheetId="3" r:id="rId7"/>
    <sheet state="visible" name="Financial Model" sheetId="4" r:id="rId8"/>
    <sheet state="visible" name="Scenario Comparison" sheetId="5" r:id="rId9"/>
    <sheet state="visible" name="Recap (1)" sheetId="6" r:id="rId10"/>
    <sheet state="visible" name="Growth Hypotheses (1)" sheetId="7" r:id="rId11"/>
    <sheet state="visible" name="Costs Hypotheses (1)" sheetId="8" r:id="rId12"/>
    <sheet state="visible" name="Financial Model (1)" sheetId="9" r:id="rId13"/>
    <sheet state="visible" name="Base Case P&amp;L" sheetId="10" r:id="rId14"/>
    <sheet state="visible" name="Bear Case P&amp;L" sheetId="11" r:id="rId15"/>
    <sheet state="visible" name="Bull Case P&amp;L" sheetId="12" r:id="rId16"/>
  </sheets>
  <definedNames/>
  <calcPr/>
</workbook>
</file>

<file path=xl/sharedStrings.xml><?xml version="1.0" encoding="utf-8"?>
<sst xmlns="http://schemas.openxmlformats.org/spreadsheetml/2006/main" count="530" uniqueCount="225">
  <si>
    <t>Year 1</t>
  </si>
  <si>
    <t>Year 2</t>
  </si>
  <si>
    <t>Revenue</t>
  </si>
  <si>
    <t>ARR</t>
  </si>
  <si>
    <t>Note: To edit the numbers, first make a copy of this sheet (File &gt; Make a copy).</t>
  </si>
  <si>
    <t>Costs</t>
  </si>
  <si>
    <t>Made by Gary Gaspar</t>
  </si>
  <si>
    <t>Costs of Good Sold</t>
  </si>
  <si>
    <t>Sales &amp; Marketing</t>
  </si>
  <si>
    <t>Research &amp; Development</t>
  </si>
  <si>
    <t>General &amp; Administrative</t>
  </si>
  <si>
    <t>EBIT</t>
  </si>
  <si>
    <t>Cash needed to cover costs</t>
  </si>
  <si>
    <t>Hypotheses</t>
  </si>
  <si>
    <t>Q1</t>
  </si>
  <si>
    <t>Q2</t>
  </si>
  <si>
    <t>Q3</t>
  </si>
  <si>
    <t>Q4</t>
  </si>
  <si>
    <t>Average monthly price of subscriptions</t>
  </si>
  <si>
    <t xml:space="preserve">Monthly growth rate in number of new customer </t>
  </si>
  <si>
    <t>Monthly revenue churn rate</t>
  </si>
  <si>
    <t>Number of new customers added last month</t>
  </si>
  <si>
    <t>Cannot be ZERO</t>
  </si>
  <si>
    <t>Starting MRR</t>
  </si>
  <si>
    <t>Personnel</t>
  </si>
  <si>
    <t>Name (optional)</t>
  </si>
  <si>
    <t>Yearly Cost (tax included)</t>
  </si>
  <si>
    <t>Starting month</t>
  </si>
  <si>
    <t>Category</t>
  </si>
  <si>
    <t>CEO</t>
  </si>
  <si>
    <t>David Youssef</t>
  </si>
  <si>
    <t>Engineer</t>
  </si>
  <si>
    <t>Igor Malovitsa (CTO)</t>
  </si>
  <si>
    <t>Eng Hire #1</t>
  </si>
  <si>
    <t>Eng Hire #2</t>
  </si>
  <si>
    <t>Marketing spending</t>
  </si>
  <si>
    <t>% of MRR</t>
  </si>
  <si>
    <t>Adwords</t>
  </si>
  <si>
    <t>Social / display ads</t>
  </si>
  <si>
    <t>Cost of good sold</t>
  </si>
  <si>
    <t>Payement Processing fees</t>
  </si>
  <si>
    <t>Hosting &amp; Bandwidth</t>
  </si>
  <si>
    <t>Miscellaneous</t>
  </si>
  <si>
    <t>AI Agent APIs (3 x $1K/mo)</t>
  </si>
  <si>
    <t>Software subscriptions (CRM, monitoring)</t>
  </si>
  <si>
    <t>Legal, accountants, IP/patents</t>
  </si>
  <si>
    <t>Travel / conferences</t>
  </si>
  <si>
    <t>Remote work (no office)</t>
  </si>
  <si>
    <t>Internet, supplies</t>
  </si>
  <si>
    <t>Insurance (D&amp;O, E&amp;O)</t>
  </si>
  <si>
    <t>Content / SEO / community</t>
  </si>
  <si>
    <t>Cognitive attestation license (future)</t>
  </si>
  <si>
    <t>Month</t>
  </si>
  <si>
    <t>Month N</t>
  </si>
  <si>
    <t>REVENUE</t>
  </si>
  <si>
    <t>Revenue &amp; customer Growth</t>
  </si>
  <si>
    <t>Average revenue per new customer</t>
  </si>
  <si>
    <t>New customers</t>
  </si>
  <si>
    <t>Churn Rate</t>
  </si>
  <si>
    <t>Month Recurring Revenue</t>
  </si>
  <si>
    <t>New MRR</t>
  </si>
  <si>
    <t>Lost MRR</t>
  </si>
  <si>
    <t>MRR from last month</t>
  </si>
  <si>
    <t>Gross MRR</t>
  </si>
  <si>
    <t>MRR Growth rate</t>
  </si>
  <si>
    <t>Payment Processing</t>
  </si>
  <si>
    <t>Net MRR</t>
  </si>
  <si>
    <t>COSTS</t>
  </si>
  <si>
    <t>Total Payroll</t>
  </si>
  <si>
    <t>Marketing Spending</t>
  </si>
  <si>
    <t>Total Marketing Spending</t>
  </si>
  <si>
    <t>Hosting</t>
  </si>
  <si>
    <t>Total Hosting</t>
  </si>
  <si>
    <t>Total Miscellaneous</t>
  </si>
  <si>
    <t>PROFIT &amp; LOSS</t>
  </si>
  <si>
    <t>Costs of Good sold</t>
  </si>
  <si>
    <t>Support</t>
  </si>
  <si>
    <t>Total Costs of Good Sold</t>
  </si>
  <si>
    <t>Gross Profit</t>
  </si>
  <si>
    <t>Operating Expenses</t>
  </si>
  <si>
    <t>% of Revenues</t>
  </si>
  <si>
    <t>Margins</t>
  </si>
  <si>
    <t>Earning Before Interest &amp; Tax</t>
  </si>
  <si>
    <t>EBIT Margin</t>
  </si>
  <si>
    <t>GuardSpine Financial Model -- Scenario Comparison</t>
  </si>
  <si>
    <t>Prepared for Kristen Hengst Smith meeting | Feb 19, 2026</t>
  </si>
  <si>
    <t>$1M raise at $9M pre-money / $10M post-money | 10% dilution</t>
  </si>
  <si>
    <t>Metric</t>
  </si>
  <si>
    <t>Bear Case</t>
  </si>
  <si>
    <t>Base Case</t>
  </si>
  <si>
    <t>Bull Case</t>
  </si>
  <si>
    <t>ASSUMPTIONS</t>
  </si>
  <si>
    <t>Starting Price (monthly)</t>
  </si>
  <si>
    <t>Y1 Monthly Growth Rate</t>
  </si>
  <si>
    <t>Monthly Churn Rate</t>
  </si>
  <si>
    <t>Starting Customers</t>
  </si>
  <si>
    <t>Team Size (end Y1)</t>
  </si>
  <si>
    <t>Y1 Total Revenue</t>
  </si>
  <si>
    <t>Y2 Total Revenue</t>
  </si>
  <si>
    <t>End-of-Y1 MRR</t>
  </si>
  <si>
    <t>End-of-Y2 MRR</t>
  </si>
  <si>
    <t>End-of-Y1 ARR</t>
  </si>
  <si>
    <t>End-of-Y2 ARR</t>
  </si>
  <si>
    <t>End-of-Y1 Customers</t>
  </si>
  <si>
    <t>End-of-Y2 Customers</t>
  </si>
  <si>
    <t>MARGINS</t>
  </si>
  <si>
    <t>End-of-Y1 Gross Margin</t>
  </si>
  <si>
    <t>End-of-Y2 Gross Margin</t>
  </si>
  <si>
    <t>Y1 EBITDA</t>
  </si>
  <si>
    <t>Y2 EBITDA</t>
  </si>
  <si>
    <t>End-of-Y2 EBITDA Margin</t>
  </si>
  <si>
    <t>SaaS OPERATING METRICS (End of Y2)</t>
  </si>
  <si>
    <t>LTV:CAC Ratio</t>
  </si>
  <si>
    <t>CAC Payback (months)</t>
  </si>
  <si>
    <t>Net Revenue Retention</t>
  </si>
  <si>
    <t>Rule of 40</t>
  </si>
  <si>
    <t>EFFICIENCY: ARR per Employee</t>
  </si>
  <si>
    <t>Team Size (end Y2)</t>
  </si>
  <si>
    <t>End-Y2 ARR / Employee</t>
  </si>
  <si>
    <t>CASH &amp; RUNWAY</t>
  </si>
  <si>
    <t>EBITDA Breakeven (month #)</t>
  </si>
  <si>
    <t>End-of-Y1 Cash Remaining</t>
  </si>
  <si>
    <t>End-of-Y2 Cash Remaining</t>
  </si>
  <si>
    <t>Peak Monthly Burn</t>
  </si>
  <si>
    <t>KEY DIFFERENTIATOR: BYOK Architecture</t>
  </si>
  <si>
    <t>Customers bring their own LLM API keys. GuardSpine pays ZERO inference costs.</t>
  </si>
  <si>
    <t>Result: 90%+ gross margins at scale vs 40-65% for typical AI companies.</t>
  </si>
  <si>
    <t>Comparable: Datadog (80.8% GM), CrowdStrike (75% GM), Zscaler (73.7% GM)</t>
  </si>
  <si>
    <t>GuardSpine exceeds all comparables because BYOK eliminates the #1 AI cost driver.</t>
  </si>
  <si>
    <t>BULL CASE DRIVERS: AI Adoption Tailwinds</t>
  </si>
  <si>
    <t xml:space="preserve">  - AI coding tools market: $7.37B in 2025, projected $12-15B by 2027 (35-40% CAGR)</t>
  </si>
  <si>
    <t xml:space="preserve">  - GitHub Copilot: 20M users, 4.7M paid subscribers, 50K+ orgs, 90% of Fortune 100</t>
  </si>
  <si>
    <t xml:space="preserve">  - 75% of enterprise devs will use AI code assistants by 2028 (Gartner), up from &lt;10% in 2023</t>
  </si>
  <si>
    <t xml:space="preserve">  - AI governance platform market: $492M in 2026, &gt;$1B by 2030 (Gartner, 28%+ CAGR)</t>
  </si>
  <si>
    <t xml:space="preserve">  - EU AI Act high-risk rules enforcement: August 2026 -- compliance spending $2-15M per firm</t>
  </si>
  <si>
    <t xml:space="preserve">  - DORA enforceable since Jan 2025; aligns with AI Act governance controls</t>
  </si>
  <si>
    <t xml:space="preserve">  - 40% of enterprise apps will feature task-specific AI agents by end of 2026</t>
  </si>
  <si>
    <t xml:space="preserve">  - Every AI-generated line of code needs governance = GuardSpine TAM grows with AI adoption</t>
  </si>
  <si>
    <t>AI-NATIVE BENCHMARKS: ARR per Employee</t>
  </si>
  <si>
    <t>Company</t>
  </si>
  <si>
    <t>Team Size</t>
  </si>
  <si>
    <t>ARR/Employee</t>
  </si>
  <si>
    <t>Midjourney (2025)</t>
  </si>
  <si>
    <t>Cursor / Anysphere (Nov 2025)</t>
  </si>
  <si>
    <t>Cursor / Anysphere (early 2025)</t>
  </si>
  <si>
    <t>Mercor (2025)</t>
  </si>
  <si>
    <t>--</t>
  </si>
  <si>
    <t>Nvidia (FY 2025)</t>
  </si>
  <si>
    <t>Meta (FY 2024)</t>
  </si>
  <si>
    <t>Microsoft (FY 2024)</t>
  </si>
  <si>
    <t>GuardSpine BEAR (end Y2)</t>
  </si>
  <si>
    <t>GuardSpine BASE (end Y2)</t>
  </si>
  <si>
    <t>GuardSpine BULL (end Y2)</t>
  </si>
  <si>
    <t>AI-native startups avg $3.5M ARR/employee vs traditional SaaS $200-400K.</t>
  </si>
  <si>
    <t>GuardSpine's BYOK + PLG model = Cursor-class efficiency without inference cost drag.</t>
  </si>
  <si>
    <t>Sources: Sacra, SaaStr, CB Insights, Lean AI Leaderboard, company filings (2025-2026)</t>
  </si>
  <si>
    <t>GuardSpine SaaS P&amp;L -- Base Case</t>
  </si>
  <si>
    <t>Generated: Feb 18, 2026 | $1M raise at $9M pre / $10M post</t>
  </si>
  <si>
    <t>Y1 Total</t>
  </si>
  <si>
    <t>Y2 Total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</si>
  <si>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</si>
  <si>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</si>
  <si>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</si>
  <si>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</si>
  <si>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</si>
  <si>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</si>
  <si>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</si>
  <si>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</si>
  <si>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</si>
  <si>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</si>
  <si>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</si>
  <si>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</si>
  <si>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</si>
  <si>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</si>
  <si>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</si>
  <si>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</si>
  <si>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</si>
  <si>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</si>
  <si>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</si>
  <si>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</si>
  <si>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</si>
  <si>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Oct-2027</t>
  </si>
  <si>
    <t>Nov-2027</t>
  </si>
  <si>
    <t>Dec-2027</t>
  </si>
  <si>
    <t>Month #</t>
  </si>
  <si>
    <t>Avg Price / Customer</t>
  </si>
  <si>
    <t>Customers</t>
  </si>
  <si>
    <t>New Customers</t>
  </si>
  <si>
    <t>Lost MRR (Churn)</t>
  </si>
  <si>
    <t>ARR (MRR x 12)</t>
  </si>
  <si>
    <t>MRR Growth Rate</t>
  </si>
  <si>
    <t>COST OF GOODS SOLD</t>
  </si>
  <si>
    <t>Payment Processing (3%)</t>
  </si>
  <si>
    <t>Total COGS</t>
  </si>
  <si>
    <t>COGS % of Revenue</t>
  </si>
  <si>
    <t>GROSS PROFIT</t>
  </si>
  <si>
    <t>Gross Margin %</t>
  </si>
  <si>
    <t>PERSONNEL</t>
  </si>
  <si>
    <t xml:space="preserve">  CEO - David Youssef (G&amp;A)</t>
  </si>
  <si>
    <t xml:space="preserve">  CTO - Igor Malovitsa (R&amp;D)</t>
  </si>
  <si>
    <t xml:space="preserve">  GTM - Kristen Hengst Smith (S&amp;M)</t>
  </si>
  <si>
    <t xml:space="preserve">  Engineer - Hire #1 (R&amp;D)</t>
  </si>
  <si>
    <t xml:space="preserve">  Engineer - Hire #2 (R&amp;D)</t>
  </si>
  <si>
    <t>OPERATING EXPENSES</t>
  </si>
  <si>
    <t xml:space="preserve">  S&amp;M % of Revenue</t>
  </si>
  <si>
    <t xml:space="preserve">  R&amp;D % of Revenue</t>
  </si>
  <si>
    <t xml:space="preserve">  G&amp;A % of Revenue</t>
  </si>
  <si>
    <t>Total OpEx</t>
  </si>
  <si>
    <t>EBITDA / OPERATING INCOME</t>
  </si>
  <si>
    <t>EBITDA</t>
  </si>
  <si>
    <t>EBITDA Margin %</t>
  </si>
  <si>
    <t>SaaS OPERATING METRICS</t>
  </si>
  <si>
    <t>CAC (S&amp;M / New Customers)</t>
  </si>
  <si>
    <t>LTV (margin-weighted)</t>
  </si>
  <si>
    <t>Gross Revenue Retention</t>
  </si>
  <si>
    <t>CASH &amp; RUNWAY ($1M Raise)</t>
  </si>
  <si>
    <t>Monthly Burn (neg=profit)</t>
  </si>
  <si>
    <t>Cumulative Cash</t>
  </si>
  <si>
    <t>Runway (months)</t>
  </si>
  <si>
    <t>EBITDA Breakeven: Month 12 (Dec-2026)</t>
  </si>
  <si>
    <t>GuardSpine SaaS P&amp;L -- Bear Case (Slow Adoption)</t>
  </si>
  <si>
    <t>EBITDA Breakeven: Month 14 (Feb-2027)</t>
  </si>
  <si>
    <t>GuardSpine SaaS P&amp;L -- Bull Case (AI Adoption Wave)</t>
  </si>
  <si>
    <t xml:space="preserve">  Sales - SDR Hire (S&amp;M)</t>
  </si>
  <si>
    <t>EBITDA Breakeven: Month 5 (May-2026)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</si>
</sst>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&quot;$&quot;"/>
    <numFmt numFmtId="165" formatCode="&quot;$&quot;#,##0.00"/>
    <numFmt numFmtId="166" formatCode="&quot;$&quot;#,##0"/>
    <numFmt numFmtId="167" formatCode="0.0%"/>
    <numFmt numFmtId="168" formatCode="mmm-yyyy"/>
    <numFmt numFmtId="169" formatCode="$#,##0"/>
    <numFmt numFmtId="170" formatCode="0.0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4.0"/>
      <color rgb="FF000000"/>
      <name val="Arial"/>
    </font>
    <font>
      <i/>
      <color rgb="FF999999"/>
      <name val="Arial"/>
      <scheme val="minor"/>
    </font>
    <font>
      <u/>
      <color rgb="FF0000FF"/>
    </font>
    <font>
      <sz val="10.0"/>
      <color rgb="FF000000"/>
      <name val="Arial"/>
    </font>
    <font/>
    <font>
      <i/>
      <color theme="1"/>
      <name val="Arial"/>
      <scheme val="minor"/>
    </font>
    <font>
      <color rgb="FFFFFFFF"/>
      <name val="Arial"/>
      <scheme val="minor"/>
    </font>
    <font>
      <color rgb="FF21DA27"/>
      <name val="Arial"/>
      <scheme val="minor"/>
    </font>
    <font>
      <color rgb="FFFF0000"/>
      <name val="Arial"/>
      <scheme val="minor"/>
    </font>
    <font>
      <b/>
      <i/>
      <color theme="1"/>
      <name val="Arial"/>
      <scheme val="minor"/>
    </font>
    <font>
      <i/>
      <color rgb="FF000000"/>
      <name val="Arial"/>
      <scheme val="minor"/>
    </font>
    <font>
      <b/>
      <sz val="14.0"/>
      <color rgb="FF2F5496"/>
      <name val="Arial"/>
      <scheme val="minor"/>
    </font>
    <font>
      <i/>
      <color rgb="FF808080"/>
      <name val="Arial"/>
      <scheme val="minor"/>
    </font>
    <font>
      <b/>
      <sz val="11.0"/>
      <color theme="1"/>
      <name val="Arial"/>
      <scheme val="minor"/>
    </font>
    <font>
      <b/>
      <color rgb="FFFF0000"/>
      <name val="Arial"/>
      <scheme val="minor"/>
    </font>
    <font>
      <b/>
      <color rgb="FF2F5496"/>
      <name val="Arial"/>
      <scheme val="minor"/>
    </font>
    <font>
      <b/>
      <color rgb="FF008000"/>
      <name val="Arial"/>
      <scheme val="minor"/>
    </font>
    <font>
      <b/>
      <sz val="11.0"/>
      <color rgb="FFFFFFFF"/>
      <name val="Arial"/>
      <scheme val="minor"/>
    </font>
    <font>
      <b/>
      <sz val="12.0"/>
      <color rgb="FF2F5496"/>
      <name val="Arial"/>
      <scheme val="minor"/>
    </font>
    <font>
      <b/>
      <sz val="12.0"/>
      <color rgb="FF008000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i/>
      <sz val="10.0"/>
      <color rgb="FF808080"/>
      <name val="Arial"/>
      <scheme val="minor"/>
    </font>
    <font>
      <i/>
      <sz val="9.0"/>
      <color rgb="FFA0A0A0"/>
      <name val="Arial"/>
      <scheme val="minor"/>
    </font>
    <font>
      <b/>
      <sz val="9.0"/>
      <color theme="1"/>
      <name val="Arial"/>
      <scheme val="minor"/>
    </font>
    <font>
      <b/>
      <sz val="12.0"/>
      <color rgb="FFFFFFFF"/>
      <name val="Arial"/>
      <scheme val="minor"/>
    </font>
    <font>
      <b/>
      <sz val="11.0"/>
      <color rgb="FF2F5496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/>
    </xf>
    <xf borderId="0" fillId="2" fontId="2" numFmtId="0" xfId="0" applyFont="1"/>
    <xf borderId="1" fillId="2" fontId="1" numFmtId="0" xfId="0" applyBorder="1" applyFont="1"/>
    <xf borderId="2" fillId="2" fontId="1" numFmtId="0" xfId="0" applyBorder="1" applyFont="1"/>
    <xf borderId="3" fillId="2" fontId="1" numFmtId="0" xfId="0" applyBorder="1" applyFont="1"/>
    <xf borderId="4" fillId="2" fontId="1" numFmtId="164" xfId="0" applyBorder="1" applyFont="1" applyNumberFormat="1"/>
    <xf borderId="0" fillId="2" fontId="3" numFmtId="0" xfId="0" applyFont="1"/>
    <xf borderId="5" fillId="2" fontId="2" numFmtId="0" xfId="0" applyBorder="1" applyFont="1"/>
    <xf borderId="6" fillId="2" fontId="1" numFmtId="0" xfId="0" applyBorder="1" applyFont="1"/>
    <xf borderId="5" fillId="2" fontId="1" numFmtId="0" xfId="0" applyBorder="1" applyFont="1"/>
    <xf borderId="5" fillId="2" fontId="4" numFmtId="10" xfId="0" applyBorder="1" applyFont="1" applyNumberFormat="1"/>
    <xf borderId="6" fillId="2" fontId="1" numFmtId="164" xfId="0" applyBorder="1" applyFont="1" applyNumberFormat="1"/>
    <xf borderId="0" fillId="2" fontId="5" numFmtId="0" xfId="0" applyFont="1"/>
    <xf borderId="6" fillId="2" fontId="1" numFmtId="165" xfId="0" applyBorder="1" applyFont="1" applyNumberFormat="1"/>
    <xf borderId="6" fillId="2" fontId="1" numFmtId="166" xfId="0" applyBorder="1" applyFont="1" applyNumberFormat="1"/>
    <xf borderId="4" fillId="2" fontId="1" numFmtId="0" xfId="0" applyBorder="1" applyFont="1"/>
    <xf borderId="7" fillId="2" fontId="1" numFmtId="0" xfId="0" applyBorder="1" applyFont="1"/>
    <xf borderId="8" fillId="2" fontId="2" numFmtId="164" xfId="0" applyBorder="1" applyFont="1" applyNumberFormat="1"/>
    <xf borderId="9" fillId="2" fontId="1" numFmtId="0" xfId="0" applyBorder="1" applyFont="1"/>
    <xf borderId="9" fillId="0" fontId="1" numFmtId="0" xfId="0" applyBorder="1" applyFont="1"/>
    <xf borderId="8" fillId="2" fontId="2" numFmtId="165" xfId="0" applyBorder="1" applyFont="1" applyNumberFormat="1"/>
    <xf borderId="0" fillId="0" fontId="6" numFmtId="0" xfId="0" applyFont="1"/>
    <xf borderId="0" fillId="0" fontId="1" numFmtId="0" xfId="0" applyAlignment="1" applyFont="1">
      <alignment shrinkToFit="0" wrapText="1"/>
    </xf>
    <xf borderId="7" fillId="0" fontId="1" numFmtId="0" xfId="0" applyAlignment="1" applyBorder="1" applyFont="1">
      <alignment horizontal="center"/>
    </xf>
    <xf borderId="9" fillId="0" fontId="7" numFmtId="0" xfId="0" applyBorder="1" applyFont="1"/>
    <xf borderId="8" fillId="0" fontId="7" numFmtId="0" xfId="0" applyBorder="1" applyFont="1"/>
    <xf borderId="0" fillId="0" fontId="2" numFmtId="0" xfId="0" applyAlignment="1" applyFont="1">
      <alignment shrinkToFit="0" wrapText="1"/>
    </xf>
    <xf borderId="9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shrinkToFit="0" wrapText="1"/>
    </xf>
    <xf borderId="9" fillId="3" fontId="1" numFmtId="164" xfId="0" applyBorder="1" applyFill="1" applyFont="1" applyNumberFormat="1"/>
    <xf borderId="9" fillId="3" fontId="1" numFmtId="9" xfId="0" applyBorder="1" applyFont="1" applyNumberFormat="1"/>
    <xf borderId="8" fillId="3" fontId="1" numFmtId="9" xfId="0" applyBorder="1" applyFont="1" applyNumberFormat="1"/>
    <xf borderId="9" fillId="3" fontId="1" numFmtId="167" xfId="0" applyBorder="1" applyFont="1" applyNumberFormat="1"/>
    <xf borderId="8" fillId="3" fontId="1" numFmtId="167" xfId="0" applyBorder="1" applyFont="1" applyNumberFormat="1"/>
    <xf borderId="0" fillId="0" fontId="1" numFmtId="167" xfId="0" applyFont="1" applyNumberFormat="1"/>
    <xf borderId="0" fillId="3" fontId="1" numFmtId="0" xfId="0" applyFont="1"/>
    <xf borderId="0" fillId="0" fontId="8" numFmtId="0" xfId="0" applyFont="1"/>
    <xf borderId="0" fillId="3" fontId="1" numFmtId="166" xfId="0" applyFont="1" applyNumberFormat="1"/>
    <xf borderId="0" fillId="0" fontId="1" numFmtId="49" xfId="0" applyFont="1" applyNumberFormat="1"/>
    <xf borderId="0" fillId="0" fontId="2" numFmtId="0" xfId="0" applyFont="1"/>
    <xf borderId="0" fillId="0" fontId="1" numFmtId="0" xfId="0" applyFont="1"/>
    <xf borderId="0" fillId="0" fontId="1" numFmtId="0" xfId="0" applyFont="1"/>
    <xf borderId="0" fillId="0" fontId="1" numFmtId="9" xfId="0" applyFont="1" applyNumberFormat="1"/>
    <xf borderId="0" fillId="3" fontId="1" numFmtId="9" xfId="0" applyFont="1" applyNumberFormat="1"/>
    <xf borderId="0" fillId="0" fontId="1" numFmtId="165" xfId="0" applyFont="1" applyNumberFormat="1"/>
    <xf borderId="0" fillId="3" fontId="1" numFmtId="165" xfId="0" applyFont="1" applyNumberFormat="1"/>
    <xf borderId="0" fillId="0" fontId="1" numFmtId="166" xfId="0" applyFont="1" applyNumberFormat="1"/>
    <xf borderId="1" fillId="0" fontId="2" numFmtId="0" xfId="0" applyAlignment="1" applyBorder="1" applyFont="1">
      <alignment horizontal="center"/>
    </xf>
    <xf borderId="10" fillId="0" fontId="7" numFmtId="0" xfId="0" applyBorder="1" applyFont="1"/>
    <xf borderId="2" fillId="0" fontId="7" numFmtId="0" xfId="0" applyBorder="1" applyFont="1"/>
    <xf borderId="5" fillId="0" fontId="1" numFmtId="168" xfId="0" applyBorder="1" applyFont="1" applyNumberFormat="1"/>
    <xf borderId="0" fillId="0" fontId="1" numFmtId="168" xfId="0" applyFont="1" applyNumberFormat="1"/>
    <xf borderId="6" fillId="0" fontId="1" numFmtId="168" xfId="0" applyBorder="1" applyFont="1" applyNumberFormat="1"/>
    <xf borderId="5" fillId="0" fontId="1" numFmtId="0" xfId="0" applyBorder="1" applyFont="1"/>
    <xf borderId="6" fillId="0" fontId="1" numFmtId="0" xfId="0" applyBorder="1" applyFont="1"/>
    <xf borderId="0" fillId="4" fontId="9" numFmtId="0" xfId="0" applyFill="1" applyFont="1"/>
    <xf borderId="5" fillId="0" fontId="1" numFmtId="164" xfId="0" applyBorder="1" applyFont="1" applyNumberFormat="1"/>
    <xf borderId="0" fillId="0" fontId="1" numFmtId="164" xfId="0" applyFont="1" applyNumberFormat="1"/>
    <xf borderId="6" fillId="0" fontId="1" numFmtId="164" xfId="0" applyBorder="1" applyFont="1" applyNumberFormat="1"/>
    <xf borderId="0" fillId="0" fontId="1" numFmtId="3" xfId="0" applyFont="1" applyNumberFormat="1"/>
    <xf borderId="5" fillId="0" fontId="1" numFmtId="3" xfId="0" applyBorder="1" applyFont="1" applyNumberFormat="1"/>
    <xf borderId="6" fillId="0" fontId="1" numFmtId="3" xfId="0" applyBorder="1" applyFont="1" applyNumberFormat="1"/>
    <xf borderId="5" fillId="0" fontId="1" numFmtId="167" xfId="0" applyBorder="1" applyFont="1" applyNumberFormat="1"/>
    <xf borderId="6" fillId="0" fontId="1" numFmtId="167" xfId="0" applyBorder="1" applyFont="1" applyNumberFormat="1"/>
    <xf borderId="5" fillId="0" fontId="10" numFmtId="0" xfId="0" applyBorder="1" applyFont="1"/>
    <xf borderId="0" fillId="0" fontId="10" numFmtId="0" xfId="0" applyFont="1"/>
    <xf borderId="6" fillId="0" fontId="10" numFmtId="0" xfId="0" applyBorder="1" applyFont="1"/>
    <xf borderId="5" fillId="0" fontId="10" numFmtId="164" xfId="0" applyBorder="1" applyFont="1" applyNumberFormat="1"/>
    <xf borderId="0" fillId="0" fontId="10" numFmtId="164" xfId="0" applyFont="1" applyNumberFormat="1"/>
    <xf borderId="6" fillId="0" fontId="10" numFmtId="164" xfId="0" applyBorder="1" applyFont="1" applyNumberFormat="1"/>
    <xf borderId="5" fillId="0" fontId="11" numFmtId="164" xfId="0" applyBorder="1" applyFont="1" applyNumberFormat="1"/>
    <xf borderId="0" fillId="0" fontId="11" numFmtId="164" xfId="0" applyFont="1" applyNumberFormat="1"/>
    <xf borderId="6" fillId="0" fontId="11" numFmtId="164" xfId="0" applyBorder="1" applyFont="1" applyNumberFormat="1"/>
    <xf borderId="0" fillId="2" fontId="12" numFmtId="164" xfId="0" applyFont="1" applyNumberFormat="1"/>
    <xf borderId="5" fillId="2" fontId="12" numFmtId="164" xfId="0" applyBorder="1" applyFont="1" applyNumberFormat="1"/>
    <xf borderId="6" fillId="2" fontId="12" numFmtId="164" xfId="0" applyBorder="1" applyFont="1" applyNumberFormat="1"/>
    <xf borderId="0" fillId="0" fontId="4" numFmtId="167" xfId="0" applyFont="1" applyNumberFormat="1"/>
    <xf borderId="5" fillId="0" fontId="4" numFmtId="167" xfId="0" applyBorder="1" applyFont="1" applyNumberFormat="1"/>
    <xf borderId="6" fillId="0" fontId="4" numFmtId="167" xfId="0" applyBorder="1" applyFont="1" applyNumberFormat="1"/>
    <xf borderId="5" fillId="0" fontId="13" numFmtId="165" xfId="0" applyBorder="1" applyFont="1" applyNumberFormat="1"/>
    <xf borderId="0" fillId="0" fontId="13" numFmtId="165" xfId="0" applyFont="1" applyNumberFormat="1"/>
    <xf borderId="6" fillId="0" fontId="13" numFmtId="165" xfId="0" applyBorder="1" applyFont="1" applyNumberFormat="1"/>
    <xf borderId="0" fillId="5" fontId="2" numFmtId="164" xfId="0" applyFill="1" applyFont="1" applyNumberFormat="1"/>
    <xf borderId="5" fillId="5" fontId="2" numFmtId="164" xfId="0" applyBorder="1" applyFont="1" applyNumberFormat="1"/>
    <xf borderId="6" fillId="5" fontId="2" numFmtId="164" xfId="0" applyBorder="1" applyFont="1" applyNumberFormat="1"/>
    <xf borderId="5" fillId="0" fontId="1" numFmtId="166" xfId="0" applyBorder="1" applyFont="1" applyNumberFormat="1"/>
    <xf borderId="6" fillId="0" fontId="1" numFmtId="166" xfId="0" applyBorder="1" applyFont="1" applyNumberFormat="1"/>
    <xf borderId="5" fillId="0" fontId="1" numFmtId="165" xfId="0" applyBorder="1" applyFont="1" applyNumberFormat="1"/>
    <xf borderId="6" fillId="0" fontId="1" numFmtId="165" xfId="0" applyBorder="1" applyFont="1" applyNumberFormat="1"/>
    <xf borderId="0" fillId="0" fontId="4" numFmtId="0" xfId="0" applyFont="1"/>
    <xf borderId="5" fillId="0" fontId="4" numFmtId="10" xfId="0" applyBorder="1" applyFont="1" applyNumberFormat="1"/>
    <xf borderId="0" fillId="0" fontId="4" numFmtId="10" xfId="0" applyFont="1" applyNumberFormat="1"/>
    <xf borderId="6" fillId="0" fontId="4" numFmtId="10" xfId="0" applyBorder="1" applyFont="1" applyNumberForma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0" fillId="6" fontId="20" numFmtId="0" xfId="0" applyFill="1" applyFont="1"/>
    <xf borderId="0" fillId="6" fontId="6" numFmtId="0" xfId="0" applyFont="1"/>
    <xf borderId="0" fillId="0" fontId="6" numFmtId="169" xfId="0" applyFont="1" applyNumberFormat="1"/>
    <xf borderId="0" fillId="0" fontId="6" numFmtId="167" xfId="0" applyFont="1" applyNumberFormat="1"/>
    <xf borderId="0" fillId="0" fontId="6" numFmtId="3" xfId="0" applyFont="1" applyNumberFormat="1"/>
    <xf borderId="0" fillId="0" fontId="6" numFmtId="170" xfId="0" applyFont="1" applyNumberFormat="1"/>
    <xf borderId="0" fillId="0" fontId="21" numFmtId="0" xfId="0" applyFont="1"/>
    <xf borderId="0" fillId="0" fontId="22" numFmtId="0" xfId="0" applyFont="1"/>
    <xf borderId="0" fillId="0" fontId="23" numFmtId="0" xfId="0" applyFont="1"/>
    <xf borderId="0" fillId="6" fontId="24" numFmtId="0" xfId="0" applyFont="1"/>
    <xf borderId="0" fillId="0" fontId="23" numFmtId="169" xfId="0" applyFont="1" applyNumberFormat="1"/>
    <xf borderId="0" fillId="7" fontId="25" numFmtId="0" xfId="0" applyFill="1" applyFont="1"/>
    <xf borderId="0" fillId="7" fontId="25" numFmtId="169" xfId="0" applyFont="1" applyNumberFormat="1"/>
    <xf borderId="0" fillId="0" fontId="26" numFmtId="0" xfId="0" applyFont="1"/>
    <xf borderId="0" fillId="0" fontId="27" numFmtId="0" xfId="0" applyFont="1"/>
    <xf borderId="0" fillId="0" fontId="28" numFmtId="0" xfId="0" applyFont="1"/>
    <xf borderId="0" fillId="6" fontId="29" numFmtId="0" xfId="0" applyFont="1"/>
    <xf borderId="0" fillId="0" fontId="2" numFmtId="3" xfId="0" applyFont="1" applyNumberFormat="1"/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13</xdr:row>
      <xdr:rowOff>161925</xdr:rowOff>
    </xdr:from>
    <xdr:ext cx="5391150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22.25"/>
    <col customWidth="1" min="3" max="6" width="12.63"/>
  </cols>
  <sheetData>
    <row r="1" ht="15.75" customHeight="1">
      <c r="A1" s="1"/>
      <c r="B1" s="1"/>
      <c r="C1" s="2" t="s">
        <v>0</v>
      </c>
      <c r="E1" s="2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2</v>
      </c>
      <c r="B2" s="1"/>
      <c r="C2" s="4"/>
      <c r="D2" s="5"/>
      <c r="E2" s="4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3</v>
      </c>
      <c r="C3" s="6"/>
      <c r="D3" s="7">
        <f>sum('Financial Model'!C66:N66)</f>
        <v>392518.5639</v>
      </c>
      <c r="E3" s="6"/>
      <c r="F3" s="7">
        <f>sum('Financial Model'!O66:Z66)</f>
        <v>1952807.071</v>
      </c>
      <c r="G3" s="1"/>
      <c r="H3" s="8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/>
      <c r="B4" s="5"/>
      <c r="C4" s="4"/>
      <c r="D4" s="5"/>
      <c r="E4" s="4"/>
      <c r="F4" s="5"/>
      <c r="G4" s="1"/>
      <c r="I4" s="1"/>
      <c r="J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9" t="s">
        <v>5</v>
      </c>
      <c r="B5" s="10"/>
      <c r="C5" s="11"/>
      <c r="D5" s="10"/>
      <c r="E5" s="11"/>
      <c r="F5" s="10"/>
      <c r="G5" s="1"/>
      <c r="H5" s="1" t="s">
        <v>6</v>
      </c>
      <c r="I5" s="1"/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1"/>
      <c r="B6" s="10" t="s">
        <v>7</v>
      </c>
      <c r="C6" s="12">
        <f t="shared" ref="C6:C9" si="1">D6/$D$3</f>
        <v>0.0758577037</v>
      </c>
      <c r="D6" s="13">
        <f>sum('Financial Model'!C71:N71)</f>
        <v>29775.55692</v>
      </c>
      <c r="E6" s="12">
        <f t="shared" ref="E6:E9" si="2">F6/$F$3</f>
        <v>0.03921750042</v>
      </c>
      <c r="F6" s="13">
        <f>sum('Financial Model'!O71:Z71)</f>
        <v>76584.21212</v>
      </c>
      <c r="G6" s="1"/>
      <c r="H6" s="14" t="str">
        <f>HYPERLINK("https://marker.io?utm_source=spreadsheet&amp;utm_medium=template&amp;utm_campaign=saas-financial-model","https://marker.io")</f>
        <v>https://marker.io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1"/>
      <c r="B7" s="10" t="s">
        <v>8</v>
      </c>
      <c r="C7" s="12">
        <f t="shared" si="1"/>
        <v>0.06057180247</v>
      </c>
      <c r="D7" s="15">
        <f>sum('Financial Model'!C77:N77)</f>
        <v>23775.55692</v>
      </c>
      <c r="E7" s="12">
        <f t="shared" si="2"/>
        <v>0.03614500028</v>
      </c>
      <c r="F7" s="15">
        <f>sum('Financial Model'!O77:Z77)</f>
        <v>70584.21212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1"/>
      <c r="B8" s="10" t="s">
        <v>9</v>
      </c>
      <c r="C8" s="12">
        <f t="shared" si="1"/>
        <v>0.7031514567</v>
      </c>
      <c r="D8" s="16">
        <f>sum('Financial Model'!C80:N80)</f>
        <v>276000</v>
      </c>
      <c r="E8" s="12">
        <f t="shared" si="2"/>
        <v>0.2027850093</v>
      </c>
      <c r="F8" s="16">
        <f>sum('Financial Model'!O80:Z80)</f>
        <v>396000</v>
      </c>
      <c r="G8" s="1"/>
      <c r="H8" s="1"/>
      <c r="I8" s="1"/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1"/>
      <c r="B9" s="10" t="s">
        <v>10</v>
      </c>
      <c r="C9" s="12">
        <f t="shared" si="1"/>
        <v>0.4239391848</v>
      </c>
      <c r="D9" s="16">
        <f>sum('Financial Model'!C83:N83)</f>
        <v>166404</v>
      </c>
      <c r="E9" s="12">
        <f t="shared" si="2"/>
        <v>0.08521271891</v>
      </c>
      <c r="F9" s="16">
        <f>sum('Financial Model'!O83:Z83)</f>
        <v>166404</v>
      </c>
      <c r="G9" s="1"/>
      <c r="H9" s="1"/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6"/>
      <c r="B10" s="17"/>
      <c r="C10" s="6"/>
      <c r="D10" s="17"/>
      <c r="E10" s="6"/>
      <c r="F10" s="17"/>
      <c r="G10" s="1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3" t="s">
        <v>11</v>
      </c>
      <c r="B11" s="1"/>
      <c r="C11" s="18"/>
      <c r="D11" s="19">
        <f>D3-sum(D6:D9)</f>
        <v>-103436.5499</v>
      </c>
      <c r="E11" s="18"/>
      <c r="F11" s="19">
        <f>F3-sum(F6:F9)</f>
        <v>1243234.646</v>
      </c>
      <c r="G11" s="1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8" t="s">
        <v>12</v>
      </c>
      <c r="B14" s="20"/>
      <c r="C14" s="21"/>
      <c r="D14" s="20"/>
      <c r="E14" s="20"/>
      <c r="F14" s="22">
        <f>sumif('Financial Model'!C87:Z87,"&lt;0")</f>
        <v>-132357.3437</v>
      </c>
      <c r="G14" s="1"/>
      <c r="H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3"/>
      <c r="B221" s="23"/>
    </row>
    <row r="222" ht="15.75" customHeight="1">
      <c r="A222" s="23"/>
      <c r="B222" s="23"/>
    </row>
    <row r="223" ht="15.75" customHeight="1">
      <c r="A223" s="23"/>
      <c r="B223" s="23"/>
    </row>
    <row r="224" ht="15.75" customHeight="1">
      <c r="A224" s="23"/>
      <c r="B224" s="23"/>
    </row>
    <row r="225" ht="15.75" customHeight="1">
      <c r="A225" s="23"/>
      <c r="B225" s="23"/>
    </row>
    <row r="226" ht="15.75" customHeight="1">
      <c r="A226" s="23"/>
      <c r="B226" s="23"/>
    </row>
    <row r="227" ht="15.75" customHeight="1">
      <c r="A227" s="23"/>
      <c r="B227" s="23"/>
    </row>
    <row r="228" ht="15.75" customHeight="1">
      <c r="A228" s="23"/>
      <c r="B228" s="23"/>
    </row>
    <row r="229" ht="15.75" customHeight="1">
      <c r="A229" s="23"/>
      <c r="B229" s="23"/>
    </row>
    <row r="230" ht="15.75" customHeight="1">
      <c r="A230" s="23"/>
      <c r="B230" s="23"/>
    </row>
    <row r="231" ht="15.75" customHeight="1">
      <c r="A231" s="23"/>
      <c r="B231" s="23"/>
    </row>
    <row r="232" ht="15.75" customHeight="1">
      <c r="A232" s="23"/>
      <c r="B232" s="23"/>
    </row>
    <row r="233" ht="15.75" customHeight="1">
      <c r="A233" s="23"/>
      <c r="B233" s="23"/>
    </row>
    <row r="234" ht="15.75" customHeight="1">
      <c r="A234" s="23"/>
      <c r="B234" s="23"/>
    </row>
    <row r="235" ht="15.75" customHeight="1">
      <c r="A235" s="23"/>
      <c r="B235" s="23"/>
    </row>
    <row r="236" ht="15.75" customHeight="1">
      <c r="A236" s="23"/>
      <c r="B236" s="23"/>
    </row>
    <row r="237" ht="15.75" customHeight="1">
      <c r="A237" s="23"/>
      <c r="B237" s="23"/>
    </row>
    <row r="238" ht="15.75" customHeight="1">
      <c r="A238" s="23"/>
      <c r="B238" s="23"/>
    </row>
    <row r="239" ht="15.75" customHeight="1">
      <c r="A239" s="23"/>
      <c r="B239" s="23"/>
    </row>
    <row r="240" ht="15.75" customHeight="1">
      <c r="A240" s="23"/>
      <c r="B240" s="23"/>
    </row>
    <row r="241" ht="15.75" customHeight="1">
      <c r="A241" s="23"/>
      <c r="B241" s="23"/>
    </row>
    <row r="242" ht="15.75" customHeight="1">
      <c r="A242" s="23"/>
      <c r="B242" s="23"/>
    </row>
    <row r="243" ht="15.75" customHeight="1">
      <c r="A243" s="23"/>
      <c r="B243" s="23"/>
    </row>
    <row r="244" ht="15.75" customHeight="1">
      <c r="A244" s="23"/>
      <c r="B244" s="23"/>
    </row>
    <row r="245" ht="15.75" customHeight="1">
      <c r="A245" s="23"/>
      <c r="B245" s="23"/>
    </row>
    <row r="246" ht="15.75" customHeight="1">
      <c r="A246" s="23"/>
      <c r="B246" s="23"/>
    </row>
    <row r="247" ht="15.75" customHeight="1">
      <c r="A247" s="23"/>
      <c r="B247" s="23"/>
    </row>
    <row r="248" ht="15.75" customHeight="1">
      <c r="A248" s="23"/>
      <c r="B248" s="23"/>
    </row>
    <row r="249" ht="15.75" customHeight="1">
      <c r="A249" s="23"/>
      <c r="B249" s="23"/>
    </row>
    <row r="250" ht="15.75" customHeight="1">
      <c r="A250" s="23"/>
      <c r="B250" s="23"/>
    </row>
    <row r="251" ht="15.75" customHeight="1">
      <c r="A251" s="23"/>
      <c r="B251" s="23"/>
    </row>
    <row r="252" ht="15.75" customHeight="1">
      <c r="A252" s="23"/>
      <c r="B252" s="23"/>
    </row>
    <row r="253" ht="15.75" customHeight="1">
      <c r="A253" s="23"/>
      <c r="B253" s="23"/>
    </row>
    <row r="254" ht="15.75" customHeight="1">
      <c r="A254" s="23"/>
      <c r="B254" s="23"/>
    </row>
    <row r="255" ht="15.75" customHeight="1">
      <c r="A255" s="23"/>
      <c r="B255" s="23"/>
    </row>
    <row r="256" ht="15.75" customHeight="1">
      <c r="A256" s="23"/>
      <c r="B256" s="23"/>
    </row>
    <row r="257" ht="15.75" customHeight="1">
      <c r="A257" s="23"/>
      <c r="B257" s="23"/>
    </row>
    <row r="258" ht="15.75" customHeight="1">
      <c r="A258" s="23"/>
      <c r="B258" s="23"/>
    </row>
    <row r="259" ht="15.75" customHeight="1">
      <c r="A259" s="23"/>
      <c r="B259" s="23"/>
    </row>
    <row r="260" ht="15.75" customHeight="1">
      <c r="A260" s="23"/>
      <c r="B260" s="23"/>
    </row>
    <row r="261" ht="15.75" customHeight="1">
      <c r="A261" s="23"/>
      <c r="B261" s="23"/>
    </row>
    <row r="262" ht="15.75" customHeight="1">
      <c r="A262" s="23"/>
      <c r="B262" s="23"/>
    </row>
    <row r="263" ht="15.75" customHeight="1">
      <c r="A263" s="23"/>
      <c r="B263" s="23"/>
    </row>
    <row r="264" ht="15.75" customHeight="1">
      <c r="A264" s="23"/>
      <c r="B264" s="23"/>
    </row>
    <row r="265" ht="15.75" customHeight="1">
      <c r="A265" s="23"/>
      <c r="B265" s="23"/>
    </row>
    <row r="266" ht="15.75" customHeight="1">
      <c r="A266" s="23"/>
      <c r="B266" s="23"/>
    </row>
    <row r="267" ht="15.75" customHeight="1">
      <c r="A267" s="23"/>
      <c r="B267" s="23"/>
    </row>
    <row r="268" ht="15.75" customHeight="1">
      <c r="A268" s="23"/>
      <c r="B268" s="23"/>
    </row>
    <row r="269" ht="15.75" customHeight="1">
      <c r="A269" s="23"/>
      <c r="B269" s="23"/>
    </row>
    <row r="270" ht="15.75" customHeight="1">
      <c r="A270" s="23"/>
      <c r="B270" s="23"/>
    </row>
    <row r="271" ht="15.75" customHeight="1">
      <c r="A271" s="23"/>
      <c r="B271" s="23"/>
    </row>
    <row r="272" ht="15.75" customHeight="1">
      <c r="A272" s="23"/>
      <c r="B272" s="23"/>
    </row>
    <row r="273" ht="15.75" customHeight="1">
      <c r="A273" s="23"/>
      <c r="B273" s="23"/>
    </row>
    <row r="274" ht="15.75" customHeight="1">
      <c r="A274" s="23"/>
      <c r="B274" s="23"/>
    </row>
    <row r="275" ht="15.75" customHeight="1">
      <c r="A275" s="23"/>
      <c r="B275" s="23"/>
    </row>
    <row r="276" ht="15.75" customHeight="1">
      <c r="A276" s="23"/>
      <c r="B276" s="23"/>
    </row>
    <row r="277" ht="15.75" customHeight="1">
      <c r="A277" s="23"/>
      <c r="B277" s="23"/>
    </row>
    <row r="278" ht="15.75" customHeight="1">
      <c r="A278" s="23"/>
      <c r="B278" s="23"/>
    </row>
    <row r="279" ht="15.75" customHeight="1">
      <c r="A279" s="23"/>
      <c r="B279" s="23"/>
    </row>
    <row r="280" ht="15.75" customHeight="1">
      <c r="A280" s="23"/>
      <c r="B280" s="23"/>
    </row>
    <row r="281" ht="15.75" customHeight="1">
      <c r="A281" s="23"/>
      <c r="B281" s="23"/>
    </row>
    <row r="282" ht="15.75" customHeight="1">
      <c r="A282" s="23"/>
      <c r="B282" s="23"/>
    </row>
    <row r="283" ht="15.75" customHeight="1">
      <c r="A283" s="23"/>
      <c r="B283" s="23"/>
    </row>
    <row r="284" ht="15.75" customHeight="1">
      <c r="A284" s="23"/>
      <c r="B284" s="23"/>
    </row>
    <row r="285" ht="15.75" customHeight="1">
      <c r="A285" s="23"/>
      <c r="B285" s="23"/>
    </row>
    <row r="286" ht="15.75" customHeight="1">
      <c r="A286" s="23"/>
      <c r="B286" s="23"/>
    </row>
    <row r="287" ht="15.75" customHeight="1">
      <c r="A287" s="23"/>
      <c r="B287" s="23"/>
    </row>
    <row r="288" ht="15.75" customHeight="1">
      <c r="A288" s="23"/>
      <c r="B288" s="23"/>
    </row>
    <row r="289" ht="15.75" customHeight="1">
      <c r="A289" s="23"/>
      <c r="B289" s="23"/>
    </row>
    <row r="290" ht="15.75" customHeight="1">
      <c r="A290" s="23"/>
      <c r="B290" s="23"/>
    </row>
    <row r="291" ht="15.75" customHeight="1">
      <c r="A291" s="23"/>
      <c r="B291" s="23"/>
    </row>
    <row r="292" ht="15.75" customHeight="1">
      <c r="A292" s="23"/>
      <c r="B292" s="23"/>
    </row>
    <row r="293" ht="15.75" customHeight="1">
      <c r="A293" s="23"/>
      <c r="B293" s="23"/>
    </row>
    <row r="294" ht="15.75" customHeight="1">
      <c r="A294" s="23"/>
      <c r="B294" s="23"/>
    </row>
    <row r="295" ht="15.75" customHeight="1">
      <c r="A295" s="23"/>
      <c r="B295" s="23"/>
    </row>
    <row r="296" ht="15.75" customHeight="1">
      <c r="A296" s="23"/>
      <c r="B296" s="23"/>
    </row>
    <row r="297" ht="15.75" customHeight="1">
      <c r="A297" s="23"/>
      <c r="B297" s="23"/>
    </row>
    <row r="298" ht="15.75" customHeight="1">
      <c r="A298" s="23"/>
      <c r="B298" s="23"/>
    </row>
    <row r="299" ht="15.75" customHeight="1">
      <c r="A299" s="23"/>
      <c r="B299" s="23"/>
    </row>
    <row r="300" ht="15.75" customHeight="1">
      <c r="A300" s="23"/>
      <c r="B300" s="23"/>
    </row>
    <row r="301" ht="15.75" customHeight="1">
      <c r="A301" s="23"/>
      <c r="B301" s="23"/>
    </row>
    <row r="302" ht="15.75" customHeight="1">
      <c r="A302" s="23"/>
      <c r="B302" s="23"/>
    </row>
    <row r="303" ht="15.75" customHeight="1">
      <c r="A303" s="23"/>
      <c r="B303" s="23"/>
    </row>
    <row r="304" ht="15.75" customHeight="1">
      <c r="A304" s="23"/>
      <c r="B304" s="23"/>
    </row>
    <row r="305" ht="15.75" customHeight="1">
      <c r="A305" s="23"/>
      <c r="B305" s="23"/>
    </row>
    <row r="306" ht="15.75" customHeight="1">
      <c r="A306" s="23"/>
      <c r="B306" s="23"/>
    </row>
    <row r="307" ht="15.75" customHeight="1">
      <c r="A307" s="23"/>
      <c r="B307" s="23"/>
    </row>
    <row r="308" ht="15.75" customHeight="1">
      <c r="A308" s="23"/>
      <c r="B308" s="23"/>
    </row>
    <row r="309" ht="15.75" customHeight="1">
      <c r="A309" s="23"/>
      <c r="B309" s="23"/>
    </row>
    <row r="310" ht="15.75" customHeight="1">
      <c r="A310" s="23"/>
      <c r="B310" s="23"/>
    </row>
    <row r="311" ht="15.75" customHeight="1">
      <c r="A311" s="23"/>
      <c r="B311" s="23"/>
    </row>
    <row r="312" ht="15.75" customHeight="1">
      <c r="A312" s="23"/>
      <c r="B312" s="23"/>
    </row>
    <row r="313" ht="15.75" customHeight="1">
      <c r="A313" s="23"/>
      <c r="B313" s="23"/>
    </row>
    <row r="314" ht="15.75" customHeight="1">
      <c r="A314" s="23"/>
      <c r="B314" s="23"/>
    </row>
    <row r="315" ht="15.75" customHeight="1">
      <c r="A315" s="23"/>
      <c r="B315" s="23"/>
    </row>
    <row r="316" ht="15.75" customHeight="1">
      <c r="A316" s="23"/>
      <c r="B316" s="23"/>
    </row>
    <row r="317" ht="15.75" customHeight="1">
      <c r="A317" s="23"/>
      <c r="B317" s="23"/>
    </row>
    <row r="318" ht="15.75" customHeight="1">
      <c r="A318" s="23"/>
      <c r="B318" s="23"/>
    </row>
    <row r="319" ht="15.75" customHeight="1">
      <c r="A319" s="23"/>
      <c r="B319" s="23"/>
    </row>
    <row r="320" ht="15.75" customHeight="1">
      <c r="A320" s="23"/>
      <c r="B320" s="23"/>
    </row>
    <row r="321" ht="15.75" customHeight="1">
      <c r="A321" s="23"/>
      <c r="B321" s="23"/>
    </row>
    <row r="322" ht="15.75" customHeight="1">
      <c r="A322" s="23"/>
      <c r="B322" s="23"/>
    </row>
    <row r="323" ht="15.75" customHeight="1">
      <c r="A323" s="23"/>
      <c r="B323" s="23"/>
    </row>
    <row r="324" ht="15.75" customHeight="1">
      <c r="A324" s="23"/>
      <c r="B324" s="23"/>
    </row>
    <row r="325" ht="15.75" customHeight="1">
      <c r="A325" s="23"/>
      <c r="B325" s="23"/>
    </row>
    <row r="326" ht="15.75" customHeight="1">
      <c r="A326" s="23"/>
      <c r="B326" s="23"/>
    </row>
    <row r="327" ht="15.75" customHeight="1">
      <c r="A327" s="23"/>
      <c r="B327" s="23"/>
    </row>
    <row r="328" ht="15.75" customHeight="1">
      <c r="A328" s="23"/>
      <c r="B328" s="23"/>
    </row>
    <row r="329" ht="15.75" customHeight="1">
      <c r="A329" s="23"/>
      <c r="B329" s="23"/>
    </row>
    <row r="330" ht="15.75" customHeight="1">
      <c r="A330" s="23"/>
      <c r="B330" s="23"/>
    </row>
    <row r="331" ht="15.75" customHeight="1">
      <c r="A331" s="23"/>
      <c r="B331" s="23"/>
    </row>
    <row r="332" ht="15.75" customHeight="1">
      <c r="A332" s="23"/>
      <c r="B332" s="23"/>
    </row>
    <row r="333" ht="15.75" customHeight="1">
      <c r="A333" s="23"/>
      <c r="B333" s="23"/>
    </row>
    <row r="334" ht="15.75" customHeight="1">
      <c r="A334" s="23"/>
      <c r="B334" s="23"/>
    </row>
    <row r="335" ht="15.75" customHeight="1">
      <c r="A335" s="23"/>
      <c r="B335" s="23"/>
    </row>
    <row r="336" ht="15.75" customHeight="1">
      <c r="A336" s="23"/>
      <c r="B336" s="23"/>
    </row>
    <row r="337" ht="15.75" customHeight="1">
      <c r="A337" s="23"/>
      <c r="B337" s="23"/>
    </row>
    <row r="338" ht="15.75" customHeight="1">
      <c r="A338" s="23"/>
      <c r="B338" s="23"/>
    </row>
    <row r="339" ht="15.75" customHeight="1">
      <c r="A339" s="23"/>
      <c r="B339" s="23"/>
    </row>
    <row r="340" ht="15.75" customHeight="1">
      <c r="A340" s="23"/>
      <c r="B340" s="23"/>
    </row>
    <row r="341" ht="15.75" customHeight="1">
      <c r="A341" s="23"/>
      <c r="B341" s="23"/>
    </row>
    <row r="342" ht="15.75" customHeight="1">
      <c r="A342" s="23"/>
      <c r="B342" s="23"/>
    </row>
    <row r="343" ht="15.75" customHeight="1">
      <c r="A343" s="23"/>
      <c r="B343" s="23"/>
    </row>
    <row r="344" ht="15.75" customHeight="1">
      <c r="A344" s="23"/>
      <c r="B344" s="23"/>
    </row>
    <row r="345" ht="15.75" customHeight="1">
      <c r="A345" s="23"/>
      <c r="B345" s="23"/>
    </row>
    <row r="346" ht="15.75" customHeight="1">
      <c r="A346" s="23"/>
      <c r="B346" s="23"/>
    </row>
    <row r="347" ht="15.75" customHeight="1">
      <c r="A347" s="23"/>
      <c r="B347" s="23"/>
    </row>
    <row r="348" ht="15.75" customHeight="1">
      <c r="A348" s="23"/>
      <c r="B348" s="23"/>
    </row>
    <row r="349" ht="15.75" customHeight="1">
      <c r="A349" s="23"/>
      <c r="B349" s="23"/>
    </row>
    <row r="350" ht="15.75" customHeight="1">
      <c r="A350" s="23"/>
      <c r="B350" s="23"/>
    </row>
    <row r="351" ht="15.75" customHeight="1">
      <c r="A351" s="23"/>
      <c r="B351" s="23"/>
    </row>
    <row r="352" ht="15.75" customHeight="1">
      <c r="A352" s="23"/>
      <c r="B352" s="23"/>
    </row>
    <row r="353" ht="15.75" customHeight="1">
      <c r="A353" s="23"/>
      <c r="B353" s="23"/>
    </row>
    <row r="354" ht="15.75" customHeight="1">
      <c r="A354" s="23"/>
      <c r="B354" s="23"/>
    </row>
    <row r="355" ht="15.75" customHeight="1">
      <c r="A355" s="23"/>
      <c r="B355" s="23"/>
    </row>
    <row r="356" ht="15.75" customHeight="1">
      <c r="A356" s="23"/>
      <c r="B356" s="23"/>
    </row>
    <row r="357" ht="15.75" customHeight="1">
      <c r="A357" s="23"/>
      <c r="B357" s="23"/>
    </row>
    <row r="358" ht="15.75" customHeight="1">
      <c r="A358" s="23"/>
      <c r="B358" s="23"/>
    </row>
    <row r="359" ht="15.75" customHeight="1">
      <c r="A359" s="23"/>
      <c r="B359" s="23"/>
    </row>
    <row r="360" ht="15.75" customHeight="1">
      <c r="A360" s="23"/>
      <c r="B360" s="23"/>
    </row>
    <row r="361" ht="15.75" customHeight="1">
      <c r="A361" s="23"/>
      <c r="B361" s="23"/>
    </row>
    <row r="362" ht="15.75" customHeight="1">
      <c r="A362" s="23"/>
      <c r="B362" s="23"/>
    </row>
    <row r="363" ht="15.75" customHeight="1">
      <c r="A363" s="23"/>
      <c r="B363" s="23"/>
    </row>
    <row r="364" ht="15.75" customHeight="1">
      <c r="A364" s="23"/>
      <c r="B364" s="23"/>
    </row>
    <row r="365" ht="15.75" customHeight="1">
      <c r="A365" s="23"/>
      <c r="B365" s="23"/>
    </row>
    <row r="366" ht="15.75" customHeight="1">
      <c r="A366" s="23"/>
      <c r="B366" s="23"/>
    </row>
    <row r="367" ht="15.75" customHeight="1">
      <c r="A367" s="23"/>
      <c r="B367" s="23"/>
    </row>
    <row r="368" ht="15.75" customHeight="1">
      <c r="A368" s="23"/>
      <c r="B368" s="23"/>
    </row>
    <row r="369" ht="15.75" customHeight="1">
      <c r="A369" s="23"/>
      <c r="B369" s="23"/>
    </row>
    <row r="370" ht="15.75" customHeight="1">
      <c r="A370" s="23"/>
      <c r="B370" s="23"/>
    </row>
    <row r="371" ht="15.75" customHeight="1">
      <c r="A371" s="23"/>
      <c r="B371" s="23"/>
    </row>
    <row r="372" ht="15.75" customHeight="1">
      <c r="A372" s="23"/>
      <c r="B372" s="23"/>
    </row>
    <row r="373" ht="15.75" customHeight="1">
      <c r="A373" s="23"/>
      <c r="B373" s="23"/>
    </row>
    <row r="374" ht="15.75" customHeight="1">
      <c r="A374" s="23"/>
      <c r="B374" s="23"/>
    </row>
    <row r="375" ht="15.75" customHeight="1">
      <c r="A375" s="23"/>
      <c r="B375" s="23"/>
    </row>
    <row r="376" ht="15.75" customHeight="1">
      <c r="A376" s="23"/>
      <c r="B376" s="23"/>
    </row>
    <row r="377" ht="15.75" customHeight="1">
      <c r="A377" s="23"/>
      <c r="B377" s="23"/>
    </row>
    <row r="378" ht="15.75" customHeight="1">
      <c r="A378" s="23"/>
      <c r="B378" s="23"/>
    </row>
    <row r="379" ht="15.75" customHeight="1">
      <c r="A379" s="23"/>
      <c r="B379" s="23"/>
    </row>
    <row r="380" ht="15.75" customHeight="1">
      <c r="A380" s="23"/>
      <c r="B380" s="23"/>
    </row>
    <row r="381" ht="15.75" customHeight="1">
      <c r="A381" s="23"/>
      <c r="B381" s="23"/>
    </row>
    <row r="382" ht="15.75" customHeight="1">
      <c r="A382" s="23"/>
      <c r="B382" s="23"/>
    </row>
    <row r="383" ht="15.75" customHeight="1">
      <c r="A383" s="23"/>
      <c r="B383" s="23"/>
    </row>
    <row r="384" ht="15.75" customHeight="1">
      <c r="A384" s="23"/>
      <c r="B384" s="23"/>
    </row>
    <row r="385" ht="15.75" customHeight="1">
      <c r="A385" s="23"/>
      <c r="B385" s="23"/>
    </row>
    <row r="386" ht="15.75" customHeight="1">
      <c r="A386" s="23"/>
      <c r="B386" s="23"/>
    </row>
    <row r="387" ht="15.75" customHeight="1">
      <c r="A387" s="23"/>
      <c r="B387" s="23"/>
    </row>
    <row r="388" ht="15.75" customHeight="1">
      <c r="A388" s="23"/>
      <c r="B388" s="23"/>
    </row>
    <row r="389" ht="15.75" customHeight="1">
      <c r="A389" s="23"/>
      <c r="B389" s="23"/>
    </row>
    <row r="390" ht="15.75" customHeight="1">
      <c r="A390" s="23"/>
      <c r="B390" s="23"/>
    </row>
    <row r="391" ht="15.75" customHeight="1">
      <c r="A391" s="23"/>
      <c r="B391" s="23"/>
    </row>
    <row r="392" ht="15.75" customHeight="1">
      <c r="A392" s="23"/>
      <c r="B392" s="23"/>
    </row>
    <row r="393" ht="15.75" customHeight="1">
      <c r="A393" s="23"/>
      <c r="B393" s="23"/>
    </row>
    <row r="394" ht="15.75" customHeight="1">
      <c r="A394" s="23"/>
      <c r="B394" s="23"/>
    </row>
    <row r="395" ht="15.75" customHeight="1">
      <c r="A395" s="23"/>
      <c r="B395" s="23"/>
    </row>
    <row r="396" ht="15.75" customHeight="1">
      <c r="A396" s="23"/>
      <c r="B396" s="23"/>
    </row>
    <row r="397" ht="15.75" customHeight="1">
      <c r="A397" s="23"/>
      <c r="B397" s="23"/>
    </row>
    <row r="398" ht="15.75" customHeight="1">
      <c r="A398" s="23"/>
      <c r="B398" s="23"/>
    </row>
    <row r="399" ht="15.75" customHeight="1">
      <c r="A399" s="23"/>
      <c r="B399" s="23"/>
    </row>
    <row r="400" ht="15.75" customHeight="1">
      <c r="A400" s="23"/>
      <c r="B400" s="23"/>
    </row>
    <row r="401" ht="15.75" customHeight="1">
      <c r="A401" s="23"/>
      <c r="B401" s="23"/>
    </row>
    <row r="402" ht="15.75" customHeight="1">
      <c r="A402" s="23"/>
      <c r="B402" s="23"/>
    </row>
    <row r="403" ht="15.75" customHeight="1">
      <c r="A403" s="23"/>
      <c r="B403" s="23"/>
    </row>
    <row r="404" ht="15.75" customHeight="1">
      <c r="A404" s="23"/>
      <c r="B404" s="23"/>
    </row>
    <row r="405" ht="15.75" customHeight="1">
      <c r="A405" s="23"/>
      <c r="B405" s="23"/>
    </row>
    <row r="406" ht="15.75" customHeight="1">
      <c r="A406" s="23"/>
      <c r="B406" s="23"/>
    </row>
    <row r="407" ht="15.75" customHeight="1">
      <c r="A407" s="23"/>
      <c r="B407" s="23"/>
    </row>
    <row r="408" ht="15.75" customHeight="1">
      <c r="A408" s="23"/>
      <c r="B408" s="23"/>
    </row>
    <row r="409" ht="15.75" customHeight="1">
      <c r="A409" s="23"/>
      <c r="B409" s="23"/>
    </row>
    <row r="410" ht="15.75" customHeight="1">
      <c r="A410" s="23"/>
      <c r="B410" s="23"/>
    </row>
    <row r="411" ht="15.75" customHeight="1">
      <c r="A411" s="23"/>
      <c r="B411" s="23"/>
    </row>
    <row r="412" ht="15.75" customHeight="1">
      <c r="A412" s="23"/>
      <c r="B412" s="23"/>
    </row>
    <row r="413" ht="15.75" customHeight="1">
      <c r="A413" s="23"/>
      <c r="B413" s="23"/>
    </row>
    <row r="414" ht="15.75" customHeight="1">
      <c r="A414" s="23"/>
      <c r="B414" s="23"/>
    </row>
    <row r="415" ht="15.75" customHeight="1">
      <c r="A415" s="23"/>
      <c r="B415" s="23"/>
    </row>
    <row r="416" ht="15.75" customHeight="1">
      <c r="A416" s="23"/>
      <c r="B416" s="23"/>
    </row>
    <row r="417" ht="15.75" customHeight="1">
      <c r="A417" s="23"/>
      <c r="B417" s="23"/>
    </row>
    <row r="418" ht="15.75" customHeight="1">
      <c r="A418" s="23"/>
      <c r="B418" s="23"/>
    </row>
    <row r="419" ht="15.75" customHeight="1">
      <c r="A419" s="23"/>
      <c r="B419" s="23"/>
    </row>
    <row r="420" ht="15.75" customHeight="1">
      <c r="A420" s="23"/>
      <c r="B420" s="23"/>
    </row>
    <row r="421" ht="15.75" customHeight="1">
      <c r="A421" s="23"/>
      <c r="B421" s="23"/>
    </row>
    <row r="422" ht="15.75" customHeight="1">
      <c r="A422" s="23"/>
      <c r="B422" s="23"/>
    </row>
    <row r="423" ht="15.75" customHeight="1">
      <c r="A423" s="23"/>
      <c r="B423" s="23"/>
    </row>
    <row r="424" ht="15.75" customHeight="1">
      <c r="A424" s="23"/>
      <c r="B424" s="23"/>
    </row>
    <row r="425" ht="15.75" customHeight="1">
      <c r="A425" s="23"/>
      <c r="B425" s="23"/>
    </row>
    <row r="426" ht="15.75" customHeight="1">
      <c r="A426" s="23"/>
      <c r="B426" s="23"/>
    </row>
    <row r="427" ht="15.75" customHeight="1">
      <c r="A427" s="23"/>
      <c r="B427" s="23"/>
    </row>
    <row r="428" ht="15.75" customHeight="1">
      <c r="A428" s="23"/>
      <c r="B428" s="23"/>
    </row>
    <row r="429" ht="15.75" customHeight="1">
      <c r="A429" s="23"/>
      <c r="B429" s="23"/>
    </row>
    <row r="430" ht="15.75" customHeight="1">
      <c r="A430" s="23"/>
      <c r="B430" s="23"/>
    </row>
    <row r="431" ht="15.75" customHeight="1">
      <c r="A431" s="23"/>
      <c r="B431" s="23"/>
    </row>
    <row r="432" ht="15.75" customHeight="1">
      <c r="A432" s="23"/>
      <c r="B432" s="23"/>
    </row>
    <row r="433" ht="15.75" customHeight="1">
      <c r="A433" s="23"/>
      <c r="B433" s="23"/>
    </row>
    <row r="434" ht="15.75" customHeight="1">
      <c r="A434" s="23"/>
      <c r="B434" s="23"/>
    </row>
    <row r="435" ht="15.75" customHeight="1">
      <c r="A435" s="23"/>
      <c r="B435" s="23"/>
    </row>
    <row r="436" ht="15.75" customHeight="1">
      <c r="A436" s="23"/>
      <c r="B436" s="23"/>
    </row>
    <row r="437" ht="15.75" customHeight="1">
      <c r="A437" s="23"/>
      <c r="B437" s="23"/>
    </row>
    <row r="438" ht="15.75" customHeight="1">
      <c r="A438" s="23"/>
      <c r="B438" s="23"/>
    </row>
    <row r="439" ht="15.75" customHeight="1">
      <c r="A439" s="23"/>
      <c r="B439" s="23"/>
    </row>
    <row r="440" ht="15.75" customHeight="1">
      <c r="A440" s="23"/>
      <c r="B440" s="23"/>
    </row>
    <row r="441" ht="15.75" customHeight="1">
      <c r="A441" s="23"/>
      <c r="B441" s="23"/>
    </row>
    <row r="442" ht="15.75" customHeight="1">
      <c r="A442" s="23"/>
      <c r="B442" s="23"/>
    </row>
    <row r="443" ht="15.75" customHeight="1">
      <c r="A443" s="23"/>
      <c r="B443" s="23"/>
    </row>
    <row r="444" ht="15.75" customHeight="1">
      <c r="A444" s="23"/>
      <c r="B444" s="23"/>
    </row>
    <row r="445" ht="15.75" customHeight="1">
      <c r="A445" s="23"/>
      <c r="B445" s="23"/>
    </row>
    <row r="446" ht="15.75" customHeight="1">
      <c r="A446" s="23"/>
      <c r="B446" s="23"/>
    </row>
    <row r="447" ht="15.75" customHeight="1">
      <c r="A447" s="23"/>
      <c r="B447" s="23"/>
    </row>
    <row r="448" ht="15.75" customHeight="1">
      <c r="A448" s="23"/>
      <c r="B448" s="23"/>
    </row>
    <row r="449" ht="15.75" customHeight="1">
      <c r="A449" s="23"/>
      <c r="B449" s="23"/>
    </row>
    <row r="450" ht="15.75" customHeight="1">
      <c r="A450" s="23"/>
      <c r="B450" s="23"/>
    </row>
    <row r="451" ht="15.75" customHeight="1">
      <c r="A451" s="23"/>
      <c r="B451" s="23"/>
    </row>
    <row r="452" ht="15.75" customHeight="1">
      <c r="A452" s="23"/>
      <c r="B452" s="23"/>
    </row>
    <row r="453" ht="15.75" customHeight="1">
      <c r="A453" s="23"/>
      <c r="B453" s="23"/>
    </row>
    <row r="454" ht="15.75" customHeight="1">
      <c r="A454" s="23"/>
      <c r="B454" s="23"/>
    </row>
    <row r="455" ht="15.75" customHeight="1">
      <c r="A455" s="23"/>
      <c r="B455" s="23"/>
    </row>
    <row r="456" ht="15.75" customHeight="1">
      <c r="A456" s="23"/>
      <c r="B456" s="23"/>
    </row>
    <row r="457" ht="15.75" customHeight="1">
      <c r="A457" s="23"/>
      <c r="B457" s="23"/>
    </row>
    <row r="458" ht="15.75" customHeight="1">
      <c r="A458" s="23"/>
      <c r="B458" s="23"/>
    </row>
    <row r="459" ht="15.75" customHeight="1">
      <c r="A459" s="23"/>
      <c r="B459" s="23"/>
    </row>
    <row r="460" ht="15.75" customHeight="1">
      <c r="A460" s="23"/>
      <c r="B460" s="23"/>
    </row>
    <row r="461" ht="15.75" customHeight="1">
      <c r="A461" s="23"/>
      <c r="B461" s="23"/>
    </row>
    <row r="462" ht="15.75" customHeight="1">
      <c r="A462" s="23"/>
      <c r="B462" s="23"/>
    </row>
    <row r="463" ht="15.75" customHeight="1">
      <c r="A463" s="23"/>
      <c r="B463" s="23"/>
    </row>
    <row r="464" ht="15.75" customHeight="1">
      <c r="A464" s="23"/>
      <c r="B464" s="23"/>
    </row>
    <row r="465" ht="15.75" customHeight="1">
      <c r="A465" s="23"/>
      <c r="B465" s="23"/>
    </row>
    <row r="466" ht="15.75" customHeight="1">
      <c r="A466" s="23"/>
      <c r="B466" s="23"/>
    </row>
    <row r="467" ht="15.75" customHeight="1">
      <c r="A467" s="23"/>
      <c r="B467" s="23"/>
    </row>
    <row r="468" ht="15.75" customHeight="1">
      <c r="A468" s="23"/>
      <c r="B468" s="23"/>
    </row>
    <row r="469" ht="15.75" customHeight="1">
      <c r="A469" s="23"/>
      <c r="B469" s="23"/>
    </row>
    <row r="470" ht="15.75" customHeight="1">
      <c r="A470" s="23"/>
      <c r="B470" s="23"/>
    </row>
    <row r="471" ht="15.75" customHeight="1">
      <c r="A471" s="23"/>
      <c r="B471" s="23"/>
    </row>
    <row r="472" ht="15.75" customHeight="1">
      <c r="A472" s="23"/>
      <c r="B472" s="23"/>
    </row>
    <row r="473" ht="15.75" customHeight="1">
      <c r="A473" s="23"/>
      <c r="B473" s="23"/>
    </row>
    <row r="474" ht="15.75" customHeight="1">
      <c r="A474" s="23"/>
      <c r="B474" s="23"/>
    </row>
    <row r="475" ht="15.75" customHeight="1">
      <c r="A475" s="23"/>
      <c r="B475" s="23"/>
    </row>
    <row r="476" ht="15.75" customHeight="1">
      <c r="A476" s="23"/>
      <c r="B476" s="23"/>
    </row>
    <row r="477" ht="15.75" customHeight="1">
      <c r="A477" s="23"/>
      <c r="B477" s="23"/>
    </row>
    <row r="478" ht="15.75" customHeight="1">
      <c r="A478" s="23"/>
      <c r="B478" s="23"/>
    </row>
    <row r="479" ht="15.75" customHeight="1">
      <c r="A479" s="23"/>
      <c r="B479" s="23"/>
    </row>
    <row r="480" ht="15.75" customHeight="1">
      <c r="A480" s="23"/>
      <c r="B480" s="23"/>
    </row>
    <row r="481" ht="15.75" customHeight="1">
      <c r="A481" s="23"/>
      <c r="B481" s="23"/>
    </row>
    <row r="482" ht="15.75" customHeight="1">
      <c r="A482" s="23"/>
      <c r="B482" s="23"/>
    </row>
    <row r="483" ht="15.75" customHeight="1">
      <c r="A483" s="23"/>
      <c r="B483" s="23"/>
    </row>
    <row r="484" ht="15.75" customHeight="1">
      <c r="A484" s="23"/>
      <c r="B484" s="23"/>
    </row>
    <row r="485" ht="15.75" customHeight="1">
      <c r="A485" s="23"/>
      <c r="B485" s="23"/>
    </row>
    <row r="486" ht="15.75" customHeight="1">
      <c r="A486" s="23"/>
      <c r="B486" s="23"/>
    </row>
    <row r="487" ht="15.75" customHeight="1">
      <c r="A487" s="23"/>
      <c r="B487" s="23"/>
    </row>
    <row r="488" ht="15.75" customHeight="1">
      <c r="A488" s="23"/>
      <c r="B488" s="23"/>
    </row>
    <row r="489" ht="15.75" customHeight="1">
      <c r="A489" s="23"/>
      <c r="B489" s="23"/>
    </row>
    <row r="490" ht="15.75" customHeight="1">
      <c r="A490" s="23"/>
      <c r="B490" s="23"/>
    </row>
    <row r="491" ht="15.75" customHeight="1">
      <c r="A491" s="23"/>
      <c r="B491" s="23"/>
    </row>
    <row r="492" ht="15.75" customHeight="1">
      <c r="A492" s="23"/>
      <c r="B492" s="23"/>
    </row>
    <row r="493" ht="15.75" customHeight="1">
      <c r="A493" s="23"/>
      <c r="B493" s="23"/>
    </row>
    <row r="494" ht="15.75" customHeight="1">
      <c r="A494" s="23"/>
      <c r="B494" s="23"/>
    </row>
    <row r="495" ht="15.75" customHeight="1">
      <c r="A495" s="23"/>
      <c r="B495" s="23"/>
    </row>
    <row r="496" ht="15.75" customHeight="1">
      <c r="A496" s="23"/>
      <c r="B496" s="23"/>
    </row>
    <row r="497" ht="15.75" customHeight="1">
      <c r="A497" s="23"/>
      <c r="B497" s="23"/>
    </row>
    <row r="498" ht="15.75" customHeight="1">
      <c r="A498" s="23"/>
      <c r="B498" s="23"/>
    </row>
    <row r="499" ht="15.75" customHeight="1">
      <c r="A499" s="23"/>
      <c r="B499" s="23"/>
    </row>
    <row r="500" ht="15.75" customHeight="1">
      <c r="A500" s="23"/>
      <c r="B500" s="23"/>
    </row>
    <row r="501" ht="15.75" customHeight="1">
      <c r="A501" s="23"/>
      <c r="B501" s="23"/>
    </row>
    <row r="502" ht="15.75" customHeight="1">
      <c r="A502" s="23"/>
      <c r="B502" s="23"/>
    </row>
    <row r="503" ht="15.75" customHeight="1">
      <c r="A503" s="23"/>
      <c r="B503" s="23"/>
    </row>
    <row r="504" ht="15.75" customHeight="1">
      <c r="A504" s="23"/>
      <c r="B504" s="23"/>
    </row>
    <row r="505" ht="15.75" customHeight="1">
      <c r="A505" s="23"/>
      <c r="B505" s="23"/>
    </row>
    <row r="506" ht="15.75" customHeight="1">
      <c r="A506" s="23"/>
      <c r="B506" s="23"/>
    </row>
    <row r="507" ht="15.75" customHeight="1">
      <c r="A507" s="23"/>
      <c r="B507" s="23"/>
    </row>
    <row r="508" ht="15.75" customHeight="1">
      <c r="A508" s="23"/>
      <c r="B508" s="23"/>
    </row>
    <row r="509" ht="15.75" customHeight="1">
      <c r="A509" s="23"/>
      <c r="B509" s="23"/>
    </row>
    <row r="510" ht="15.75" customHeight="1">
      <c r="A510" s="23"/>
      <c r="B510" s="23"/>
    </row>
    <row r="511" ht="15.75" customHeight="1">
      <c r="A511" s="23"/>
      <c r="B511" s="23"/>
    </row>
    <row r="512" ht="15.75" customHeight="1">
      <c r="A512" s="23"/>
      <c r="B512" s="23"/>
    </row>
    <row r="513" ht="15.75" customHeight="1">
      <c r="A513" s="23"/>
      <c r="B513" s="23"/>
    </row>
    <row r="514" ht="15.75" customHeight="1">
      <c r="A514" s="23"/>
      <c r="B514" s="23"/>
    </row>
    <row r="515" ht="15.75" customHeight="1">
      <c r="A515" s="23"/>
      <c r="B515" s="23"/>
    </row>
    <row r="516" ht="15.75" customHeight="1">
      <c r="A516" s="23"/>
      <c r="B516" s="23"/>
    </row>
    <row r="517" ht="15.75" customHeight="1">
      <c r="A517" s="23"/>
      <c r="B517" s="23"/>
    </row>
    <row r="518" ht="15.75" customHeight="1">
      <c r="A518" s="23"/>
      <c r="B518" s="23"/>
    </row>
    <row r="519" ht="15.75" customHeight="1">
      <c r="A519" s="23"/>
      <c r="B519" s="23"/>
    </row>
    <row r="520" ht="15.75" customHeight="1">
      <c r="A520" s="23"/>
      <c r="B520" s="23"/>
    </row>
    <row r="521" ht="15.75" customHeight="1">
      <c r="A521" s="23"/>
      <c r="B521" s="23"/>
    </row>
    <row r="522" ht="15.75" customHeight="1">
      <c r="A522" s="23"/>
      <c r="B522" s="23"/>
    </row>
    <row r="523" ht="15.75" customHeight="1">
      <c r="A523" s="23"/>
      <c r="B523" s="23"/>
    </row>
    <row r="524" ht="15.75" customHeight="1">
      <c r="A524" s="23"/>
      <c r="B524" s="23"/>
    </row>
    <row r="525" ht="15.75" customHeight="1">
      <c r="A525" s="23"/>
      <c r="B525" s="23"/>
    </row>
    <row r="526" ht="15.75" customHeight="1">
      <c r="A526" s="23"/>
      <c r="B526" s="23"/>
    </row>
    <row r="527" ht="15.75" customHeight="1">
      <c r="A527" s="23"/>
      <c r="B527" s="23"/>
    </row>
    <row r="528" ht="15.75" customHeight="1">
      <c r="A528" s="23"/>
      <c r="B528" s="23"/>
    </row>
    <row r="529" ht="15.75" customHeight="1">
      <c r="A529" s="23"/>
      <c r="B529" s="23"/>
    </row>
    <row r="530" ht="15.75" customHeight="1">
      <c r="A530" s="23"/>
      <c r="B530" s="23"/>
    </row>
    <row r="531" ht="15.75" customHeight="1">
      <c r="A531" s="23"/>
      <c r="B531" s="23"/>
    </row>
    <row r="532" ht="15.75" customHeight="1">
      <c r="A532" s="23"/>
      <c r="B532" s="23"/>
    </row>
    <row r="533" ht="15.75" customHeight="1">
      <c r="A533" s="23"/>
      <c r="B533" s="23"/>
    </row>
    <row r="534" ht="15.75" customHeight="1">
      <c r="A534" s="23"/>
      <c r="B534" s="23"/>
    </row>
    <row r="535" ht="15.75" customHeight="1">
      <c r="A535" s="23"/>
      <c r="B535" s="23"/>
    </row>
    <row r="536" ht="15.75" customHeight="1">
      <c r="A536" s="23"/>
      <c r="B536" s="23"/>
    </row>
    <row r="537" ht="15.75" customHeight="1">
      <c r="A537" s="23"/>
      <c r="B537" s="23"/>
    </row>
    <row r="538" ht="15.75" customHeight="1">
      <c r="A538" s="23"/>
      <c r="B538" s="23"/>
    </row>
    <row r="539" ht="15.75" customHeight="1">
      <c r="A539" s="23"/>
      <c r="B539" s="23"/>
    </row>
    <row r="540" ht="15.75" customHeight="1">
      <c r="A540" s="23"/>
      <c r="B540" s="23"/>
    </row>
    <row r="541" ht="15.75" customHeight="1">
      <c r="A541" s="23"/>
      <c r="B541" s="23"/>
    </row>
    <row r="542" ht="15.75" customHeight="1">
      <c r="A542" s="23"/>
      <c r="B542" s="23"/>
    </row>
    <row r="543" ht="15.75" customHeight="1">
      <c r="A543" s="23"/>
      <c r="B543" s="23"/>
    </row>
    <row r="544" ht="15.75" customHeight="1">
      <c r="A544" s="23"/>
      <c r="B544" s="23"/>
    </row>
    <row r="545" ht="15.75" customHeight="1">
      <c r="A545" s="23"/>
      <c r="B545" s="23"/>
    </row>
    <row r="546" ht="15.75" customHeight="1">
      <c r="A546" s="23"/>
      <c r="B546" s="23"/>
    </row>
    <row r="547" ht="15.75" customHeight="1">
      <c r="A547" s="23"/>
      <c r="B547" s="23"/>
    </row>
    <row r="548" ht="15.75" customHeight="1">
      <c r="A548" s="23"/>
      <c r="B548" s="23"/>
    </row>
    <row r="549" ht="15.75" customHeight="1">
      <c r="A549" s="23"/>
      <c r="B549" s="23"/>
    </row>
    <row r="550" ht="15.75" customHeight="1">
      <c r="A550" s="23"/>
      <c r="B550" s="23"/>
    </row>
    <row r="551" ht="15.75" customHeight="1">
      <c r="A551" s="23"/>
      <c r="B551" s="23"/>
    </row>
    <row r="552" ht="15.75" customHeight="1">
      <c r="A552" s="23"/>
      <c r="B552" s="23"/>
    </row>
    <row r="553" ht="15.75" customHeight="1">
      <c r="A553" s="23"/>
      <c r="B553" s="23"/>
    </row>
    <row r="554" ht="15.75" customHeight="1">
      <c r="A554" s="23"/>
      <c r="B554" s="23"/>
    </row>
    <row r="555" ht="15.75" customHeight="1">
      <c r="A555" s="23"/>
      <c r="B555" s="23"/>
    </row>
    <row r="556" ht="15.75" customHeight="1">
      <c r="A556" s="23"/>
      <c r="B556" s="23"/>
    </row>
    <row r="557" ht="15.75" customHeight="1">
      <c r="A557" s="23"/>
      <c r="B557" s="23"/>
    </row>
    <row r="558" ht="15.75" customHeight="1">
      <c r="A558" s="23"/>
      <c r="B558" s="23"/>
    </row>
    <row r="559" ht="15.75" customHeight="1">
      <c r="A559" s="23"/>
      <c r="B559" s="23"/>
    </row>
    <row r="560" ht="15.75" customHeight="1">
      <c r="A560" s="23"/>
      <c r="B560" s="23"/>
    </row>
    <row r="561" ht="15.75" customHeight="1">
      <c r="A561" s="23"/>
      <c r="B561" s="23"/>
    </row>
    <row r="562" ht="15.75" customHeight="1">
      <c r="A562" s="23"/>
      <c r="B562" s="23"/>
    </row>
    <row r="563" ht="15.75" customHeight="1">
      <c r="A563" s="23"/>
      <c r="B563" s="23"/>
    </row>
    <row r="564" ht="15.75" customHeight="1">
      <c r="A564" s="23"/>
      <c r="B564" s="23"/>
    </row>
    <row r="565" ht="15.75" customHeight="1">
      <c r="A565" s="23"/>
      <c r="B565" s="23"/>
    </row>
    <row r="566" ht="15.75" customHeight="1">
      <c r="A566" s="23"/>
      <c r="B566" s="23"/>
    </row>
    <row r="567" ht="15.75" customHeight="1">
      <c r="A567" s="23"/>
      <c r="B567" s="23"/>
    </row>
    <row r="568" ht="15.75" customHeight="1">
      <c r="A568" s="23"/>
      <c r="B568" s="23"/>
    </row>
    <row r="569" ht="15.75" customHeight="1">
      <c r="A569" s="23"/>
      <c r="B569" s="23"/>
    </row>
    <row r="570" ht="15.75" customHeight="1">
      <c r="A570" s="23"/>
      <c r="B570" s="23"/>
    </row>
    <row r="571" ht="15.75" customHeight="1">
      <c r="A571" s="23"/>
      <c r="B571" s="23"/>
    </row>
    <row r="572" ht="15.75" customHeight="1">
      <c r="A572" s="23"/>
      <c r="B572" s="23"/>
    </row>
    <row r="573" ht="15.75" customHeight="1">
      <c r="A573" s="23"/>
      <c r="B573" s="23"/>
    </row>
    <row r="574" ht="15.75" customHeight="1">
      <c r="A574" s="23"/>
      <c r="B574" s="23"/>
    </row>
    <row r="575" ht="15.75" customHeight="1">
      <c r="A575" s="23"/>
      <c r="B575" s="23"/>
    </row>
    <row r="576" ht="15.75" customHeight="1">
      <c r="A576" s="23"/>
      <c r="B576" s="23"/>
    </row>
    <row r="577" ht="15.75" customHeight="1">
      <c r="A577" s="23"/>
      <c r="B577" s="23"/>
    </row>
    <row r="578" ht="15.75" customHeight="1">
      <c r="A578" s="23"/>
      <c r="B578" s="23"/>
    </row>
    <row r="579" ht="15.75" customHeight="1">
      <c r="A579" s="23"/>
      <c r="B579" s="23"/>
    </row>
    <row r="580" ht="15.75" customHeight="1">
      <c r="A580" s="23"/>
      <c r="B580" s="23"/>
    </row>
    <row r="581" ht="15.75" customHeight="1">
      <c r="A581" s="23"/>
      <c r="B581" s="23"/>
    </row>
    <row r="582" ht="15.75" customHeight="1">
      <c r="A582" s="23"/>
      <c r="B582" s="23"/>
    </row>
    <row r="583" ht="15.75" customHeight="1">
      <c r="A583" s="23"/>
      <c r="B583" s="23"/>
    </row>
    <row r="584" ht="15.75" customHeight="1">
      <c r="A584" s="23"/>
      <c r="B584" s="23"/>
    </row>
    <row r="585" ht="15.75" customHeight="1">
      <c r="A585" s="23"/>
      <c r="B585" s="23"/>
    </row>
    <row r="586" ht="15.75" customHeight="1">
      <c r="A586" s="23"/>
      <c r="B586" s="23"/>
    </row>
    <row r="587" ht="15.75" customHeight="1">
      <c r="A587" s="23"/>
      <c r="B587" s="23"/>
    </row>
    <row r="588" ht="15.75" customHeight="1">
      <c r="A588" s="23"/>
      <c r="B588" s="23"/>
    </row>
    <row r="589" ht="15.75" customHeight="1">
      <c r="A589" s="23"/>
      <c r="B589" s="23"/>
    </row>
    <row r="590" ht="15.75" customHeight="1">
      <c r="A590" s="23"/>
      <c r="B590" s="23"/>
    </row>
    <row r="591" ht="15.75" customHeight="1">
      <c r="A591" s="23"/>
      <c r="B591" s="23"/>
    </row>
    <row r="592" ht="15.75" customHeight="1">
      <c r="A592" s="23"/>
      <c r="B592" s="23"/>
    </row>
    <row r="593" ht="15.75" customHeight="1">
      <c r="A593" s="23"/>
      <c r="B593" s="23"/>
    </row>
    <row r="594" ht="15.75" customHeight="1">
      <c r="A594" s="23"/>
      <c r="B594" s="23"/>
    </row>
    <row r="595" ht="15.75" customHeight="1">
      <c r="A595" s="23"/>
      <c r="B595" s="23"/>
    </row>
    <row r="596" ht="15.75" customHeight="1">
      <c r="A596" s="23"/>
      <c r="B596" s="23"/>
    </row>
    <row r="597" ht="15.75" customHeight="1">
      <c r="A597" s="23"/>
      <c r="B597" s="23"/>
    </row>
    <row r="598" ht="15.75" customHeight="1">
      <c r="A598" s="23"/>
      <c r="B598" s="23"/>
    </row>
    <row r="599" ht="15.75" customHeight="1">
      <c r="A599" s="23"/>
      <c r="B599" s="23"/>
    </row>
    <row r="600" ht="15.75" customHeight="1">
      <c r="A600" s="23"/>
      <c r="B600" s="23"/>
    </row>
    <row r="601" ht="15.75" customHeight="1">
      <c r="A601" s="23"/>
      <c r="B601" s="23"/>
    </row>
    <row r="602" ht="15.75" customHeight="1">
      <c r="A602" s="23"/>
      <c r="B602" s="23"/>
    </row>
    <row r="603" ht="15.75" customHeight="1">
      <c r="A603" s="23"/>
      <c r="B603" s="23"/>
    </row>
    <row r="604" ht="15.75" customHeight="1">
      <c r="A604" s="23"/>
      <c r="B604" s="23"/>
    </row>
    <row r="605" ht="15.75" customHeight="1">
      <c r="A605" s="23"/>
      <c r="B605" s="23"/>
    </row>
    <row r="606" ht="15.75" customHeight="1">
      <c r="A606" s="23"/>
      <c r="B606" s="23"/>
    </row>
    <row r="607" ht="15.75" customHeight="1">
      <c r="A607" s="23"/>
      <c r="B607" s="23"/>
    </row>
    <row r="608" ht="15.75" customHeight="1">
      <c r="A608" s="23"/>
      <c r="B608" s="23"/>
    </row>
    <row r="609" ht="15.75" customHeight="1">
      <c r="A609" s="23"/>
      <c r="B609" s="23"/>
    </row>
    <row r="610" ht="15.75" customHeight="1">
      <c r="A610" s="23"/>
      <c r="B610" s="23"/>
    </row>
    <row r="611" ht="15.75" customHeight="1">
      <c r="A611" s="23"/>
      <c r="B611" s="23"/>
    </row>
    <row r="612" ht="15.75" customHeight="1">
      <c r="A612" s="23"/>
      <c r="B612" s="23"/>
    </row>
    <row r="613" ht="15.75" customHeight="1">
      <c r="A613" s="23"/>
      <c r="B613" s="23"/>
    </row>
    <row r="614" ht="15.75" customHeight="1">
      <c r="A614" s="23"/>
      <c r="B614" s="23"/>
    </row>
    <row r="615" ht="15.75" customHeight="1">
      <c r="A615" s="23"/>
      <c r="B615" s="23"/>
    </row>
    <row r="616" ht="15.75" customHeight="1">
      <c r="A616" s="23"/>
      <c r="B616" s="23"/>
    </row>
    <row r="617" ht="15.75" customHeight="1">
      <c r="A617" s="23"/>
      <c r="B617" s="23"/>
    </row>
    <row r="618" ht="15.75" customHeight="1">
      <c r="A618" s="23"/>
      <c r="B618" s="23"/>
    </row>
    <row r="619" ht="15.75" customHeight="1">
      <c r="A619" s="23"/>
      <c r="B619" s="23"/>
    </row>
    <row r="620" ht="15.75" customHeight="1">
      <c r="A620" s="23"/>
      <c r="B620" s="23"/>
    </row>
    <row r="621" ht="15.75" customHeight="1">
      <c r="A621" s="23"/>
      <c r="B621" s="23"/>
    </row>
    <row r="622" ht="15.75" customHeight="1">
      <c r="A622" s="23"/>
      <c r="B622" s="23"/>
    </row>
    <row r="623" ht="15.75" customHeight="1">
      <c r="A623" s="23"/>
      <c r="B623" s="23"/>
    </row>
    <row r="624" ht="15.75" customHeight="1">
      <c r="A624" s="23"/>
      <c r="B624" s="23"/>
    </row>
    <row r="625" ht="15.75" customHeight="1">
      <c r="A625" s="23"/>
      <c r="B625" s="23"/>
    </row>
    <row r="626" ht="15.75" customHeight="1">
      <c r="A626" s="23"/>
      <c r="B626" s="23"/>
    </row>
    <row r="627" ht="15.75" customHeight="1">
      <c r="A627" s="23"/>
      <c r="B627" s="23"/>
    </row>
    <row r="628" ht="15.75" customHeight="1">
      <c r="A628" s="23"/>
      <c r="B628" s="23"/>
    </row>
    <row r="629" ht="15.75" customHeight="1">
      <c r="A629" s="23"/>
      <c r="B629" s="23"/>
    </row>
    <row r="630" ht="15.75" customHeight="1">
      <c r="A630" s="23"/>
      <c r="B630" s="23"/>
    </row>
    <row r="631" ht="15.75" customHeight="1">
      <c r="A631" s="23"/>
      <c r="B631" s="23"/>
    </row>
    <row r="632" ht="15.75" customHeight="1">
      <c r="A632" s="23"/>
      <c r="B632" s="23"/>
    </row>
    <row r="633" ht="15.75" customHeight="1">
      <c r="A633" s="23"/>
      <c r="B633" s="23"/>
    </row>
    <row r="634" ht="15.75" customHeight="1">
      <c r="A634" s="23"/>
      <c r="B634" s="23"/>
    </row>
    <row r="635" ht="15.75" customHeight="1">
      <c r="A635" s="23"/>
      <c r="B635" s="23"/>
    </row>
    <row r="636" ht="15.75" customHeight="1">
      <c r="A636" s="23"/>
      <c r="B636" s="23"/>
    </row>
    <row r="637" ht="15.75" customHeight="1">
      <c r="A637" s="23"/>
      <c r="B637" s="23"/>
    </row>
    <row r="638" ht="15.75" customHeight="1">
      <c r="A638" s="23"/>
      <c r="B638" s="23"/>
    </row>
    <row r="639" ht="15.75" customHeight="1">
      <c r="A639" s="23"/>
      <c r="B639" s="23"/>
    </row>
    <row r="640" ht="15.75" customHeight="1">
      <c r="A640" s="23"/>
      <c r="B640" s="23"/>
    </row>
    <row r="641" ht="15.75" customHeight="1">
      <c r="A641" s="23"/>
      <c r="B641" s="23"/>
    </row>
    <row r="642" ht="15.75" customHeight="1">
      <c r="A642" s="23"/>
      <c r="B642" s="23"/>
    </row>
    <row r="643" ht="15.75" customHeight="1">
      <c r="A643" s="23"/>
      <c r="B643" s="23"/>
    </row>
    <row r="644" ht="15.75" customHeight="1">
      <c r="A644" s="23"/>
      <c r="B644" s="23"/>
    </row>
    <row r="645" ht="15.75" customHeight="1">
      <c r="A645" s="23"/>
      <c r="B645" s="23"/>
    </row>
    <row r="646" ht="15.75" customHeight="1">
      <c r="A646" s="23"/>
      <c r="B646" s="23"/>
    </row>
    <row r="647" ht="15.75" customHeight="1">
      <c r="A647" s="23"/>
      <c r="B647" s="23"/>
    </row>
    <row r="648" ht="15.75" customHeight="1">
      <c r="A648" s="23"/>
      <c r="B648" s="23"/>
    </row>
    <row r="649" ht="15.75" customHeight="1">
      <c r="A649" s="23"/>
      <c r="B649" s="23"/>
    </row>
    <row r="650" ht="15.75" customHeight="1">
      <c r="A650" s="23"/>
      <c r="B650" s="23"/>
    </row>
    <row r="651" ht="15.75" customHeight="1">
      <c r="A651" s="23"/>
      <c r="B651" s="23"/>
    </row>
    <row r="652" ht="15.75" customHeight="1">
      <c r="A652" s="23"/>
      <c r="B652" s="23"/>
    </row>
    <row r="653" ht="15.75" customHeight="1">
      <c r="A653" s="23"/>
      <c r="B653" s="23"/>
    </row>
    <row r="654" ht="15.75" customHeight="1">
      <c r="A654" s="23"/>
      <c r="B654" s="23"/>
    </row>
    <row r="655" ht="15.75" customHeight="1">
      <c r="A655" s="23"/>
      <c r="B655" s="23"/>
    </row>
    <row r="656" ht="15.75" customHeight="1">
      <c r="A656" s="23"/>
      <c r="B656" s="23"/>
    </row>
    <row r="657" ht="15.75" customHeight="1">
      <c r="A657" s="23"/>
      <c r="B657" s="23"/>
    </row>
    <row r="658" ht="15.75" customHeight="1">
      <c r="A658" s="23"/>
      <c r="B658" s="23"/>
    </row>
    <row r="659" ht="15.75" customHeight="1">
      <c r="A659" s="23"/>
      <c r="B659" s="23"/>
    </row>
    <row r="660" ht="15.75" customHeight="1">
      <c r="A660" s="23"/>
      <c r="B660" s="23"/>
    </row>
    <row r="661" ht="15.75" customHeight="1">
      <c r="A661" s="23"/>
      <c r="B661" s="23"/>
    </row>
    <row r="662" ht="15.75" customHeight="1">
      <c r="A662" s="23"/>
      <c r="B662" s="23"/>
    </row>
    <row r="663" ht="15.75" customHeight="1">
      <c r="A663" s="23"/>
      <c r="B663" s="23"/>
    </row>
    <row r="664" ht="15.75" customHeight="1">
      <c r="A664" s="23"/>
      <c r="B664" s="23"/>
    </row>
    <row r="665" ht="15.75" customHeight="1">
      <c r="A665" s="23"/>
      <c r="B665" s="23"/>
    </row>
    <row r="666" ht="15.75" customHeight="1">
      <c r="A666" s="23"/>
      <c r="B666" s="23"/>
    </row>
    <row r="667" ht="15.75" customHeight="1">
      <c r="A667" s="23"/>
      <c r="B667" s="23"/>
    </row>
    <row r="668" ht="15.75" customHeight="1">
      <c r="A668" s="23"/>
      <c r="B668" s="23"/>
    </row>
    <row r="669" ht="15.75" customHeight="1">
      <c r="A669" s="23"/>
      <c r="B669" s="23"/>
    </row>
    <row r="670" ht="15.75" customHeight="1">
      <c r="A670" s="23"/>
      <c r="B670" s="23"/>
    </row>
    <row r="671" ht="15.75" customHeight="1">
      <c r="A671" s="23"/>
      <c r="B671" s="23"/>
    </row>
    <row r="672" ht="15.75" customHeight="1">
      <c r="A672" s="23"/>
      <c r="B672" s="23"/>
    </row>
    <row r="673" ht="15.75" customHeight="1">
      <c r="A673" s="23"/>
      <c r="B673" s="23"/>
    </row>
    <row r="674" ht="15.75" customHeight="1">
      <c r="A674" s="23"/>
      <c r="B674" s="23"/>
    </row>
    <row r="675" ht="15.75" customHeight="1">
      <c r="A675" s="23"/>
      <c r="B675" s="23"/>
    </row>
    <row r="676" ht="15.75" customHeight="1">
      <c r="A676" s="23"/>
      <c r="B676" s="23"/>
    </row>
    <row r="677" ht="15.75" customHeight="1">
      <c r="A677" s="23"/>
      <c r="B677" s="23"/>
    </row>
    <row r="678" ht="15.75" customHeight="1">
      <c r="A678" s="23"/>
      <c r="B678" s="23"/>
    </row>
    <row r="679" ht="15.75" customHeight="1">
      <c r="A679" s="23"/>
      <c r="B679" s="23"/>
    </row>
    <row r="680" ht="15.75" customHeight="1">
      <c r="A680" s="23"/>
      <c r="B680" s="23"/>
    </row>
    <row r="681" ht="15.75" customHeight="1">
      <c r="A681" s="23"/>
      <c r="B681" s="23"/>
    </row>
    <row r="682" ht="15.75" customHeight="1">
      <c r="A682" s="23"/>
      <c r="B682" s="23"/>
    </row>
    <row r="683" ht="15.75" customHeight="1">
      <c r="A683" s="23"/>
      <c r="B683" s="23"/>
    </row>
    <row r="684" ht="15.75" customHeight="1">
      <c r="A684" s="23"/>
      <c r="B684" s="23"/>
    </row>
    <row r="685" ht="15.75" customHeight="1">
      <c r="A685" s="23"/>
      <c r="B685" s="23"/>
    </row>
    <row r="686" ht="15.75" customHeight="1">
      <c r="A686" s="23"/>
      <c r="B686" s="23"/>
    </row>
    <row r="687" ht="15.75" customHeight="1">
      <c r="A687" s="23"/>
      <c r="B687" s="23"/>
    </row>
    <row r="688" ht="15.75" customHeight="1">
      <c r="A688" s="23"/>
      <c r="B688" s="23"/>
    </row>
    <row r="689" ht="15.75" customHeight="1">
      <c r="A689" s="23"/>
      <c r="B689" s="23"/>
    </row>
    <row r="690" ht="15.75" customHeight="1">
      <c r="A690" s="23"/>
      <c r="B690" s="23"/>
    </row>
    <row r="691" ht="15.75" customHeight="1">
      <c r="A691" s="23"/>
      <c r="B691" s="23"/>
    </row>
    <row r="692" ht="15.75" customHeight="1">
      <c r="A692" s="23"/>
      <c r="B692" s="23"/>
    </row>
    <row r="693" ht="15.75" customHeight="1">
      <c r="A693" s="23"/>
      <c r="B693" s="23"/>
    </row>
    <row r="694" ht="15.75" customHeight="1">
      <c r="A694" s="23"/>
      <c r="B694" s="23"/>
    </row>
    <row r="695" ht="15.75" customHeight="1">
      <c r="A695" s="23"/>
      <c r="B695" s="23"/>
    </row>
    <row r="696" ht="15.75" customHeight="1">
      <c r="A696" s="23"/>
      <c r="B696" s="23"/>
    </row>
    <row r="697" ht="15.75" customHeight="1">
      <c r="A697" s="23"/>
      <c r="B697" s="23"/>
    </row>
    <row r="698" ht="15.75" customHeight="1">
      <c r="A698" s="23"/>
      <c r="B698" s="23"/>
    </row>
    <row r="699" ht="15.75" customHeight="1">
      <c r="A699" s="23"/>
      <c r="B699" s="23"/>
    </row>
    <row r="700" ht="15.75" customHeight="1">
      <c r="A700" s="23"/>
      <c r="B700" s="23"/>
    </row>
    <row r="701" ht="15.75" customHeight="1">
      <c r="A701" s="23"/>
      <c r="B701" s="23"/>
    </row>
    <row r="702" ht="15.75" customHeight="1">
      <c r="A702" s="23"/>
      <c r="B702" s="23"/>
    </row>
    <row r="703" ht="15.75" customHeight="1">
      <c r="A703" s="23"/>
      <c r="B703" s="23"/>
    </row>
    <row r="704" ht="15.75" customHeight="1">
      <c r="A704" s="23"/>
      <c r="B704" s="23"/>
    </row>
    <row r="705" ht="15.75" customHeight="1">
      <c r="A705" s="23"/>
      <c r="B705" s="23"/>
    </row>
    <row r="706" ht="15.75" customHeight="1">
      <c r="A706" s="23"/>
      <c r="B706" s="23"/>
    </row>
    <row r="707" ht="15.75" customHeight="1">
      <c r="A707" s="23"/>
      <c r="B707" s="23"/>
    </row>
    <row r="708" ht="15.75" customHeight="1">
      <c r="A708" s="23"/>
      <c r="B708" s="23"/>
    </row>
    <row r="709" ht="15.75" customHeight="1">
      <c r="A709" s="23"/>
      <c r="B709" s="23"/>
    </row>
    <row r="710" ht="15.75" customHeight="1">
      <c r="A710" s="23"/>
      <c r="B710" s="23"/>
    </row>
    <row r="711" ht="15.75" customHeight="1">
      <c r="A711" s="23"/>
      <c r="B711" s="23"/>
    </row>
    <row r="712" ht="15.75" customHeight="1">
      <c r="A712" s="23"/>
      <c r="B712" s="23"/>
    </row>
    <row r="713" ht="15.75" customHeight="1">
      <c r="A713" s="23"/>
      <c r="B713" s="23"/>
    </row>
    <row r="714" ht="15.75" customHeight="1">
      <c r="A714" s="23"/>
      <c r="B714" s="23"/>
    </row>
    <row r="715" ht="15.75" customHeight="1">
      <c r="A715" s="23"/>
      <c r="B715" s="23"/>
    </row>
    <row r="716" ht="15.75" customHeight="1">
      <c r="A716" s="23"/>
      <c r="B716" s="23"/>
    </row>
    <row r="717" ht="15.75" customHeight="1">
      <c r="A717" s="23"/>
      <c r="B717" s="23"/>
    </row>
    <row r="718" ht="15.75" customHeight="1">
      <c r="A718" s="23"/>
      <c r="B718" s="23"/>
    </row>
    <row r="719" ht="15.75" customHeight="1">
      <c r="A719" s="23"/>
      <c r="B719" s="23"/>
    </row>
    <row r="720" ht="15.75" customHeight="1">
      <c r="A720" s="23"/>
      <c r="B720" s="23"/>
    </row>
    <row r="721" ht="15.75" customHeight="1">
      <c r="A721" s="23"/>
      <c r="B721" s="23"/>
    </row>
    <row r="722" ht="15.75" customHeight="1">
      <c r="A722" s="23"/>
      <c r="B722" s="23"/>
    </row>
    <row r="723" ht="15.75" customHeight="1">
      <c r="A723" s="23"/>
      <c r="B723" s="23"/>
    </row>
    <row r="724" ht="15.75" customHeight="1">
      <c r="A724" s="23"/>
      <c r="B724" s="23"/>
    </row>
    <row r="725" ht="15.75" customHeight="1">
      <c r="A725" s="23"/>
      <c r="B725" s="23"/>
    </row>
    <row r="726" ht="15.75" customHeight="1">
      <c r="A726" s="23"/>
      <c r="B726" s="23"/>
    </row>
    <row r="727" ht="15.75" customHeight="1">
      <c r="A727" s="23"/>
      <c r="B727" s="23"/>
    </row>
    <row r="728" ht="15.75" customHeight="1">
      <c r="A728" s="23"/>
      <c r="B728" s="23"/>
    </row>
    <row r="729" ht="15.75" customHeight="1">
      <c r="A729" s="23"/>
      <c r="B729" s="23"/>
    </row>
    <row r="730" ht="15.75" customHeight="1">
      <c r="A730" s="23"/>
      <c r="B730" s="23"/>
    </row>
    <row r="731" ht="15.75" customHeight="1">
      <c r="A731" s="23"/>
      <c r="B731" s="23"/>
    </row>
    <row r="732" ht="15.75" customHeight="1">
      <c r="A732" s="23"/>
      <c r="B732" s="23"/>
    </row>
    <row r="733" ht="15.75" customHeight="1">
      <c r="A733" s="23"/>
      <c r="B733" s="23"/>
    </row>
    <row r="734" ht="15.75" customHeight="1">
      <c r="A734" s="23"/>
      <c r="B734" s="23"/>
    </row>
    <row r="735" ht="15.75" customHeight="1">
      <c r="A735" s="23"/>
      <c r="B735" s="23"/>
    </row>
    <row r="736" ht="15.75" customHeight="1">
      <c r="A736" s="23"/>
      <c r="B736" s="23"/>
    </row>
    <row r="737" ht="15.75" customHeight="1">
      <c r="A737" s="23"/>
      <c r="B737" s="23"/>
    </row>
    <row r="738" ht="15.75" customHeight="1">
      <c r="A738" s="23"/>
      <c r="B738" s="23"/>
    </row>
    <row r="739" ht="15.75" customHeight="1">
      <c r="A739" s="23"/>
      <c r="B739" s="23"/>
    </row>
    <row r="740" ht="15.75" customHeight="1">
      <c r="A740" s="23"/>
      <c r="B740" s="23"/>
    </row>
    <row r="741" ht="15.75" customHeight="1">
      <c r="A741" s="23"/>
      <c r="B741" s="23"/>
    </row>
    <row r="742" ht="15.75" customHeight="1">
      <c r="A742" s="23"/>
      <c r="B742" s="23"/>
    </row>
    <row r="743" ht="15.75" customHeight="1">
      <c r="A743" s="23"/>
      <c r="B743" s="23"/>
    </row>
    <row r="744" ht="15.75" customHeight="1">
      <c r="A744" s="23"/>
      <c r="B744" s="23"/>
    </row>
    <row r="745" ht="15.75" customHeight="1">
      <c r="A745" s="23"/>
      <c r="B745" s="23"/>
    </row>
    <row r="746" ht="15.75" customHeight="1">
      <c r="A746" s="23"/>
      <c r="B746" s="23"/>
    </row>
    <row r="747" ht="15.75" customHeight="1">
      <c r="A747" s="23"/>
      <c r="B747" s="23"/>
    </row>
    <row r="748" ht="15.75" customHeight="1">
      <c r="A748" s="23"/>
      <c r="B748" s="23"/>
    </row>
    <row r="749" ht="15.75" customHeight="1">
      <c r="A749" s="23"/>
      <c r="B749" s="23"/>
    </row>
    <row r="750" ht="15.75" customHeight="1">
      <c r="A750" s="23"/>
      <c r="B750" s="23"/>
    </row>
    <row r="751" ht="15.75" customHeight="1">
      <c r="A751" s="23"/>
      <c r="B751" s="23"/>
    </row>
    <row r="752" ht="15.75" customHeight="1">
      <c r="A752" s="23"/>
      <c r="B752" s="23"/>
    </row>
    <row r="753" ht="15.75" customHeight="1">
      <c r="A753" s="23"/>
      <c r="B753" s="23"/>
    </row>
    <row r="754" ht="15.75" customHeight="1">
      <c r="A754" s="23"/>
      <c r="B754" s="23"/>
    </row>
    <row r="755" ht="15.75" customHeight="1">
      <c r="A755" s="23"/>
      <c r="B755" s="23"/>
    </row>
    <row r="756" ht="15.75" customHeight="1">
      <c r="A756" s="23"/>
      <c r="B756" s="23"/>
    </row>
    <row r="757" ht="15.75" customHeight="1">
      <c r="A757" s="23"/>
      <c r="B757" s="23"/>
    </row>
    <row r="758" ht="15.75" customHeight="1">
      <c r="A758" s="23"/>
      <c r="B758" s="23"/>
    </row>
    <row r="759" ht="15.75" customHeight="1">
      <c r="A759" s="23"/>
      <c r="B759" s="23"/>
    </row>
    <row r="760" ht="15.75" customHeight="1">
      <c r="A760" s="23"/>
      <c r="B760" s="23"/>
    </row>
    <row r="761" ht="15.75" customHeight="1">
      <c r="A761" s="23"/>
      <c r="B761" s="23"/>
    </row>
    <row r="762" ht="15.75" customHeight="1">
      <c r="A762" s="23"/>
      <c r="B762" s="23"/>
    </row>
    <row r="763" ht="15.75" customHeight="1">
      <c r="A763" s="23"/>
      <c r="B763" s="23"/>
    </row>
    <row r="764" ht="15.75" customHeight="1">
      <c r="A764" s="23"/>
      <c r="B764" s="23"/>
    </row>
    <row r="765" ht="15.75" customHeight="1">
      <c r="A765" s="23"/>
      <c r="B765" s="23"/>
    </row>
    <row r="766" ht="15.75" customHeight="1">
      <c r="A766" s="23"/>
      <c r="B766" s="23"/>
    </row>
    <row r="767" ht="15.75" customHeight="1">
      <c r="A767" s="23"/>
      <c r="B767" s="23"/>
    </row>
    <row r="768" ht="15.75" customHeight="1">
      <c r="A768" s="23"/>
      <c r="B768" s="23"/>
    </row>
    <row r="769" ht="15.75" customHeight="1">
      <c r="A769" s="23"/>
      <c r="B769" s="23"/>
    </row>
    <row r="770" ht="15.75" customHeight="1">
      <c r="A770" s="23"/>
      <c r="B770" s="23"/>
    </row>
    <row r="771" ht="15.75" customHeight="1">
      <c r="A771" s="23"/>
      <c r="B771" s="23"/>
    </row>
    <row r="772" ht="15.75" customHeight="1">
      <c r="A772" s="23"/>
      <c r="B772" s="23"/>
    </row>
    <row r="773" ht="15.75" customHeight="1">
      <c r="A773" s="23"/>
      <c r="B773" s="23"/>
    </row>
    <row r="774" ht="15.75" customHeight="1">
      <c r="A774" s="23"/>
      <c r="B774" s="23"/>
    </row>
    <row r="775" ht="15.75" customHeight="1">
      <c r="A775" s="23"/>
      <c r="B775" s="23"/>
    </row>
    <row r="776" ht="15.75" customHeight="1">
      <c r="A776" s="23"/>
      <c r="B776" s="23"/>
    </row>
    <row r="777" ht="15.75" customHeight="1">
      <c r="A777" s="23"/>
      <c r="B777" s="23"/>
    </row>
    <row r="778" ht="15.75" customHeight="1">
      <c r="A778" s="23"/>
      <c r="B778" s="23"/>
    </row>
    <row r="779" ht="15.75" customHeight="1">
      <c r="A779" s="23"/>
      <c r="B779" s="23"/>
    </row>
    <row r="780" ht="15.75" customHeight="1">
      <c r="A780" s="23"/>
      <c r="B780" s="23"/>
    </row>
    <row r="781" ht="15.75" customHeight="1">
      <c r="A781" s="23"/>
      <c r="B781" s="23"/>
    </row>
    <row r="782" ht="15.75" customHeight="1">
      <c r="A782" s="23"/>
      <c r="B782" s="23"/>
    </row>
    <row r="783" ht="15.75" customHeight="1">
      <c r="A783" s="23"/>
      <c r="B783" s="23"/>
    </row>
    <row r="784" ht="15.75" customHeight="1">
      <c r="A784" s="23"/>
      <c r="B784" s="23"/>
    </row>
    <row r="785" ht="15.75" customHeight="1">
      <c r="A785" s="23"/>
      <c r="B785" s="23"/>
    </row>
    <row r="786" ht="15.75" customHeight="1">
      <c r="A786" s="23"/>
      <c r="B786" s="23"/>
    </row>
    <row r="787" ht="15.75" customHeight="1">
      <c r="A787" s="23"/>
      <c r="B787" s="23"/>
    </row>
    <row r="788" ht="15.75" customHeight="1">
      <c r="A788" s="23"/>
      <c r="B788" s="23"/>
    </row>
    <row r="789" ht="15.75" customHeight="1">
      <c r="A789" s="23"/>
      <c r="B789" s="23"/>
    </row>
    <row r="790" ht="15.75" customHeight="1">
      <c r="A790" s="23"/>
      <c r="B790" s="23"/>
    </row>
    <row r="791" ht="15.75" customHeight="1">
      <c r="A791" s="23"/>
      <c r="B791" s="23"/>
    </row>
    <row r="792" ht="15.75" customHeight="1">
      <c r="A792" s="23"/>
      <c r="B792" s="23"/>
    </row>
    <row r="793" ht="15.75" customHeight="1">
      <c r="A793" s="23"/>
      <c r="B793" s="23"/>
    </row>
    <row r="794" ht="15.75" customHeight="1">
      <c r="A794" s="23"/>
      <c r="B794" s="23"/>
    </row>
    <row r="795" ht="15.75" customHeight="1">
      <c r="A795" s="23"/>
      <c r="B795" s="23"/>
    </row>
    <row r="796" ht="15.75" customHeight="1">
      <c r="A796" s="23"/>
      <c r="B796" s="23"/>
    </row>
    <row r="797" ht="15.75" customHeight="1">
      <c r="A797" s="23"/>
      <c r="B797" s="23"/>
    </row>
    <row r="798" ht="15.75" customHeight="1">
      <c r="A798" s="23"/>
      <c r="B798" s="23"/>
    </row>
    <row r="799" ht="15.75" customHeight="1">
      <c r="A799" s="23"/>
      <c r="B799" s="23"/>
    </row>
    <row r="800" ht="15.75" customHeight="1">
      <c r="A800" s="23"/>
      <c r="B800" s="23"/>
    </row>
    <row r="801" ht="15.75" customHeight="1">
      <c r="A801" s="23"/>
      <c r="B801" s="23"/>
    </row>
    <row r="802" ht="15.75" customHeight="1">
      <c r="A802" s="23"/>
      <c r="B802" s="23"/>
    </row>
    <row r="803" ht="15.75" customHeight="1">
      <c r="A803" s="23"/>
      <c r="B803" s="23"/>
    </row>
    <row r="804" ht="15.75" customHeight="1">
      <c r="A804" s="23"/>
      <c r="B804" s="23"/>
    </row>
    <row r="805" ht="15.75" customHeight="1">
      <c r="A805" s="23"/>
      <c r="B805" s="23"/>
    </row>
    <row r="806" ht="15.75" customHeight="1">
      <c r="A806" s="23"/>
      <c r="B806" s="23"/>
    </row>
    <row r="807" ht="15.75" customHeight="1">
      <c r="A807" s="23"/>
      <c r="B807" s="23"/>
    </row>
    <row r="808" ht="15.75" customHeight="1">
      <c r="A808" s="23"/>
      <c r="B808" s="23"/>
    </row>
    <row r="809" ht="15.75" customHeight="1">
      <c r="A809" s="23"/>
      <c r="B809" s="23"/>
    </row>
    <row r="810" ht="15.75" customHeight="1">
      <c r="A810" s="23"/>
      <c r="B810" s="23"/>
    </row>
    <row r="811" ht="15.75" customHeight="1">
      <c r="A811" s="23"/>
      <c r="B811" s="23"/>
    </row>
    <row r="812" ht="15.75" customHeight="1">
      <c r="A812" s="23"/>
      <c r="B812" s="23"/>
    </row>
    <row r="813" ht="15.75" customHeight="1">
      <c r="A813" s="23"/>
      <c r="B813" s="23"/>
    </row>
    <row r="814" ht="15.75" customHeight="1">
      <c r="A814" s="23"/>
      <c r="B814" s="23"/>
    </row>
    <row r="815" ht="15.75" customHeight="1">
      <c r="A815" s="23"/>
      <c r="B815" s="23"/>
    </row>
    <row r="816" ht="15.75" customHeight="1">
      <c r="A816" s="23"/>
      <c r="B816" s="23"/>
    </row>
    <row r="817" ht="15.75" customHeight="1">
      <c r="A817" s="23"/>
      <c r="B817" s="23"/>
    </row>
    <row r="818" ht="15.75" customHeight="1">
      <c r="A818" s="23"/>
      <c r="B818" s="23"/>
    </row>
    <row r="819" ht="15.75" customHeight="1">
      <c r="A819" s="23"/>
      <c r="B819" s="23"/>
    </row>
    <row r="820" ht="15.75" customHeight="1">
      <c r="A820" s="23"/>
      <c r="B820" s="23"/>
    </row>
    <row r="821" ht="15.75" customHeight="1">
      <c r="A821" s="23"/>
      <c r="B821" s="23"/>
    </row>
    <row r="822" ht="15.75" customHeight="1">
      <c r="A822" s="23"/>
      <c r="B822" s="23"/>
    </row>
    <row r="823" ht="15.75" customHeight="1">
      <c r="A823" s="23"/>
      <c r="B823" s="23"/>
    </row>
    <row r="824" ht="15.75" customHeight="1">
      <c r="A824" s="23"/>
      <c r="B824" s="23"/>
    </row>
    <row r="825" ht="15.75" customHeight="1">
      <c r="A825" s="23"/>
      <c r="B825" s="23"/>
    </row>
    <row r="826" ht="15.75" customHeight="1">
      <c r="A826" s="23"/>
      <c r="B826" s="23"/>
    </row>
    <row r="827" ht="15.75" customHeight="1">
      <c r="A827" s="23"/>
      <c r="B827" s="23"/>
    </row>
    <row r="828" ht="15.75" customHeight="1">
      <c r="A828" s="23"/>
      <c r="B828" s="23"/>
    </row>
    <row r="829" ht="15.75" customHeight="1">
      <c r="A829" s="23"/>
      <c r="B829" s="23"/>
    </row>
    <row r="830" ht="15.75" customHeight="1">
      <c r="A830" s="23"/>
      <c r="B830" s="23"/>
    </row>
    <row r="831" ht="15.75" customHeight="1">
      <c r="A831" s="23"/>
      <c r="B831" s="23"/>
    </row>
    <row r="832" ht="15.75" customHeight="1">
      <c r="A832" s="23"/>
      <c r="B832" s="23"/>
    </row>
    <row r="833" ht="15.75" customHeight="1">
      <c r="A833" s="23"/>
      <c r="B833" s="23"/>
    </row>
    <row r="834" ht="15.75" customHeight="1">
      <c r="A834" s="23"/>
      <c r="B834" s="23"/>
    </row>
    <row r="835" ht="15.75" customHeight="1">
      <c r="A835" s="23"/>
      <c r="B835" s="23"/>
    </row>
    <row r="836" ht="15.75" customHeight="1">
      <c r="A836" s="23"/>
      <c r="B836" s="23"/>
    </row>
    <row r="837" ht="15.75" customHeight="1">
      <c r="A837" s="23"/>
      <c r="B837" s="23"/>
    </row>
    <row r="838" ht="15.75" customHeight="1">
      <c r="A838" s="23"/>
      <c r="B838" s="23"/>
    </row>
    <row r="839" ht="15.75" customHeight="1">
      <c r="A839" s="23"/>
      <c r="B839" s="23"/>
    </row>
    <row r="840" ht="15.75" customHeight="1">
      <c r="A840" s="23"/>
      <c r="B840" s="23"/>
    </row>
    <row r="841" ht="15.75" customHeight="1">
      <c r="A841" s="23"/>
      <c r="B841" s="23"/>
    </row>
    <row r="842" ht="15.75" customHeight="1">
      <c r="A842" s="23"/>
      <c r="B842" s="23"/>
    </row>
    <row r="843" ht="15.75" customHeight="1">
      <c r="A843" s="23"/>
      <c r="B843" s="23"/>
    </row>
    <row r="844" ht="15.75" customHeight="1">
      <c r="A844" s="23"/>
      <c r="B844" s="23"/>
    </row>
    <row r="845" ht="15.75" customHeight="1">
      <c r="A845" s="23"/>
      <c r="B845" s="23"/>
    </row>
    <row r="846" ht="15.75" customHeight="1">
      <c r="A846" s="23"/>
      <c r="B846" s="23"/>
    </row>
    <row r="847" ht="15.75" customHeight="1">
      <c r="A847" s="23"/>
      <c r="B847" s="23"/>
    </row>
    <row r="848" ht="15.75" customHeight="1">
      <c r="A848" s="23"/>
      <c r="B848" s="23"/>
    </row>
    <row r="849" ht="15.75" customHeight="1">
      <c r="A849" s="23"/>
      <c r="B849" s="23"/>
    </row>
    <row r="850" ht="15.75" customHeight="1">
      <c r="A850" s="23"/>
      <c r="B850" s="23"/>
    </row>
    <row r="851" ht="15.75" customHeight="1">
      <c r="A851" s="23"/>
      <c r="B851" s="23"/>
    </row>
    <row r="852" ht="15.75" customHeight="1">
      <c r="A852" s="23"/>
      <c r="B852" s="23"/>
    </row>
    <row r="853" ht="15.75" customHeight="1">
      <c r="A853" s="23"/>
      <c r="B853" s="23"/>
    </row>
    <row r="854" ht="15.75" customHeight="1">
      <c r="A854" s="23"/>
      <c r="B854" s="23"/>
    </row>
    <row r="855" ht="15.75" customHeight="1">
      <c r="A855" s="23"/>
      <c r="B855" s="23"/>
    </row>
    <row r="856" ht="15.75" customHeight="1">
      <c r="A856" s="23"/>
      <c r="B856" s="23"/>
    </row>
    <row r="857" ht="15.75" customHeight="1">
      <c r="A857" s="23"/>
      <c r="B857" s="23"/>
    </row>
    <row r="858" ht="15.75" customHeight="1">
      <c r="A858" s="23"/>
      <c r="B858" s="23"/>
    </row>
    <row r="859" ht="15.75" customHeight="1">
      <c r="A859" s="23"/>
      <c r="B859" s="23"/>
    </row>
    <row r="860" ht="15.75" customHeight="1">
      <c r="A860" s="23"/>
      <c r="B860" s="23"/>
    </row>
    <row r="861" ht="15.75" customHeight="1">
      <c r="A861" s="23"/>
      <c r="B861" s="23"/>
    </row>
    <row r="862" ht="15.75" customHeight="1">
      <c r="A862" s="23"/>
      <c r="B862" s="23"/>
    </row>
    <row r="863" ht="15.75" customHeight="1">
      <c r="A863" s="23"/>
      <c r="B863" s="23"/>
    </row>
    <row r="864" ht="15.75" customHeight="1">
      <c r="A864" s="23"/>
      <c r="B864" s="23"/>
    </row>
    <row r="865" ht="15.75" customHeight="1">
      <c r="A865" s="23"/>
      <c r="B865" s="23"/>
    </row>
    <row r="866" ht="15.75" customHeight="1">
      <c r="A866" s="23"/>
      <c r="B866" s="23"/>
    </row>
    <row r="867" ht="15.75" customHeight="1">
      <c r="A867" s="23"/>
      <c r="B867" s="23"/>
    </row>
    <row r="868" ht="15.75" customHeight="1">
      <c r="A868" s="23"/>
      <c r="B868" s="23"/>
    </row>
    <row r="869" ht="15.75" customHeight="1">
      <c r="A869" s="23"/>
      <c r="B869" s="23"/>
    </row>
    <row r="870" ht="15.75" customHeight="1">
      <c r="A870" s="23"/>
      <c r="B870" s="23"/>
    </row>
    <row r="871" ht="15.75" customHeight="1">
      <c r="A871" s="23"/>
      <c r="B871" s="23"/>
    </row>
    <row r="872" ht="15.75" customHeight="1">
      <c r="A872" s="23"/>
      <c r="B872" s="23"/>
    </row>
    <row r="873" ht="15.75" customHeight="1">
      <c r="A873" s="23"/>
      <c r="B873" s="23"/>
    </row>
    <row r="874" ht="15.75" customHeight="1">
      <c r="A874" s="23"/>
      <c r="B874" s="23"/>
    </row>
    <row r="875" ht="15.75" customHeight="1">
      <c r="A875" s="23"/>
      <c r="B875" s="23"/>
    </row>
    <row r="876" ht="15.75" customHeight="1">
      <c r="A876" s="23"/>
      <c r="B876" s="23"/>
    </row>
    <row r="877" ht="15.75" customHeight="1">
      <c r="A877" s="23"/>
      <c r="B877" s="23"/>
    </row>
    <row r="878" ht="15.75" customHeight="1">
      <c r="A878" s="23"/>
      <c r="B878" s="23"/>
    </row>
    <row r="879" ht="15.75" customHeight="1">
      <c r="A879" s="23"/>
      <c r="B879" s="23"/>
    </row>
    <row r="880" ht="15.75" customHeight="1">
      <c r="A880" s="23"/>
      <c r="B880" s="23"/>
    </row>
    <row r="881" ht="15.75" customHeight="1">
      <c r="A881" s="23"/>
      <c r="B881" s="23"/>
    </row>
    <row r="882" ht="15.75" customHeight="1">
      <c r="A882" s="23"/>
      <c r="B882" s="23"/>
    </row>
    <row r="883" ht="15.75" customHeight="1">
      <c r="A883" s="23"/>
      <c r="B883" s="23"/>
    </row>
    <row r="884" ht="15.75" customHeight="1">
      <c r="A884" s="23"/>
      <c r="B884" s="23"/>
    </row>
    <row r="885" ht="15.75" customHeight="1">
      <c r="A885" s="23"/>
      <c r="B885" s="23"/>
    </row>
    <row r="886" ht="15.75" customHeight="1">
      <c r="A886" s="23"/>
      <c r="B886" s="23"/>
    </row>
    <row r="887" ht="15.75" customHeight="1">
      <c r="A887" s="23"/>
      <c r="B887" s="23"/>
    </row>
    <row r="888" ht="15.75" customHeight="1">
      <c r="A888" s="23"/>
      <c r="B888" s="23"/>
    </row>
    <row r="889" ht="15.75" customHeight="1">
      <c r="A889" s="23"/>
      <c r="B889" s="23"/>
    </row>
    <row r="890" ht="15.75" customHeight="1">
      <c r="A890" s="23"/>
      <c r="B890" s="23"/>
    </row>
    <row r="891" ht="15.75" customHeight="1">
      <c r="A891" s="23"/>
      <c r="B891" s="23"/>
    </row>
    <row r="892" ht="15.75" customHeight="1">
      <c r="A892" s="23"/>
      <c r="B892" s="23"/>
    </row>
    <row r="893" ht="15.75" customHeight="1">
      <c r="A893" s="23"/>
      <c r="B893" s="23"/>
    </row>
    <row r="894" ht="15.75" customHeight="1">
      <c r="A894" s="23"/>
      <c r="B894" s="23"/>
    </row>
    <row r="895" ht="15.75" customHeight="1">
      <c r="A895" s="23"/>
      <c r="B895" s="23"/>
    </row>
    <row r="896" ht="15.75" customHeight="1">
      <c r="A896" s="23"/>
      <c r="B896" s="23"/>
    </row>
    <row r="897" ht="15.75" customHeight="1">
      <c r="A897" s="23"/>
      <c r="B897" s="23"/>
    </row>
    <row r="898" ht="15.75" customHeight="1">
      <c r="A898" s="23"/>
      <c r="B898" s="23"/>
    </row>
    <row r="899" ht="15.75" customHeight="1">
      <c r="A899" s="23"/>
      <c r="B899" s="23"/>
    </row>
    <row r="900" ht="15.75" customHeight="1">
      <c r="A900" s="23"/>
      <c r="B900" s="23"/>
    </row>
    <row r="901" ht="15.75" customHeight="1">
      <c r="A901" s="23"/>
      <c r="B901" s="23"/>
    </row>
    <row r="902" ht="15.75" customHeight="1">
      <c r="A902" s="23"/>
      <c r="B902" s="23"/>
    </row>
    <row r="903" ht="15.75" customHeight="1">
      <c r="A903" s="23"/>
      <c r="B903" s="23"/>
    </row>
    <row r="904" ht="15.75" customHeight="1">
      <c r="A904" s="23"/>
      <c r="B904" s="23"/>
    </row>
    <row r="905" ht="15.75" customHeight="1">
      <c r="A905" s="23"/>
      <c r="B905" s="23"/>
    </row>
    <row r="906" ht="15.75" customHeight="1">
      <c r="A906" s="23"/>
      <c r="B906" s="23"/>
    </row>
    <row r="907" ht="15.75" customHeight="1">
      <c r="A907" s="23"/>
      <c r="B907" s="23"/>
    </row>
    <row r="908" ht="15.75" customHeight="1">
      <c r="A908" s="23"/>
      <c r="B908" s="23"/>
    </row>
    <row r="909" ht="15.75" customHeight="1">
      <c r="A909" s="23"/>
      <c r="B909" s="23"/>
    </row>
    <row r="910" ht="15.75" customHeight="1">
      <c r="A910" s="23"/>
      <c r="B910" s="23"/>
    </row>
    <row r="911" ht="15.75" customHeight="1">
      <c r="A911" s="23"/>
      <c r="B911" s="23"/>
    </row>
    <row r="912" ht="15.75" customHeight="1">
      <c r="A912" s="23"/>
      <c r="B912" s="23"/>
    </row>
    <row r="913" ht="15.75" customHeight="1">
      <c r="A913" s="23"/>
      <c r="B913" s="23"/>
    </row>
    <row r="914" ht="15.75" customHeight="1">
      <c r="A914" s="23"/>
      <c r="B914" s="23"/>
    </row>
    <row r="915" ht="15.75" customHeight="1">
      <c r="A915" s="23"/>
      <c r="B915" s="23"/>
    </row>
    <row r="916" ht="15.75" customHeight="1">
      <c r="A916" s="23"/>
      <c r="B916" s="23"/>
    </row>
    <row r="917" ht="15.75" customHeight="1">
      <c r="A917" s="23"/>
      <c r="B917" s="23"/>
    </row>
    <row r="918" ht="15.75" customHeight="1">
      <c r="A918" s="23"/>
      <c r="B918" s="23"/>
    </row>
    <row r="919" ht="15.75" customHeight="1">
      <c r="A919" s="23"/>
      <c r="B919" s="23"/>
    </row>
    <row r="920" ht="15.75" customHeight="1">
      <c r="A920" s="23"/>
      <c r="B920" s="23"/>
    </row>
    <row r="921" ht="15.75" customHeight="1">
      <c r="A921" s="23"/>
      <c r="B921" s="23"/>
    </row>
    <row r="922" ht="15.75" customHeight="1">
      <c r="A922" s="23"/>
      <c r="B922" s="23"/>
    </row>
    <row r="923" ht="15.75" customHeight="1">
      <c r="A923" s="23"/>
      <c r="B923" s="23"/>
    </row>
    <row r="924" ht="15.75" customHeight="1">
      <c r="A924" s="23"/>
      <c r="B924" s="23"/>
    </row>
    <row r="925" ht="15.75" customHeight="1">
      <c r="A925" s="23"/>
      <c r="B925" s="23"/>
    </row>
    <row r="926" ht="15.75" customHeight="1">
      <c r="A926" s="23"/>
      <c r="B926" s="23"/>
    </row>
    <row r="927" ht="15.75" customHeight="1">
      <c r="A927" s="23"/>
      <c r="B927" s="23"/>
    </row>
    <row r="928" ht="15.75" customHeight="1">
      <c r="A928" s="23"/>
      <c r="B928" s="23"/>
    </row>
    <row r="929" ht="15.75" customHeight="1">
      <c r="A929" s="23"/>
      <c r="B929" s="23"/>
    </row>
    <row r="930" ht="15.75" customHeight="1">
      <c r="A930" s="23"/>
      <c r="B930" s="23"/>
    </row>
    <row r="931" ht="15.75" customHeight="1">
      <c r="A931" s="23"/>
      <c r="B931" s="23"/>
    </row>
    <row r="932" ht="15.75" customHeight="1">
      <c r="A932" s="23"/>
      <c r="B932" s="23"/>
    </row>
    <row r="933" ht="15.75" customHeight="1">
      <c r="A933" s="23"/>
      <c r="B933" s="23"/>
    </row>
    <row r="934" ht="15.75" customHeight="1">
      <c r="A934" s="23"/>
      <c r="B934" s="23"/>
    </row>
    <row r="935" ht="15.75" customHeight="1">
      <c r="A935" s="23"/>
      <c r="B935" s="23"/>
    </row>
    <row r="936" ht="15.75" customHeight="1">
      <c r="A936" s="23"/>
      <c r="B936" s="23"/>
    </row>
    <row r="937" ht="15.75" customHeight="1">
      <c r="A937" s="23"/>
      <c r="B937" s="23"/>
    </row>
    <row r="938" ht="15.75" customHeight="1">
      <c r="A938" s="23"/>
      <c r="B938" s="23"/>
    </row>
    <row r="939" ht="15.75" customHeight="1">
      <c r="A939" s="23"/>
      <c r="B939" s="23"/>
    </row>
    <row r="940" ht="15.75" customHeight="1">
      <c r="A940" s="23"/>
      <c r="B940" s="23"/>
    </row>
    <row r="941" ht="15.75" customHeight="1">
      <c r="A941" s="23"/>
      <c r="B941" s="23"/>
    </row>
    <row r="942" ht="15.75" customHeight="1">
      <c r="A942" s="23"/>
      <c r="B942" s="23"/>
    </row>
    <row r="943" ht="15.75" customHeight="1">
      <c r="A943" s="23"/>
      <c r="B943" s="23"/>
    </row>
    <row r="944" ht="15.75" customHeight="1">
      <c r="A944" s="23"/>
      <c r="B944" s="23"/>
    </row>
    <row r="945" ht="15.75" customHeight="1">
      <c r="A945" s="23"/>
      <c r="B945" s="23"/>
    </row>
    <row r="946" ht="15.75" customHeight="1">
      <c r="A946" s="23"/>
      <c r="B946" s="23"/>
    </row>
    <row r="947" ht="15.75" customHeight="1">
      <c r="A947" s="23"/>
      <c r="B947" s="23"/>
    </row>
    <row r="948" ht="15.75" customHeight="1">
      <c r="A948" s="23"/>
      <c r="B948" s="23"/>
    </row>
    <row r="949" ht="15.75" customHeight="1">
      <c r="A949" s="23"/>
      <c r="B949" s="23"/>
    </row>
    <row r="950" ht="15.75" customHeight="1">
      <c r="A950" s="23"/>
      <c r="B950" s="23"/>
    </row>
    <row r="951" ht="15.75" customHeight="1">
      <c r="A951" s="23"/>
      <c r="B951" s="23"/>
    </row>
    <row r="952" ht="15.75" customHeight="1">
      <c r="A952" s="23"/>
      <c r="B952" s="23"/>
    </row>
    <row r="953" ht="15.75" customHeight="1">
      <c r="A953" s="23"/>
      <c r="B953" s="23"/>
    </row>
    <row r="954" ht="15.75" customHeight="1">
      <c r="A954" s="23"/>
      <c r="B954" s="23"/>
    </row>
    <row r="955" ht="15.75" customHeight="1">
      <c r="A955" s="23"/>
      <c r="B955" s="23"/>
    </row>
    <row r="956" ht="15.75" customHeight="1">
      <c r="A956" s="23"/>
      <c r="B956" s="23"/>
    </row>
    <row r="957" ht="15.75" customHeight="1">
      <c r="A957" s="23"/>
      <c r="B957" s="23"/>
    </row>
    <row r="958" ht="15.75" customHeight="1">
      <c r="A958" s="23"/>
      <c r="B958" s="23"/>
    </row>
    <row r="959" ht="15.75" customHeight="1">
      <c r="A959" s="23"/>
      <c r="B959" s="23"/>
    </row>
    <row r="960" ht="15.75" customHeight="1">
      <c r="A960" s="23"/>
      <c r="B960" s="23"/>
    </row>
    <row r="961" ht="15.75" customHeight="1">
      <c r="A961" s="23"/>
      <c r="B961" s="23"/>
    </row>
    <row r="962" ht="15.75" customHeight="1">
      <c r="A962" s="23"/>
      <c r="B962" s="23"/>
    </row>
    <row r="963" ht="15.75" customHeight="1">
      <c r="A963" s="23"/>
      <c r="B963" s="23"/>
    </row>
    <row r="964" ht="15.75" customHeight="1">
      <c r="A964" s="23"/>
      <c r="B964" s="23"/>
    </row>
    <row r="965" ht="15.75" customHeight="1">
      <c r="A965" s="23"/>
      <c r="B965" s="23"/>
    </row>
    <row r="966" ht="15.75" customHeight="1">
      <c r="A966" s="23"/>
      <c r="B966" s="23"/>
    </row>
    <row r="967" ht="15.75" customHeight="1">
      <c r="A967" s="23"/>
      <c r="B967" s="23"/>
    </row>
    <row r="968" ht="15.75" customHeight="1">
      <c r="A968" s="23"/>
      <c r="B968" s="23"/>
    </row>
    <row r="969" ht="15.75" customHeight="1">
      <c r="A969" s="23"/>
      <c r="B969" s="23"/>
    </row>
    <row r="970" ht="15.75" customHeight="1">
      <c r="A970" s="23"/>
      <c r="B970" s="23"/>
    </row>
    <row r="971" ht="15.75" customHeight="1">
      <c r="A971" s="23"/>
      <c r="B971" s="23"/>
    </row>
    <row r="972" ht="15.75" customHeight="1">
      <c r="A972" s="23"/>
      <c r="B972" s="23"/>
    </row>
    <row r="973" ht="15.75" customHeight="1">
      <c r="A973" s="23"/>
      <c r="B973" s="23"/>
    </row>
    <row r="974" ht="15.75" customHeight="1">
      <c r="A974" s="23"/>
      <c r="B974" s="23"/>
    </row>
    <row r="975" ht="15.75" customHeight="1">
      <c r="A975" s="23"/>
      <c r="B975" s="23"/>
    </row>
    <row r="976" ht="15.75" customHeight="1">
      <c r="A976" s="23"/>
      <c r="B976" s="23"/>
    </row>
    <row r="977" ht="15.75" customHeight="1">
      <c r="A977" s="23"/>
      <c r="B977" s="23"/>
    </row>
    <row r="978" ht="15.75" customHeight="1">
      <c r="A978" s="23"/>
      <c r="B978" s="23"/>
    </row>
    <row r="979" ht="15.75" customHeight="1">
      <c r="A979" s="23"/>
      <c r="B979" s="23"/>
    </row>
    <row r="980" ht="15.75" customHeight="1">
      <c r="A980" s="23"/>
      <c r="B980" s="23"/>
    </row>
    <row r="981" ht="15.75" customHeight="1">
      <c r="A981" s="23"/>
      <c r="B981" s="23"/>
    </row>
    <row r="982" ht="15.75" customHeight="1">
      <c r="A982" s="23"/>
      <c r="B982" s="23"/>
    </row>
    <row r="983" ht="15.75" customHeight="1">
      <c r="A983" s="23"/>
      <c r="B983" s="23"/>
    </row>
    <row r="984" ht="15.75" customHeight="1">
      <c r="A984" s="23"/>
      <c r="B984" s="23"/>
    </row>
    <row r="985" ht="15.75" customHeight="1">
      <c r="A985" s="23"/>
      <c r="B985" s="23"/>
    </row>
    <row r="986" ht="15.75" customHeight="1">
      <c r="A986" s="23"/>
      <c r="B986" s="23"/>
    </row>
    <row r="987" ht="15.75" customHeight="1">
      <c r="A987" s="23"/>
      <c r="B987" s="23"/>
    </row>
    <row r="988" ht="15.75" customHeight="1">
      <c r="A988" s="23"/>
      <c r="B988" s="23"/>
    </row>
    <row r="989" ht="15.75" customHeight="1">
      <c r="A989" s="23"/>
      <c r="B989" s="23"/>
    </row>
    <row r="990" ht="15.75" customHeight="1">
      <c r="A990" s="23"/>
      <c r="B990" s="23"/>
    </row>
    <row r="991" ht="15.75" customHeight="1">
      <c r="A991" s="23"/>
      <c r="B991" s="23"/>
    </row>
    <row r="992" ht="15.75" customHeight="1">
      <c r="A992" s="23"/>
      <c r="B992" s="23"/>
    </row>
    <row r="993" ht="15.75" customHeight="1">
      <c r="A993" s="23"/>
      <c r="B993" s="23"/>
    </row>
    <row r="994" ht="15.75" customHeight="1">
      <c r="A994" s="23"/>
      <c r="B994" s="23"/>
    </row>
    <row r="995" ht="15.75" customHeight="1">
      <c r="A995" s="23"/>
      <c r="B995" s="23"/>
    </row>
    <row r="996" ht="15.75" customHeight="1">
      <c r="A996" s="23"/>
      <c r="B996" s="23"/>
    </row>
    <row r="997" ht="15.75" customHeight="1">
      <c r="A997" s="23"/>
      <c r="B997" s="23"/>
    </row>
    <row r="998" ht="15.75" customHeight="1">
      <c r="A998" s="23"/>
      <c r="B998" s="23"/>
    </row>
    <row r="999" ht="15.75" customHeight="1">
      <c r="A999" s="23"/>
      <c r="B999" s="23"/>
    </row>
    <row r="1000" ht="15.75" customHeight="1">
      <c r="A1000" s="23"/>
      <c r="B1000" s="23"/>
    </row>
  </sheetData>
  <mergeCells count="2">
    <mergeCell ref="C1:D1"/>
    <mergeCell ref="E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4.13"/>
    <col customWidth="1" min="2" max="9" width="8.25"/>
  </cols>
  <sheetData>
    <row r="1" ht="15.75" customHeight="1">
      <c r="A1" s="24"/>
      <c r="B1" s="25" t="s">
        <v>0</v>
      </c>
      <c r="C1" s="26"/>
      <c r="D1" s="26"/>
      <c r="E1" s="27"/>
      <c r="F1" s="25" t="s">
        <v>1</v>
      </c>
      <c r="G1" s="26"/>
      <c r="H1" s="26"/>
      <c r="I1" s="27"/>
    </row>
    <row r="2" ht="15.75" customHeight="1">
      <c r="A2" s="28" t="s">
        <v>13</v>
      </c>
      <c r="B2" s="25" t="s">
        <v>14</v>
      </c>
      <c r="C2" s="29" t="s">
        <v>15</v>
      </c>
      <c r="D2" s="29" t="s">
        <v>16</v>
      </c>
      <c r="E2" s="30" t="s">
        <v>17</v>
      </c>
      <c r="F2" s="25" t="s">
        <v>14</v>
      </c>
      <c r="G2" s="29" t="s">
        <v>15</v>
      </c>
      <c r="H2" s="29" t="s">
        <v>16</v>
      </c>
      <c r="I2" s="30" t="s">
        <v>17</v>
      </c>
    </row>
    <row r="3" ht="15.75" customHeight="1">
      <c r="A3" s="31" t="s">
        <v>18</v>
      </c>
      <c r="B3" s="32">
        <v>2500.0</v>
      </c>
      <c r="C3" s="32">
        <v>2500.0</v>
      </c>
      <c r="D3" s="32">
        <v>2500.0</v>
      </c>
      <c r="E3" s="32">
        <v>2500.0</v>
      </c>
      <c r="F3" s="32">
        <v>2900.0</v>
      </c>
      <c r="G3" s="32">
        <v>2900.0</v>
      </c>
      <c r="H3" s="32">
        <v>2900.0</v>
      </c>
      <c r="I3" s="32">
        <v>2900.0</v>
      </c>
    </row>
    <row r="4" ht="15.75" customHeight="1">
      <c r="A4" s="31" t="s">
        <v>19</v>
      </c>
      <c r="B4" s="33">
        <v>0.15</v>
      </c>
      <c r="C4" s="33">
        <v>0.12</v>
      </c>
      <c r="D4" s="33">
        <v>0.1</v>
      </c>
      <c r="E4" s="33">
        <v>0.08</v>
      </c>
      <c r="F4" s="33">
        <v>0.08</v>
      </c>
      <c r="G4" s="33">
        <v>0.07</v>
      </c>
      <c r="H4" s="33">
        <v>0.06</v>
      </c>
      <c r="I4" s="34">
        <v>0.05</v>
      </c>
    </row>
    <row r="5" ht="15.75" customHeight="1">
      <c r="A5" s="31" t="s">
        <v>20</v>
      </c>
      <c r="B5" s="35">
        <v>0.003</v>
      </c>
      <c r="C5" s="35">
        <v>0.003</v>
      </c>
      <c r="D5" s="35">
        <v>0.004</v>
      </c>
      <c r="E5" s="35">
        <v>0.004</v>
      </c>
      <c r="F5" s="35">
        <v>0.004</v>
      </c>
      <c r="G5" s="35">
        <v>0.004</v>
      </c>
      <c r="H5" s="35">
        <v>0.004</v>
      </c>
      <c r="I5" s="36">
        <v>0.004</v>
      </c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</row>
    <row r="7" ht="15.75" customHeight="1">
      <c r="A7" s="23"/>
      <c r="B7" s="37"/>
      <c r="C7" s="23"/>
      <c r="D7" s="23"/>
      <c r="E7" s="23"/>
      <c r="F7" s="23"/>
      <c r="G7" s="23"/>
      <c r="H7" s="23"/>
      <c r="I7" s="23"/>
    </row>
    <row r="8" ht="15.75" customHeight="1">
      <c r="A8" s="24" t="s">
        <v>21</v>
      </c>
      <c r="B8" s="38">
        <v>1.0</v>
      </c>
      <c r="C8" s="39" t="s">
        <v>22</v>
      </c>
      <c r="D8" s="23"/>
      <c r="E8" s="23"/>
      <c r="F8" s="23"/>
      <c r="G8" s="23"/>
      <c r="H8" s="23"/>
      <c r="I8" s="23"/>
    </row>
    <row r="9" ht="15.75" customHeight="1">
      <c r="A9" s="24" t="s">
        <v>23</v>
      </c>
      <c r="B9" s="40">
        <v>2500.0</v>
      </c>
      <c r="C9" s="23"/>
      <c r="D9" s="23"/>
      <c r="E9" s="23"/>
      <c r="F9" s="23"/>
      <c r="G9" s="23"/>
      <c r="H9" s="23"/>
      <c r="I9" s="23"/>
    </row>
    <row r="10" ht="15.75" customHeight="1">
      <c r="A10" s="23"/>
      <c r="B10" s="37"/>
      <c r="C10" s="23"/>
      <c r="D10" s="23"/>
      <c r="E10" s="23"/>
      <c r="F10" s="23"/>
      <c r="G10" s="23"/>
      <c r="H10" s="23"/>
      <c r="I10" s="23"/>
    </row>
    <row r="11" ht="15.75" customHeight="1">
      <c r="A11" s="23"/>
      <c r="B11" s="41"/>
      <c r="C11" s="23"/>
      <c r="D11" s="23"/>
      <c r="E11" s="23"/>
      <c r="F11" s="23"/>
      <c r="G11" s="23"/>
      <c r="H11" s="23"/>
      <c r="I11" s="23"/>
    </row>
    <row r="12" ht="15.75" customHeight="1">
      <c r="A12" s="23"/>
      <c r="B12" s="37"/>
      <c r="C12" s="23"/>
      <c r="D12" s="23"/>
      <c r="E12" s="23"/>
      <c r="F12" s="23"/>
      <c r="G12" s="23"/>
      <c r="H12" s="23"/>
      <c r="I12" s="23"/>
    </row>
    <row r="13" ht="15.75" customHeight="1">
      <c r="A13" s="23"/>
      <c r="B13" s="37"/>
      <c r="C13" s="23"/>
      <c r="D13" s="23"/>
      <c r="E13" s="23"/>
      <c r="F13" s="23"/>
      <c r="G13" s="23"/>
      <c r="H13" s="23"/>
      <c r="I13" s="23"/>
    </row>
    <row r="14" ht="15.75" customHeight="1">
      <c r="A14" s="23"/>
      <c r="B14" s="37"/>
      <c r="C14" s="23"/>
      <c r="D14" s="23"/>
      <c r="E14" s="23"/>
      <c r="F14" s="23"/>
      <c r="G14" s="23"/>
      <c r="H14" s="23"/>
      <c r="I14" s="23"/>
    </row>
    <row r="15" ht="15.75" customHeight="1">
      <c r="A15" s="23"/>
      <c r="B15" s="37"/>
      <c r="C15" s="23"/>
      <c r="D15" s="23"/>
      <c r="E15" s="23"/>
      <c r="F15" s="23"/>
      <c r="G15" s="23"/>
      <c r="H15" s="23"/>
      <c r="I15" s="23"/>
    </row>
    <row r="16" ht="15.75" customHeight="1">
      <c r="A16" s="23"/>
      <c r="B16" s="37"/>
      <c r="C16" s="23"/>
      <c r="D16" s="23"/>
      <c r="E16" s="23"/>
      <c r="F16" s="23"/>
      <c r="G16" s="23"/>
      <c r="H16" s="23"/>
      <c r="I16" s="23"/>
    </row>
    <row r="17" ht="15.75" customHeight="1">
      <c r="A17" s="23"/>
      <c r="B17" s="37"/>
      <c r="C17" s="23"/>
      <c r="D17" s="23"/>
      <c r="E17" s="23"/>
      <c r="F17" s="23"/>
      <c r="G17" s="23"/>
      <c r="H17" s="23"/>
      <c r="I17" s="23"/>
    </row>
    <row r="18" ht="15.75" customHeight="1">
      <c r="A18" s="23"/>
      <c r="B18" s="37"/>
      <c r="C18" s="23"/>
      <c r="D18" s="23"/>
      <c r="E18" s="23"/>
      <c r="F18" s="23"/>
      <c r="G18" s="23"/>
      <c r="H18" s="23"/>
      <c r="I18" s="23"/>
    </row>
    <row r="19" ht="15.75" customHeight="1">
      <c r="A19" s="23"/>
      <c r="B19" s="37"/>
      <c r="C19" s="23"/>
      <c r="D19" s="23"/>
      <c r="E19" s="23"/>
      <c r="F19" s="23"/>
      <c r="G19" s="23"/>
      <c r="H19" s="23"/>
      <c r="I19" s="23"/>
    </row>
    <row r="20" ht="15.75" customHeight="1">
      <c r="A20" s="23"/>
      <c r="B20" s="37"/>
      <c r="C20" s="23"/>
      <c r="D20" s="23"/>
      <c r="E20" s="23"/>
      <c r="F20" s="23"/>
      <c r="G20" s="23"/>
      <c r="H20" s="23"/>
      <c r="I20" s="23"/>
    </row>
    <row r="21" ht="15.75" customHeight="1">
      <c r="A21" s="23"/>
      <c r="B21" s="37"/>
      <c r="C21" s="23"/>
      <c r="D21" s="23"/>
      <c r="E21" s="23"/>
      <c r="F21" s="23"/>
      <c r="G21" s="23"/>
      <c r="H21" s="23"/>
      <c r="I21" s="23"/>
    </row>
    <row r="22" ht="15.75" customHeight="1">
      <c r="A22" s="23"/>
      <c r="B22" s="37"/>
      <c r="C22" s="23"/>
      <c r="D22" s="23"/>
      <c r="E22" s="23"/>
      <c r="F22" s="23"/>
      <c r="G22" s="23"/>
      <c r="H22" s="23"/>
      <c r="I22" s="23"/>
    </row>
    <row r="23" ht="15.75" customHeight="1">
      <c r="A23" s="23"/>
      <c r="B23" s="37"/>
      <c r="C23" s="23"/>
      <c r="D23" s="23"/>
      <c r="E23" s="23"/>
      <c r="F23" s="23"/>
      <c r="G23" s="23"/>
      <c r="H23" s="23"/>
      <c r="I23" s="23"/>
    </row>
    <row r="24" ht="15.75" customHeight="1">
      <c r="A24" s="23"/>
      <c r="B24" s="37"/>
      <c r="C24" s="23"/>
      <c r="D24" s="23"/>
      <c r="E24" s="23"/>
      <c r="F24" s="23"/>
      <c r="G24" s="23"/>
      <c r="H24" s="23"/>
      <c r="I24" s="23"/>
    </row>
    <row r="25" ht="15.75" customHeight="1">
      <c r="A25" s="23"/>
      <c r="B25" s="37"/>
      <c r="C25" s="23"/>
      <c r="D25" s="23"/>
      <c r="E25" s="23"/>
      <c r="F25" s="23"/>
      <c r="G25" s="23"/>
      <c r="H25" s="23"/>
      <c r="I25" s="23"/>
    </row>
    <row r="26" ht="15.75" customHeight="1">
      <c r="A26" s="23"/>
      <c r="B26" s="37"/>
      <c r="C26" s="23"/>
      <c r="D26" s="23"/>
      <c r="E26" s="23"/>
      <c r="F26" s="23"/>
      <c r="G26" s="23"/>
      <c r="H26" s="23"/>
      <c r="I26" s="23"/>
    </row>
    <row r="27" ht="15.75" customHeight="1">
      <c r="A27" s="23"/>
      <c r="B27" s="37"/>
      <c r="C27" s="23"/>
      <c r="D27" s="23"/>
      <c r="E27" s="23"/>
      <c r="F27" s="23"/>
      <c r="G27" s="23"/>
      <c r="H27" s="23"/>
      <c r="I27" s="23"/>
    </row>
    <row r="28" ht="15.75" customHeight="1">
      <c r="A28" s="23"/>
      <c r="B28" s="37"/>
      <c r="C28" s="23"/>
      <c r="D28" s="23"/>
      <c r="E28" s="23"/>
      <c r="F28" s="23"/>
      <c r="G28" s="23"/>
      <c r="H28" s="23"/>
      <c r="I28" s="23"/>
    </row>
    <row r="29" ht="15.75" customHeight="1">
      <c r="A29" s="23"/>
      <c r="B29" s="37"/>
      <c r="C29" s="23"/>
      <c r="D29" s="23"/>
      <c r="E29" s="23"/>
      <c r="F29" s="23"/>
      <c r="G29" s="23"/>
      <c r="H29" s="23"/>
      <c r="I29" s="23"/>
    </row>
    <row r="30" ht="15.75" customHeight="1">
      <c r="A30" s="23"/>
      <c r="B30" s="37"/>
      <c r="C30" s="23"/>
      <c r="D30" s="23"/>
      <c r="E30" s="23"/>
      <c r="F30" s="23"/>
      <c r="G30" s="23"/>
      <c r="H30" s="23"/>
      <c r="I30" s="23"/>
    </row>
    <row r="31" ht="15.75" customHeight="1">
      <c r="A31" s="23"/>
      <c r="B31" s="37"/>
      <c r="C31" s="23"/>
      <c r="D31" s="23"/>
      <c r="E31" s="23"/>
      <c r="F31" s="23"/>
      <c r="G31" s="23"/>
      <c r="H31" s="23"/>
      <c r="I31" s="23"/>
    </row>
    <row r="32" ht="15.75" customHeight="1">
      <c r="A32" s="23"/>
      <c r="B32" s="37"/>
      <c r="C32" s="23"/>
      <c r="D32" s="23"/>
      <c r="E32" s="23"/>
      <c r="F32" s="23"/>
      <c r="G32" s="23"/>
      <c r="H32" s="23"/>
      <c r="I32" s="23"/>
    </row>
    <row r="33" ht="15.75" customHeight="1">
      <c r="A33" s="23"/>
      <c r="B33" s="37"/>
      <c r="C33" s="23"/>
      <c r="D33" s="23"/>
      <c r="E33" s="23"/>
      <c r="F33" s="23"/>
      <c r="G33" s="23"/>
      <c r="H33" s="23"/>
      <c r="I33" s="23"/>
    </row>
    <row r="34" ht="15.75" customHeight="1">
      <c r="A34" s="23"/>
      <c r="B34" s="37"/>
      <c r="C34" s="23"/>
      <c r="D34" s="23"/>
      <c r="E34" s="23"/>
      <c r="F34" s="23"/>
      <c r="G34" s="23"/>
      <c r="H34" s="23"/>
      <c r="I34" s="23"/>
    </row>
    <row r="35" ht="15.75" customHeight="1">
      <c r="A35" s="23"/>
      <c r="B35" s="37"/>
      <c r="C35" s="23"/>
      <c r="D35" s="23"/>
      <c r="E35" s="23"/>
      <c r="F35" s="23"/>
      <c r="G35" s="23"/>
      <c r="H35" s="23"/>
      <c r="I35" s="23"/>
    </row>
    <row r="36" ht="15.75" customHeight="1">
      <c r="A36" s="23"/>
      <c r="B36" s="37"/>
      <c r="C36" s="23"/>
      <c r="D36" s="23"/>
      <c r="E36" s="23"/>
      <c r="F36" s="23"/>
      <c r="G36" s="23"/>
      <c r="H36" s="23"/>
      <c r="I36" s="23"/>
    </row>
    <row r="37" ht="15.75" customHeight="1">
      <c r="A37" s="23"/>
      <c r="B37" s="37"/>
      <c r="C37" s="23"/>
      <c r="D37" s="23"/>
      <c r="E37" s="23"/>
      <c r="F37" s="23"/>
      <c r="G37" s="23"/>
      <c r="H37" s="23"/>
      <c r="I37" s="23"/>
    </row>
    <row r="38" ht="15.75" customHeight="1">
      <c r="A38" s="23"/>
      <c r="B38" s="37"/>
      <c r="C38" s="23"/>
      <c r="D38" s="23"/>
      <c r="E38" s="23"/>
      <c r="F38" s="23"/>
      <c r="G38" s="23"/>
      <c r="H38" s="23"/>
      <c r="I38" s="23"/>
    </row>
    <row r="39" ht="15.75" customHeight="1">
      <c r="A39" s="23"/>
      <c r="B39" s="37"/>
      <c r="C39" s="23"/>
      <c r="D39" s="23"/>
      <c r="E39" s="23"/>
      <c r="F39" s="23"/>
      <c r="G39" s="23"/>
      <c r="H39" s="23"/>
      <c r="I39" s="23"/>
    </row>
    <row r="40" ht="15.75" customHeight="1">
      <c r="A40" s="23"/>
      <c r="B40" s="37"/>
      <c r="C40" s="23"/>
      <c r="D40" s="23"/>
      <c r="E40" s="23"/>
      <c r="F40" s="23"/>
      <c r="G40" s="23"/>
      <c r="H40" s="23"/>
      <c r="I40" s="23"/>
    </row>
    <row r="41" ht="15.75" customHeight="1">
      <c r="A41" s="23"/>
      <c r="B41" s="37"/>
      <c r="C41" s="23"/>
      <c r="D41" s="23"/>
      <c r="E41" s="23"/>
      <c r="F41" s="23"/>
      <c r="G41" s="23"/>
      <c r="H41" s="23"/>
      <c r="I41" s="23"/>
    </row>
    <row r="42" ht="15.75" customHeight="1">
      <c r="A42" s="23"/>
      <c r="B42" s="37"/>
      <c r="C42" s="23"/>
      <c r="D42" s="23"/>
      <c r="E42" s="23"/>
      <c r="F42" s="23"/>
      <c r="G42" s="23"/>
      <c r="H42" s="23"/>
      <c r="I42" s="23"/>
    </row>
    <row r="43" ht="15.75" customHeight="1">
      <c r="A43" s="23"/>
      <c r="B43" s="37"/>
      <c r="C43" s="23"/>
      <c r="D43" s="23"/>
      <c r="E43" s="23"/>
      <c r="F43" s="23"/>
      <c r="G43" s="23"/>
      <c r="H43" s="23"/>
      <c r="I43" s="23"/>
    </row>
    <row r="44" ht="15.75" customHeight="1">
      <c r="A44" s="23"/>
      <c r="B44" s="37"/>
      <c r="C44" s="23"/>
      <c r="D44" s="23"/>
      <c r="E44" s="23"/>
      <c r="F44" s="23"/>
      <c r="G44" s="23"/>
      <c r="H44" s="23"/>
      <c r="I44" s="23"/>
    </row>
    <row r="45" ht="15.75" customHeight="1">
      <c r="A45" s="23"/>
      <c r="B45" s="37"/>
      <c r="C45" s="23"/>
      <c r="D45" s="23"/>
      <c r="E45" s="23"/>
      <c r="F45" s="23"/>
      <c r="G45" s="23"/>
      <c r="H45" s="23"/>
      <c r="I45" s="23"/>
    </row>
    <row r="46" ht="15.75" customHeight="1">
      <c r="A46" s="23"/>
      <c r="B46" s="37"/>
      <c r="C46" s="23"/>
      <c r="D46" s="23"/>
      <c r="E46" s="23"/>
      <c r="F46" s="23"/>
      <c r="G46" s="23"/>
      <c r="H46" s="23"/>
      <c r="I46" s="23"/>
    </row>
    <row r="47" ht="15.75" customHeight="1">
      <c r="A47" s="23"/>
      <c r="B47" s="37"/>
      <c r="C47" s="23"/>
      <c r="D47" s="23"/>
      <c r="E47" s="23"/>
      <c r="F47" s="23"/>
      <c r="G47" s="23"/>
      <c r="H47" s="23"/>
      <c r="I47" s="23"/>
    </row>
    <row r="48" ht="15.75" customHeight="1">
      <c r="A48" s="23"/>
      <c r="B48" s="37"/>
      <c r="C48" s="23"/>
      <c r="D48" s="23"/>
      <c r="E48" s="23"/>
      <c r="F48" s="23"/>
      <c r="G48" s="23"/>
      <c r="H48" s="23"/>
      <c r="I48" s="23"/>
    </row>
    <row r="49" ht="15.75" customHeight="1">
      <c r="A49" s="23"/>
      <c r="B49" s="37"/>
      <c r="C49" s="23"/>
      <c r="D49" s="23"/>
      <c r="E49" s="23"/>
      <c r="F49" s="23"/>
      <c r="G49" s="23"/>
      <c r="H49" s="23"/>
      <c r="I49" s="23"/>
    </row>
    <row r="50" ht="15.75" customHeight="1">
      <c r="A50" s="23"/>
      <c r="B50" s="37"/>
      <c r="C50" s="23"/>
      <c r="D50" s="23"/>
      <c r="E50" s="23"/>
      <c r="F50" s="23"/>
      <c r="G50" s="23"/>
      <c r="H50" s="23"/>
      <c r="I50" s="23"/>
    </row>
    <row r="51" ht="15.75" customHeight="1">
      <c r="A51" s="23"/>
      <c r="B51" s="37"/>
      <c r="C51" s="23"/>
      <c r="D51" s="23"/>
      <c r="E51" s="23"/>
      <c r="F51" s="23"/>
      <c r="G51" s="23"/>
      <c r="H51" s="23"/>
      <c r="I51" s="23"/>
    </row>
    <row r="52" ht="15.75" customHeight="1">
      <c r="A52" s="23"/>
      <c r="B52" s="37"/>
      <c r="C52" s="23"/>
      <c r="D52" s="23"/>
      <c r="E52" s="23"/>
      <c r="F52" s="23"/>
      <c r="G52" s="23"/>
      <c r="H52" s="23"/>
      <c r="I52" s="23"/>
    </row>
    <row r="53" ht="15.75" customHeight="1">
      <c r="A53" s="23"/>
      <c r="B53" s="37"/>
      <c r="C53" s="23"/>
      <c r="D53" s="23"/>
      <c r="E53" s="23"/>
      <c r="F53" s="23"/>
      <c r="G53" s="23"/>
      <c r="H53" s="23"/>
      <c r="I53" s="23"/>
    </row>
    <row r="54" ht="15.75" customHeight="1">
      <c r="A54" s="23"/>
      <c r="B54" s="37"/>
      <c r="C54" s="23"/>
      <c r="D54" s="23"/>
      <c r="E54" s="23"/>
      <c r="F54" s="23"/>
      <c r="G54" s="23"/>
      <c r="H54" s="23"/>
      <c r="I54" s="23"/>
    </row>
    <row r="55" ht="15.75" customHeight="1">
      <c r="A55" s="23"/>
      <c r="B55" s="37"/>
      <c r="C55" s="23"/>
      <c r="D55" s="23"/>
      <c r="E55" s="23"/>
      <c r="F55" s="23"/>
      <c r="G55" s="23"/>
      <c r="H55" s="23"/>
      <c r="I55" s="23"/>
    </row>
    <row r="56" ht="15.75" customHeight="1">
      <c r="A56" s="23"/>
      <c r="B56" s="37"/>
      <c r="C56" s="23"/>
      <c r="D56" s="23"/>
      <c r="E56" s="23"/>
      <c r="F56" s="23"/>
      <c r="G56" s="23"/>
      <c r="H56" s="23"/>
      <c r="I56" s="23"/>
    </row>
    <row r="57" ht="15.75" customHeight="1">
      <c r="A57" s="23"/>
      <c r="B57" s="37"/>
      <c r="C57" s="23"/>
      <c r="D57" s="23"/>
      <c r="E57" s="23"/>
      <c r="F57" s="23"/>
      <c r="G57" s="23"/>
      <c r="H57" s="23"/>
      <c r="I57" s="23"/>
    </row>
    <row r="58" ht="15.75" customHeight="1">
      <c r="A58" s="23"/>
      <c r="B58" s="37"/>
      <c r="C58" s="23"/>
      <c r="D58" s="23"/>
      <c r="E58" s="23"/>
      <c r="F58" s="23"/>
      <c r="G58" s="23"/>
      <c r="H58" s="23"/>
      <c r="I58" s="23"/>
    </row>
    <row r="59" ht="15.75" customHeight="1">
      <c r="A59" s="23"/>
      <c r="B59" s="37"/>
      <c r="C59" s="23"/>
      <c r="D59" s="23"/>
      <c r="E59" s="23"/>
      <c r="F59" s="23"/>
      <c r="G59" s="23"/>
      <c r="H59" s="23"/>
      <c r="I59" s="23"/>
    </row>
    <row r="60" ht="15.75" customHeight="1">
      <c r="A60" s="23"/>
      <c r="B60" s="37"/>
      <c r="C60" s="23"/>
      <c r="D60" s="23"/>
      <c r="E60" s="23"/>
      <c r="F60" s="23"/>
      <c r="G60" s="23"/>
      <c r="H60" s="23"/>
      <c r="I60" s="23"/>
    </row>
    <row r="61" ht="15.75" customHeight="1">
      <c r="A61" s="23"/>
      <c r="B61" s="37"/>
      <c r="C61" s="23"/>
      <c r="D61" s="23"/>
      <c r="E61" s="23"/>
      <c r="F61" s="23"/>
      <c r="G61" s="23"/>
      <c r="H61" s="23"/>
      <c r="I61" s="23"/>
    </row>
    <row r="62" ht="15.75" customHeight="1">
      <c r="A62" s="23"/>
      <c r="B62" s="37"/>
      <c r="C62" s="23"/>
      <c r="D62" s="23"/>
      <c r="E62" s="23"/>
      <c r="F62" s="23"/>
      <c r="G62" s="23"/>
      <c r="H62" s="23"/>
      <c r="I62" s="23"/>
    </row>
    <row r="63" ht="15.75" customHeight="1">
      <c r="A63" s="23"/>
      <c r="B63" s="37"/>
      <c r="C63" s="23"/>
      <c r="D63" s="23"/>
      <c r="E63" s="23"/>
      <c r="F63" s="23"/>
      <c r="G63" s="23"/>
      <c r="H63" s="23"/>
      <c r="I63" s="23"/>
    </row>
    <row r="64" ht="15.75" customHeight="1">
      <c r="A64" s="23"/>
      <c r="B64" s="37"/>
      <c r="C64" s="23"/>
      <c r="D64" s="23"/>
      <c r="E64" s="23"/>
      <c r="F64" s="23"/>
      <c r="G64" s="23"/>
      <c r="H64" s="23"/>
      <c r="I64" s="23"/>
    </row>
    <row r="65" ht="15.75" customHeight="1">
      <c r="A65" s="23"/>
      <c r="B65" s="37"/>
      <c r="C65" s="23"/>
      <c r="D65" s="23"/>
      <c r="E65" s="23"/>
      <c r="F65" s="23"/>
      <c r="G65" s="23"/>
      <c r="H65" s="23"/>
      <c r="I65" s="23"/>
    </row>
    <row r="66" ht="15.75" customHeight="1">
      <c r="A66" s="23"/>
      <c r="B66" s="37"/>
      <c r="C66" s="23"/>
      <c r="D66" s="23"/>
      <c r="E66" s="23"/>
      <c r="F66" s="23"/>
      <c r="G66" s="23"/>
      <c r="H66" s="23"/>
      <c r="I66" s="23"/>
    </row>
    <row r="67" ht="15.75" customHeight="1">
      <c r="A67" s="23"/>
      <c r="B67" s="37"/>
      <c r="C67" s="23"/>
      <c r="D67" s="23"/>
      <c r="E67" s="23"/>
      <c r="F67" s="23"/>
      <c r="G67" s="23"/>
      <c r="H67" s="23"/>
      <c r="I67" s="23"/>
    </row>
    <row r="68" ht="15.75" customHeight="1">
      <c r="A68" s="23"/>
      <c r="B68" s="37"/>
      <c r="C68" s="23"/>
      <c r="D68" s="23"/>
      <c r="E68" s="23"/>
      <c r="F68" s="23"/>
      <c r="G68" s="23"/>
      <c r="H68" s="23"/>
      <c r="I68" s="23"/>
    </row>
    <row r="69" ht="15.75" customHeight="1">
      <c r="A69" s="23"/>
      <c r="B69" s="37"/>
      <c r="C69" s="23"/>
      <c r="D69" s="23"/>
      <c r="E69" s="23"/>
      <c r="F69" s="23"/>
      <c r="G69" s="23"/>
      <c r="H69" s="23"/>
      <c r="I69" s="23"/>
    </row>
    <row r="70" ht="15.75" customHeight="1">
      <c r="A70" s="23"/>
      <c r="B70" s="37"/>
      <c r="C70" s="23"/>
      <c r="D70" s="23"/>
      <c r="E70" s="23"/>
      <c r="F70" s="23"/>
      <c r="G70" s="23"/>
      <c r="H70" s="23"/>
      <c r="I70" s="23"/>
    </row>
    <row r="71" ht="15.75" customHeight="1">
      <c r="A71" s="23"/>
      <c r="B71" s="37"/>
      <c r="C71" s="23"/>
      <c r="D71" s="23"/>
      <c r="E71" s="23"/>
      <c r="F71" s="23"/>
      <c r="G71" s="23"/>
      <c r="H71" s="23"/>
      <c r="I71" s="23"/>
    </row>
    <row r="72" ht="15.75" customHeight="1">
      <c r="A72" s="23"/>
      <c r="B72" s="37"/>
      <c r="C72" s="23"/>
      <c r="D72" s="23"/>
      <c r="E72" s="23"/>
      <c r="F72" s="23"/>
      <c r="G72" s="23"/>
      <c r="H72" s="23"/>
      <c r="I72" s="23"/>
    </row>
    <row r="73" ht="15.75" customHeight="1">
      <c r="A73" s="23"/>
      <c r="B73" s="37"/>
      <c r="C73" s="23"/>
      <c r="D73" s="23"/>
      <c r="E73" s="23"/>
      <c r="F73" s="23"/>
      <c r="G73" s="23"/>
      <c r="H73" s="23"/>
      <c r="I73" s="23"/>
    </row>
    <row r="74" ht="15.75" customHeight="1">
      <c r="A74" s="23"/>
      <c r="B74" s="37"/>
      <c r="C74" s="23"/>
      <c r="D74" s="23"/>
      <c r="E74" s="23"/>
      <c r="F74" s="23"/>
      <c r="G74" s="23"/>
      <c r="H74" s="23"/>
      <c r="I74" s="23"/>
    </row>
    <row r="75" ht="15.75" customHeight="1">
      <c r="A75" s="23"/>
      <c r="B75" s="37"/>
      <c r="C75" s="23"/>
      <c r="D75" s="23"/>
      <c r="E75" s="23"/>
      <c r="F75" s="23"/>
      <c r="G75" s="23"/>
      <c r="H75" s="23"/>
      <c r="I75" s="23"/>
    </row>
    <row r="76" ht="15.75" customHeight="1">
      <c r="A76" s="23"/>
      <c r="B76" s="37"/>
      <c r="C76" s="23"/>
      <c r="D76" s="23"/>
      <c r="E76" s="23"/>
      <c r="F76" s="23"/>
      <c r="G76" s="23"/>
      <c r="H76" s="23"/>
      <c r="I76" s="23"/>
    </row>
    <row r="77" ht="15.75" customHeight="1">
      <c r="A77" s="23"/>
      <c r="B77" s="37"/>
      <c r="C77" s="23"/>
      <c r="D77" s="23"/>
      <c r="E77" s="23"/>
      <c r="F77" s="23"/>
      <c r="G77" s="23"/>
      <c r="H77" s="23"/>
      <c r="I77" s="23"/>
    </row>
    <row r="78" ht="15.75" customHeight="1">
      <c r="A78" s="23"/>
      <c r="B78" s="37"/>
      <c r="C78" s="23"/>
      <c r="D78" s="23"/>
      <c r="E78" s="23"/>
      <c r="F78" s="23"/>
      <c r="G78" s="23"/>
      <c r="H78" s="23"/>
      <c r="I78" s="23"/>
    </row>
    <row r="79" ht="15.75" customHeight="1">
      <c r="A79" s="23"/>
      <c r="B79" s="37"/>
      <c r="C79" s="23"/>
      <c r="D79" s="23"/>
      <c r="E79" s="23"/>
      <c r="F79" s="23"/>
      <c r="G79" s="23"/>
      <c r="H79" s="23"/>
      <c r="I79" s="23"/>
    </row>
    <row r="80" ht="15.75" customHeight="1">
      <c r="A80" s="23"/>
      <c r="B80" s="37"/>
      <c r="C80" s="23"/>
      <c r="D80" s="23"/>
      <c r="E80" s="23"/>
      <c r="F80" s="23"/>
      <c r="G80" s="23"/>
      <c r="H80" s="23"/>
      <c r="I80" s="23"/>
    </row>
    <row r="81" ht="15.75" customHeight="1">
      <c r="A81" s="23"/>
      <c r="B81" s="37"/>
      <c r="C81" s="23"/>
      <c r="D81" s="23"/>
      <c r="E81" s="23"/>
      <c r="F81" s="23"/>
      <c r="G81" s="23"/>
      <c r="H81" s="23"/>
      <c r="I81" s="23"/>
    </row>
    <row r="82" ht="15.75" customHeight="1">
      <c r="A82" s="23"/>
      <c r="B82" s="37"/>
      <c r="C82" s="23"/>
      <c r="D82" s="23"/>
      <c r="E82" s="23"/>
      <c r="F82" s="23"/>
      <c r="G82" s="23"/>
      <c r="H82" s="23"/>
      <c r="I82" s="23"/>
    </row>
    <row r="83" ht="15.75" customHeight="1">
      <c r="A83" s="23"/>
      <c r="B83" s="37"/>
      <c r="C83" s="23"/>
      <c r="D83" s="23"/>
      <c r="E83" s="23"/>
      <c r="F83" s="23"/>
      <c r="G83" s="23"/>
      <c r="H83" s="23"/>
      <c r="I83" s="23"/>
    </row>
    <row r="84" ht="15.75" customHeight="1">
      <c r="A84" s="23"/>
      <c r="B84" s="37"/>
      <c r="C84" s="23"/>
      <c r="D84" s="23"/>
      <c r="E84" s="23"/>
      <c r="F84" s="23"/>
      <c r="G84" s="23"/>
      <c r="H84" s="23"/>
      <c r="I84" s="23"/>
    </row>
    <row r="85" ht="15.75" customHeight="1">
      <c r="A85" s="23"/>
      <c r="B85" s="37"/>
      <c r="C85" s="23"/>
      <c r="D85" s="23"/>
      <c r="E85" s="23"/>
      <c r="F85" s="23"/>
      <c r="G85" s="23"/>
      <c r="H85" s="23"/>
      <c r="I85" s="23"/>
    </row>
    <row r="86" ht="15.75" customHeight="1">
      <c r="A86" s="23"/>
      <c r="B86" s="37"/>
      <c r="C86" s="23"/>
      <c r="D86" s="23"/>
      <c r="E86" s="23"/>
      <c r="F86" s="23"/>
      <c r="G86" s="23"/>
      <c r="H86" s="23"/>
      <c r="I86" s="23"/>
    </row>
    <row r="87" ht="15.75" customHeight="1">
      <c r="A87" s="23"/>
      <c r="B87" s="37"/>
      <c r="C87" s="23"/>
      <c r="D87" s="23"/>
      <c r="E87" s="23"/>
      <c r="F87" s="23"/>
      <c r="G87" s="23"/>
      <c r="H87" s="23"/>
      <c r="I87" s="23"/>
    </row>
    <row r="88" ht="15.75" customHeight="1">
      <c r="A88" s="23"/>
      <c r="B88" s="37"/>
      <c r="C88" s="23"/>
      <c r="D88" s="23"/>
      <c r="E88" s="23"/>
      <c r="F88" s="23"/>
      <c r="G88" s="23"/>
      <c r="H88" s="23"/>
      <c r="I88" s="23"/>
    </row>
    <row r="89" ht="15.75" customHeight="1">
      <c r="A89" s="23"/>
      <c r="B89" s="37"/>
      <c r="C89" s="23"/>
      <c r="D89" s="23"/>
      <c r="E89" s="23"/>
      <c r="F89" s="23"/>
      <c r="G89" s="23"/>
      <c r="H89" s="23"/>
      <c r="I89" s="23"/>
    </row>
    <row r="90" ht="15.75" customHeight="1">
      <c r="A90" s="23"/>
      <c r="B90" s="37"/>
      <c r="C90" s="23"/>
      <c r="D90" s="23"/>
      <c r="E90" s="23"/>
      <c r="F90" s="23"/>
      <c r="G90" s="23"/>
      <c r="H90" s="23"/>
      <c r="I90" s="23"/>
    </row>
    <row r="91" ht="15.75" customHeight="1">
      <c r="A91" s="23"/>
      <c r="B91" s="37"/>
      <c r="C91" s="23"/>
      <c r="D91" s="23"/>
      <c r="E91" s="23"/>
      <c r="F91" s="23"/>
      <c r="G91" s="23"/>
      <c r="H91" s="23"/>
      <c r="I91" s="23"/>
    </row>
    <row r="92" ht="15.75" customHeight="1">
      <c r="A92" s="23"/>
      <c r="B92" s="37"/>
      <c r="C92" s="23"/>
      <c r="D92" s="23"/>
      <c r="E92" s="23"/>
      <c r="F92" s="23"/>
      <c r="G92" s="23"/>
      <c r="H92" s="23"/>
      <c r="I92" s="23"/>
    </row>
    <row r="93" ht="15.75" customHeight="1">
      <c r="A93" s="23"/>
      <c r="B93" s="37"/>
      <c r="C93" s="23"/>
      <c r="D93" s="23"/>
      <c r="E93" s="23"/>
      <c r="F93" s="23"/>
      <c r="G93" s="23"/>
      <c r="H93" s="23"/>
      <c r="I93" s="23"/>
    </row>
    <row r="94" ht="15.75" customHeight="1">
      <c r="A94" s="23"/>
      <c r="B94" s="37"/>
      <c r="C94" s="23"/>
      <c r="D94" s="23"/>
      <c r="E94" s="23"/>
      <c r="F94" s="23"/>
      <c r="G94" s="23"/>
      <c r="H94" s="23"/>
      <c r="I94" s="23"/>
    </row>
    <row r="95" ht="15.75" customHeight="1">
      <c r="A95" s="23"/>
      <c r="B95" s="37"/>
      <c r="C95" s="23"/>
      <c r="D95" s="23"/>
      <c r="E95" s="23"/>
      <c r="F95" s="23"/>
      <c r="G95" s="23"/>
      <c r="H95" s="23"/>
      <c r="I95" s="23"/>
    </row>
    <row r="96" ht="15.75" customHeight="1">
      <c r="A96" s="23"/>
      <c r="B96" s="37"/>
      <c r="C96" s="23"/>
      <c r="D96" s="23"/>
      <c r="E96" s="23"/>
      <c r="F96" s="23"/>
      <c r="G96" s="23"/>
      <c r="H96" s="23"/>
      <c r="I96" s="23"/>
    </row>
    <row r="97" ht="15.75" customHeight="1">
      <c r="A97" s="23"/>
      <c r="B97" s="37"/>
      <c r="C97" s="23"/>
      <c r="D97" s="23"/>
      <c r="E97" s="23"/>
      <c r="F97" s="23"/>
      <c r="G97" s="23"/>
      <c r="H97" s="23"/>
      <c r="I97" s="23"/>
    </row>
    <row r="98" ht="15.75" customHeight="1">
      <c r="A98" s="23"/>
      <c r="B98" s="37"/>
      <c r="C98" s="23"/>
      <c r="D98" s="23"/>
      <c r="E98" s="23"/>
      <c r="F98" s="23"/>
      <c r="G98" s="23"/>
      <c r="H98" s="23"/>
      <c r="I98" s="23"/>
    </row>
    <row r="99" ht="15.75" customHeight="1">
      <c r="A99" s="23"/>
      <c r="B99" s="37"/>
      <c r="C99" s="23"/>
      <c r="D99" s="23"/>
      <c r="E99" s="23"/>
      <c r="F99" s="23"/>
      <c r="G99" s="23"/>
      <c r="H99" s="23"/>
      <c r="I99" s="23"/>
    </row>
    <row r="100" ht="15.75" customHeight="1">
      <c r="A100" s="23"/>
      <c r="B100" s="37"/>
      <c r="C100" s="23"/>
      <c r="D100" s="23"/>
      <c r="E100" s="23"/>
      <c r="F100" s="23"/>
      <c r="G100" s="23"/>
      <c r="H100" s="23"/>
      <c r="I100" s="23"/>
    </row>
    <row r="101" ht="15.75" customHeight="1">
      <c r="A101" s="23"/>
      <c r="B101" s="37"/>
      <c r="C101" s="23"/>
      <c r="D101" s="23"/>
      <c r="E101" s="23"/>
      <c r="F101" s="23"/>
      <c r="G101" s="23"/>
      <c r="H101" s="23"/>
      <c r="I101" s="23"/>
    </row>
    <row r="102" ht="15.75" customHeight="1">
      <c r="A102" s="23"/>
      <c r="B102" s="37"/>
      <c r="C102" s="23"/>
      <c r="D102" s="23"/>
      <c r="E102" s="23"/>
      <c r="F102" s="23"/>
      <c r="G102" s="23"/>
      <c r="H102" s="23"/>
      <c r="I102" s="23"/>
    </row>
    <row r="103" ht="15.75" customHeight="1">
      <c r="A103" s="23"/>
      <c r="B103" s="37"/>
      <c r="C103" s="23"/>
      <c r="D103" s="23"/>
      <c r="E103" s="23"/>
      <c r="F103" s="23"/>
      <c r="G103" s="23"/>
      <c r="H103" s="23"/>
      <c r="I103" s="23"/>
    </row>
    <row r="104" ht="15.75" customHeight="1">
      <c r="A104" s="23"/>
      <c r="B104" s="37"/>
      <c r="C104" s="23"/>
      <c r="D104" s="23"/>
      <c r="E104" s="23"/>
      <c r="F104" s="23"/>
      <c r="G104" s="23"/>
      <c r="H104" s="23"/>
      <c r="I104" s="23"/>
    </row>
    <row r="105" ht="15.75" customHeight="1">
      <c r="A105" s="23"/>
      <c r="B105" s="37"/>
      <c r="C105" s="23"/>
      <c r="D105" s="23"/>
      <c r="E105" s="23"/>
      <c r="F105" s="23"/>
      <c r="G105" s="23"/>
      <c r="H105" s="23"/>
      <c r="I105" s="23"/>
    </row>
    <row r="106" ht="15.75" customHeight="1">
      <c r="A106" s="23"/>
      <c r="B106" s="37"/>
      <c r="C106" s="23"/>
      <c r="D106" s="23"/>
      <c r="E106" s="23"/>
      <c r="F106" s="23"/>
      <c r="G106" s="23"/>
      <c r="H106" s="23"/>
      <c r="I106" s="23"/>
    </row>
    <row r="107" ht="15.75" customHeight="1">
      <c r="A107" s="23"/>
      <c r="B107" s="37"/>
      <c r="C107" s="23"/>
      <c r="D107" s="23"/>
      <c r="E107" s="23"/>
      <c r="F107" s="23"/>
      <c r="G107" s="23"/>
      <c r="H107" s="23"/>
      <c r="I107" s="23"/>
    </row>
    <row r="108" ht="15.75" customHeight="1">
      <c r="A108" s="23"/>
      <c r="B108" s="37"/>
      <c r="C108" s="23"/>
      <c r="D108" s="23"/>
      <c r="E108" s="23"/>
      <c r="F108" s="23"/>
      <c r="G108" s="23"/>
      <c r="H108" s="23"/>
      <c r="I108" s="23"/>
    </row>
    <row r="109" ht="15.75" customHeight="1">
      <c r="A109" s="23"/>
      <c r="B109" s="37"/>
      <c r="C109" s="23"/>
      <c r="D109" s="23"/>
      <c r="E109" s="23"/>
      <c r="F109" s="23"/>
      <c r="G109" s="23"/>
      <c r="H109" s="23"/>
      <c r="I109" s="23"/>
    </row>
    <row r="110" ht="15.75" customHeight="1">
      <c r="A110" s="23"/>
      <c r="B110" s="37"/>
      <c r="C110" s="23"/>
      <c r="D110" s="23"/>
      <c r="E110" s="23"/>
      <c r="F110" s="23"/>
      <c r="G110" s="23"/>
      <c r="H110" s="23"/>
      <c r="I110" s="23"/>
    </row>
    <row r="111" ht="15.75" customHeight="1">
      <c r="A111" s="23"/>
      <c r="B111" s="37"/>
      <c r="C111" s="23"/>
      <c r="D111" s="23"/>
      <c r="E111" s="23"/>
      <c r="F111" s="23"/>
      <c r="G111" s="23"/>
      <c r="H111" s="23"/>
      <c r="I111" s="23"/>
    </row>
    <row r="112" ht="15.75" customHeight="1">
      <c r="A112" s="23"/>
      <c r="B112" s="37"/>
      <c r="C112" s="23"/>
      <c r="D112" s="23"/>
      <c r="E112" s="23"/>
      <c r="F112" s="23"/>
      <c r="G112" s="23"/>
      <c r="H112" s="23"/>
      <c r="I112" s="23"/>
    </row>
    <row r="113" ht="15.75" customHeight="1">
      <c r="A113" s="23"/>
      <c r="B113" s="37"/>
      <c r="C113" s="23"/>
      <c r="D113" s="23"/>
      <c r="E113" s="23"/>
      <c r="F113" s="23"/>
      <c r="G113" s="23"/>
      <c r="H113" s="23"/>
      <c r="I113" s="23"/>
    </row>
    <row r="114" ht="15.75" customHeight="1">
      <c r="A114" s="23"/>
      <c r="B114" s="37"/>
      <c r="C114" s="23"/>
      <c r="D114" s="23"/>
      <c r="E114" s="23"/>
      <c r="F114" s="23"/>
      <c r="G114" s="23"/>
      <c r="H114" s="23"/>
      <c r="I114" s="23"/>
    </row>
    <row r="115" ht="15.75" customHeight="1">
      <c r="A115" s="23"/>
      <c r="B115" s="37"/>
      <c r="C115" s="23"/>
      <c r="D115" s="23"/>
      <c r="E115" s="23"/>
      <c r="F115" s="23"/>
      <c r="G115" s="23"/>
      <c r="H115" s="23"/>
      <c r="I115" s="23"/>
    </row>
    <row r="116" ht="15.75" customHeight="1">
      <c r="A116" s="23"/>
      <c r="B116" s="37"/>
      <c r="C116" s="23"/>
      <c r="D116" s="23"/>
      <c r="E116" s="23"/>
      <c r="F116" s="23"/>
      <c r="G116" s="23"/>
      <c r="H116" s="23"/>
      <c r="I116" s="23"/>
    </row>
    <row r="117" ht="15.75" customHeight="1">
      <c r="A117" s="23"/>
      <c r="B117" s="37"/>
      <c r="C117" s="23"/>
      <c r="D117" s="23"/>
      <c r="E117" s="23"/>
      <c r="F117" s="23"/>
      <c r="G117" s="23"/>
      <c r="H117" s="23"/>
      <c r="I117" s="23"/>
    </row>
    <row r="118" ht="15.75" customHeight="1">
      <c r="A118" s="23"/>
      <c r="B118" s="37"/>
      <c r="C118" s="23"/>
      <c r="D118" s="23"/>
      <c r="E118" s="23"/>
      <c r="F118" s="23"/>
      <c r="G118" s="23"/>
      <c r="H118" s="23"/>
      <c r="I118" s="23"/>
    </row>
    <row r="119" ht="15.75" customHeight="1">
      <c r="A119" s="23"/>
      <c r="B119" s="37"/>
      <c r="C119" s="23"/>
      <c r="D119" s="23"/>
      <c r="E119" s="23"/>
      <c r="F119" s="23"/>
      <c r="G119" s="23"/>
      <c r="H119" s="23"/>
      <c r="I119" s="23"/>
    </row>
    <row r="120" ht="15.75" customHeight="1">
      <c r="A120" s="23"/>
      <c r="B120" s="37"/>
      <c r="C120" s="23"/>
      <c r="D120" s="23"/>
      <c r="E120" s="23"/>
      <c r="F120" s="23"/>
      <c r="G120" s="23"/>
      <c r="H120" s="23"/>
      <c r="I120" s="23"/>
    </row>
    <row r="121" ht="15.75" customHeight="1">
      <c r="A121" s="23"/>
      <c r="B121" s="37"/>
      <c r="C121" s="23"/>
      <c r="D121" s="23"/>
      <c r="E121" s="23"/>
      <c r="F121" s="23"/>
      <c r="G121" s="23"/>
      <c r="H121" s="23"/>
      <c r="I121" s="23"/>
    </row>
    <row r="122" ht="15.75" customHeight="1">
      <c r="A122" s="23"/>
      <c r="B122" s="37"/>
      <c r="C122" s="23"/>
      <c r="D122" s="23"/>
      <c r="E122" s="23"/>
      <c r="F122" s="23"/>
      <c r="G122" s="23"/>
      <c r="H122" s="23"/>
      <c r="I122" s="23"/>
    </row>
    <row r="123" ht="15.75" customHeight="1">
      <c r="A123" s="23"/>
      <c r="B123" s="37"/>
      <c r="C123" s="23"/>
      <c r="D123" s="23"/>
      <c r="E123" s="23"/>
      <c r="F123" s="23"/>
      <c r="G123" s="23"/>
      <c r="H123" s="23"/>
      <c r="I123" s="23"/>
    </row>
    <row r="124" ht="15.75" customHeight="1">
      <c r="A124" s="23"/>
      <c r="B124" s="37"/>
      <c r="C124" s="23"/>
      <c r="D124" s="23"/>
      <c r="E124" s="23"/>
      <c r="F124" s="23"/>
      <c r="G124" s="23"/>
      <c r="H124" s="23"/>
      <c r="I124" s="23"/>
    </row>
    <row r="125" ht="15.75" customHeight="1">
      <c r="A125" s="23"/>
      <c r="B125" s="37"/>
      <c r="C125" s="23"/>
      <c r="D125" s="23"/>
      <c r="E125" s="23"/>
      <c r="F125" s="23"/>
      <c r="G125" s="23"/>
      <c r="H125" s="23"/>
      <c r="I125" s="23"/>
    </row>
    <row r="126" ht="15.75" customHeight="1">
      <c r="A126" s="23"/>
      <c r="B126" s="37"/>
      <c r="C126" s="23"/>
      <c r="D126" s="23"/>
      <c r="E126" s="23"/>
      <c r="F126" s="23"/>
      <c r="G126" s="23"/>
      <c r="H126" s="23"/>
      <c r="I126" s="23"/>
    </row>
    <row r="127" ht="15.75" customHeight="1">
      <c r="A127" s="23"/>
      <c r="B127" s="37"/>
      <c r="C127" s="23"/>
      <c r="D127" s="23"/>
      <c r="E127" s="23"/>
      <c r="F127" s="23"/>
      <c r="G127" s="23"/>
      <c r="H127" s="23"/>
      <c r="I127" s="23"/>
    </row>
    <row r="128" ht="15.75" customHeight="1">
      <c r="A128" s="23"/>
      <c r="B128" s="37"/>
      <c r="C128" s="23"/>
      <c r="D128" s="23"/>
      <c r="E128" s="23"/>
      <c r="F128" s="23"/>
      <c r="G128" s="23"/>
      <c r="H128" s="23"/>
      <c r="I128" s="23"/>
    </row>
    <row r="129" ht="15.75" customHeight="1">
      <c r="A129" s="23"/>
      <c r="B129" s="37"/>
      <c r="C129" s="23"/>
      <c r="D129" s="23"/>
      <c r="E129" s="23"/>
      <c r="F129" s="23"/>
      <c r="G129" s="23"/>
      <c r="H129" s="23"/>
      <c r="I129" s="23"/>
    </row>
    <row r="130" ht="15.75" customHeight="1">
      <c r="A130" s="23"/>
      <c r="B130" s="37"/>
      <c r="C130" s="23"/>
      <c r="D130" s="23"/>
      <c r="E130" s="23"/>
      <c r="F130" s="23"/>
      <c r="G130" s="23"/>
      <c r="H130" s="23"/>
      <c r="I130" s="23"/>
    </row>
    <row r="131" ht="15.75" customHeight="1">
      <c r="A131" s="23"/>
      <c r="B131" s="37"/>
      <c r="C131" s="23"/>
      <c r="D131" s="23"/>
      <c r="E131" s="23"/>
      <c r="F131" s="23"/>
      <c r="G131" s="23"/>
      <c r="H131" s="23"/>
      <c r="I131" s="23"/>
    </row>
    <row r="132" ht="15.75" customHeight="1">
      <c r="A132" s="23"/>
      <c r="B132" s="37"/>
      <c r="C132" s="23"/>
      <c r="D132" s="23"/>
      <c r="E132" s="23"/>
      <c r="F132" s="23"/>
      <c r="G132" s="23"/>
      <c r="H132" s="23"/>
      <c r="I132" s="23"/>
    </row>
    <row r="133" ht="15.75" customHeight="1">
      <c r="A133" s="23"/>
      <c r="B133" s="37"/>
      <c r="C133" s="23"/>
      <c r="D133" s="23"/>
      <c r="E133" s="23"/>
      <c r="F133" s="23"/>
      <c r="G133" s="23"/>
      <c r="H133" s="23"/>
      <c r="I133" s="23"/>
    </row>
    <row r="134" ht="15.75" customHeight="1">
      <c r="A134" s="23"/>
      <c r="B134" s="37"/>
      <c r="C134" s="23"/>
      <c r="D134" s="23"/>
      <c r="E134" s="23"/>
      <c r="F134" s="23"/>
      <c r="G134" s="23"/>
      <c r="H134" s="23"/>
      <c r="I134" s="23"/>
    </row>
    <row r="135" ht="15.75" customHeight="1">
      <c r="A135" s="23"/>
      <c r="B135" s="37"/>
      <c r="C135" s="23"/>
      <c r="D135" s="23"/>
      <c r="E135" s="23"/>
      <c r="F135" s="23"/>
      <c r="G135" s="23"/>
      <c r="H135" s="23"/>
      <c r="I135" s="23"/>
    </row>
    <row r="136" ht="15.75" customHeight="1">
      <c r="A136" s="23"/>
      <c r="B136" s="37"/>
      <c r="C136" s="23"/>
      <c r="D136" s="23"/>
      <c r="E136" s="23"/>
      <c r="F136" s="23"/>
      <c r="G136" s="23"/>
      <c r="H136" s="23"/>
      <c r="I136" s="23"/>
    </row>
    <row r="137" ht="15.75" customHeight="1">
      <c r="A137" s="23"/>
      <c r="B137" s="37"/>
      <c r="C137" s="23"/>
      <c r="D137" s="23"/>
      <c r="E137" s="23"/>
      <c r="F137" s="23"/>
      <c r="G137" s="23"/>
      <c r="H137" s="23"/>
      <c r="I137" s="23"/>
    </row>
    <row r="138" ht="15.75" customHeight="1">
      <c r="A138" s="23"/>
      <c r="B138" s="37"/>
      <c r="C138" s="23"/>
      <c r="D138" s="23"/>
      <c r="E138" s="23"/>
      <c r="F138" s="23"/>
      <c r="G138" s="23"/>
      <c r="H138" s="23"/>
      <c r="I138" s="23"/>
    </row>
    <row r="139" ht="15.75" customHeight="1">
      <c r="A139" s="23"/>
      <c r="B139" s="37"/>
      <c r="C139" s="23"/>
      <c r="D139" s="23"/>
      <c r="E139" s="23"/>
      <c r="F139" s="23"/>
      <c r="G139" s="23"/>
      <c r="H139" s="23"/>
      <c r="I139" s="23"/>
    </row>
    <row r="140" ht="15.75" customHeight="1">
      <c r="A140" s="23"/>
      <c r="B140" s="37"/>
      <c r="C140" s="23"/>
      <c r="D140" s="23"/>
      <c r="E140" s="23"/>
      <c r="F140" s="23"/>
      <c r="G140" s="23"/>
      <c r="H140" s="23"/>
      <c r="I140" s="23"/>
    </row>
    <row r="141" ht="15.75" customHeight="1">
      <c r="A141" s="23"/>
      <c r="B141" s="37"/>
      <c r="C141" s="23"/>
      <c r="D141" s="23"/>
      <c r="E141" s="23"/>
      <c r="F141" s="23"/>
      <c r="G141" s="23"/>
      <c r="H141" s="23"/>
      <c r="I141" s="23"/>
    </row>
    <row r="142" ht="15.75" customHeight="1">
      <c r="A142" s="23"/>
      <c r="B142" s="37"/>
      <c r="C142" s="23"/>
      <c r="D142" s="23"/>
      <c r="E142" s="23"/>
      <c r="F142" s="23"/>
      <c r="G142" s="23"/>
      <c r="H142" s="23"/>
      <c r="I142" s="23"/>
    </row>
    <row r="143" ht="15.75" customHeight="1">
      <c r="A143" s="23"/>
      <c r="B143" s="37"/>
      <c r="C143" s="23"/>
      <c r="D143" s="23"/>
      <c r="E143" s="23"/>
      <c r="F143" s="23"/>
      <c r="G143" s="23"/>
      <c r="H143" s="23"/>
      <c r="I143" s="23"/>
    </row>
    <row r="144" ht="15.75" customHeight="1">
      <c r="A144" s="23"/>
      <c r="B144" s="37"/>
      <c r="C144" s="23"/>
      <c r="D144" s="23"/>
      <c r="E144" s="23"/>
      <c r="F144" s="23"/>
      <c r="G144" s="23"/>
      <c r="H144" s="23"/>
      <c r="I144" s="23"/>
    </row>
    <row r="145" ht="15.75" customHeight="1">
      <c r="A145" s="23"/>
      <c r="B145" s="37"/>
      <c r="C145" s="23"/>
      <c r="D145" s="23"/>
      <c r="E145" s="23"/>
      <c r="F145" s="23"/>
      <c r="G145" s="23"/>
      <c r="H145" s="23"/>
      <c r="I145" s="23"/>
    </row>
    <row r="146" ht="15.75" customHeight="1">
      <c r="A146" s="23"/>
      <c r="B146" s="37"/>
      <c r="C146" s="23"/>
      <c r="D146" s="23"/>
      <c r="E146" s="23"/>
      <c r="F146" s="23"/>
      <c r="G146" s="23"/>
      <c r="H146" s="23"/>
      <c r="I146" s="23"/>
    </row>
    <row r="147" ht="15.75" customHeight="1">
      <c r="A147" s="23"/>
      <c r="B147" s="37"/>
      <c r="C147" s="23"/>
      <c r="D147" s="23"/>
      <c r="E147" s="23"/>
      <c r="F147" s="23"/>
      <c r="G147" s="23"/>
      <c r="H147" s="23"/>
      <c r="I147" s="23"/>
    </row>
    <row r="148" ht="15.75" customHeight="1">
      <c r="A148" s="23"/>
      <c r="B148" s="37"/>
      <c r="C148" s="23"/>
      <c r="D148" s="23"/>
      <c r="E148" s="23"/>
      <c r="F148" s="23"/>
      <c r="G148" s="23"/>
      <c r="H148" s="23"/>
      <c r="I148" s="23"/>
    </row>
    <row r="149" ht="15.75" customHeight="1">
      <c r="A149" s="23"/>
      <c r="B149" s="37"/>
      <c r="C149" s="23"/>
      <c r="D149" s="23"/>
      <c r="E149" s="23"/>
      <c r="F149" s="23"/>
      <c r="G149" s="23"/>
      <c r="H149" s="23"/>
      <c r="I149" s="23"/>
    </row>
    <row r="150" ht="15.75" customHeight="1">
      <c r="A150" s="23"/>
      <c r="B150" s="37"/>
      <c r="C150" s="23"/>
      <c r="D150" s="23"/>
      <c r="E150" s="23"/>
      <c r="F150" s="23"/>
      <c r="G150" s="23"/>
      <c r="H150" s="23"/>
      <c r="I150" s="23"/>
    </row>
    <row r="151" ht="15.75" customHeight="1">
      <c r="A151" s="23"/>
      <c r="B151" s="37"/>
      <c r="C151" s="23"/>
      <c r="D151" s="23"/>
      <c r="E151" s="23"/>
      <c r="F151" s="23"/>
      <c r="G151" s="23"/>
      <c r="H151" s="23"/>
      <c r="I151" s="23"/>
    </row>
    <row r="152" ht="15.75" customHeight="1">
      <c r="A152" s="23"/>
      <c r="B152" s="37"/>
      <c r="C152" s="23"/>
      <c r="D152" s="23"/>
      <c r="E152" s="23"/>
      <c r="F152" s="23"/>
      <c r="G152" s="23"/>
      <c r="H152" s="23"/>
      <c r="I152" s="23"/>
    </row>
    <row r="153" ht="15.75" customHeight="1">
      <c r="A153" s="23"/>
      <c r="B153" s="37"/>
      <c r="C153" s="23"/>
      <c r="D153" s="23"/>
      <c r="E153" s="23"/>
      <c r="F153" s="23"/>
      <c r="G153" s="23"/>
      <c r="H153" s="23"/>
      <c r="I153" s="23"/>
    </row>
    <row r="154" ht="15.75" customHeight="1">
      <c r="A154" s="23"/>
      <c r="B154" s="37"/>
      <c r="C154" s="23"/>
      <c r="D154" s="23"/>
      <c r="E154" s="23"/>
      <c r="F154" s="23"/>
      <c r="G154" s="23"/>
      <c r="H154" s="23"/>
      <c r="I154" s="23"/>
    </row>
    <row r="155" ht="15.75" customHeight="1">
      <c r="A155" s="23"/>
      <c r="B155" s="37"/>
      <c r="C155" s="23"/>
      <c r="D155" s="23"/>
      <c r="E155" s="23"/>
      <c r="F155" s="23"/>
      <c r="G155" s="23"/>
      <c r="H155" s="23"/>
      <c r="I155" s="23"/>
    </row>
    <row r="156" ht="15.75" customHeight="1">
      <c r="A156" s="23"/>
      <c r="B156" s="37"/>
      <c r="C156" s="23"/>
      <c r="D156" s="23"/>
      <c r="E156" s="23"/>
      <c r="F156" s="23"/>
      <c r="G156" s="23"/>
      <c r="H156" s="23"/>
      <c r="I156" s="23"/>
    </row>
    <row r="157" ht="15.75" customHeight="1">
      <c r="A157" s="23"/>
      <c r="B157" s="37"/>
      <c r="C157" s="23"/>
      <c r="D157" s="23"/>
      <c r="E157" s="23"/>
      <c r="F157" s="23"/>
      <c r="G157" s="23"/>
      <c r="H157" s="23"/>
      <c r="I157" s="23"/>
    </row>
    <row r="158" ht="15.75" customHeight="1">
      <c r="A158" s="23"/>
      <c r="B158" s="37"/>
      <c r="C158" s="23"/>
      <c r="D158" s="23"/>
      <c r="E158" s="23"/>
      <c r="F158" s="23"/>
      <c r="G158" s="23"/>
      <c r="H158" s="23"/>
      <c r="I158" s="23"/>
    </row>
    <row r="159" ht="15.75" customHeight="1">
      <c r="A159" s="23"/>
      <c r="B159" s="37"/>
      <c r="C159" s="23"/>
      <c r="D159" s="23"/>
      <c r="E159" s="23"/>
      <c r="F159" s="23"/>
      <c r="G159" s="23"/>
      <c r="H159" s="23"/>
      <c r="I159" s="23"/>
    </row>
    <row r="160" ht="15.75" customHeight="1">
      <c r="A160" s="23"/>
      <c r="B160" s="37"/>
      <c r="C160" s="23"/>
      <c r="D160" s="23"/>
      <c r="E160" s="23"/>
      <c r="F160" s="23"/>
      <c r="G160" s="23"/>
      <c r="H160" s="23"/>
      <c r="I160" s="23"/>
    </row>
    <row r="161" ht="15.75" customHeight="1">
      <c r="A161" s="23"/>
      <c r="B161" s="37"/>
      <c r="C161" s="23"/>
      <c r="D161" s="23"/>
      <c r="E161" s="23"/>
      <c r="F161" s="23"/>
      <c r="G161" s="23"/>
      <c r="H161" s="23"/>
      <c r="I161" s="23"/>
    </row>
    <row r="162" ht="15.75" customHeight="1">
      <c r="A162" s="23"/>
      <c r="B162" s="37"/>
      <c r="C162" s="23"/>
      <c r="D162" s="23"/>
      <c r="E162" s="23"/>
      <c r="F162" s="23"/>
      <c r="G162" s="23"/>
      <c r="H162" s="23"/>
      <c r="I162" s="23"/>
    </row>
    <row r="163" ht="15.75" customHeight="1">
      <c r="A163" s="23"/>
      <c r="B163" s="37"/>
      <c r="C163" s="23"/>
      <c r="D163" s="23"/>
      <c r="E163" s="23"/>
      <c r="F163" s="23"/>
      <c r="G163" s="23"/>
      <c r="H163" s="23"/>
      <c r="I163" s="23"/>
    </row>
    <row r="164" ht="15.75" customHeight="1">
      <c r="A164" s="23"/>
      <c r="B164" s="37"/>
      <c r="C164" s="23"/>
      <c r="D164" s="23"/>
      <c r="E164" s="23"/>
      <c r="F164" s="23"/>
      <c r="G164" s="23"/>
      <c r="H164" s="23"/>
      <c r="I164" s="23"/>
    </row>
    <row r="165" ht="15.75" customHeight="1">
      <c r="A165" s="23"/>
      <c r="B165" s="37"/>
      <c r="C165" s="23"/>
      <c r="D165" s="23"/>
      <c r="E165" s="23"/>
      <c r="F165" s="23"/>
      <c r="G165" s="23"/>
      <c r="H165" s="23"/>
      <c r="I165" s="23"/>
    </row>
    <row r="166" ht="15.75" customHeight="1">
      <c r="A166" s="23"/>
      <c r="B166" s="37"/>
      <c r="C166" s="23"/>
      <c r="D166" s="23"/>
      <c r="E166" s="23"/>
      <c r="F166" s="23"/>
      <c r="G166" s="23"/>
      <c r="H166" s="23"/>
      <c r="I166" s="23"/>
    </row>
    <row r="167" ht="15.75" customHeight="1">
      <c r="A167" s="23"/>
      <c r="B167" s="37"/>
      <c r="C167" s="23"/>
      <c r="D167" s="23"/>
      <c r="E167" s="23"/>
      <c r="F167" s="23"/>
      <c r="G167" s="23"/>
      <c r="H167" s="23"/>
      <c r="I167" s="23"/>
    </row>
    <row r="168" ht="15.75" customHeight="1">
      <c r="A168" s="23"/>
      <c r="B168" s="37"/>
      <c r="C168" s="23"/>
      <c r="D168" s="23"/>
      <c r="E168" s="23"/>
      <c r="F168" s="23"/>
      <c r="G168" s="23"/>
      <c r="H168" s="23"/>
      <c r="I168" s="23"/>
    </row>
    <row r="169" ht="15.75" customHeight="1">
      <c r="A169" s="23"/>
      <c r="B169" s="37"/>
      <c r="C169" s="23"/>
      <c r="D169" s="23"/>
      <c r="E169" s="23"/>
      <c r="F169" s="23"/>
      <c r="G169" s="23"/>
      <c r="H169" s="23"/>
      <c r="I169" s="23"/>
    </row>
    <row r="170" ht="15.75" customHeight="1">
      <c r="A170" s="23"/>
      <c r="B170" s="37"/>
      <c r="C170" s="23"/>
      <c r="D170" s="23"/>
      <c r="E170" s="23"/>
      <c r="F170" s="23"/>
      <c r="G170" s="23"/>
      <c r="H170" s="23"/>
      <c r="I170" s="23"/>
    </row>
    <row r="171" ht="15.75" customHeight="1">
      <c r="A171" s="23"/>
      <c r="B171" s="37"/>
      <c r="C171" s="23"/>
      <c r="D171" s="23"/>
      <c r="E171" s="23"/>
      <c r="F171" s="23"/>
      <c r="G171" s="23"/>
      <c r="H171" s="23"/>
      <c r="I171" s="23"/>
    </row>
    <row r="172" ht="15.75" customHeight="1">
      <c r="A172" s="23"/>
      <c r="B172" s="37"/>
      <c r="C172" s="23"/>
      <c r="D172" s="23"/>
      <c r="E172" s="23"/>
      <c r="F172" s="23"/>
      <c r="G172" s="23"/>
      <c r="H172" s="23"/>
      <c r="I172" s="23"/>
    </row>
    <row r="173" ht="15.75" customHeight="1">
      <c r="A173" s="23"/>
      <c r="B173" s="37"/>
      <c r="C173" s="23"/>
      <c r="D173" s="23"/>
      <c r="E173" s="23"/>
      <c r="F173" s="23"/>
      <c r="G173" s="23"/>
      <c r="H173" s="23"/>
      <c r="I173" s="23"/>
    </row>
    <row r="174" ht="15.75" customHeight="1">
      <c r="A174" s="23"/>
      <c r="B174" s="37"/>
      <c r="C174" s="23"/>
      <c r="D174" s="23"/>
      <c r="E174" s="23"/>
      <c r="F174" s="23"/>
      <c r="G174" s="23"/>
      <c r="H174" s="23"/>
      <c r="I174" s="23"/>
    </row>
    <row r="175" ht="15.75" customHeight="1">
      <c r="A175" s="23"/>
      <c r="B175" s="37"/>
      <c r="C175" s="23"/>
      <c r="D175" s="23"/>
      <c r="E175" s="23"/>
      <c r="F175" s="23"/>
      <c r="G175" s="23"/>
      <c r="H175" s="23"/>
      <c r="I175" s="23"/>
    </row>
    <row r="176" ht="15.75" customHeight="1">
      <c r="A176" s="23"/>
      <c r="B176" s="37"/>
      <c r="C176" s="23"/>
      <c r="D176" s="23"/>
      <c r="E176" s="23"/>
      <c r="F176" s="23"/>
      <c r="G176" s="23"/>
      <c r="H176" s="23"/>
      <c r="I176" s="23"/>
    </row>
    <row r="177" ht="15.75" customHeight="1">
      <c r="A177" s="23"/>
      <c r="B177" s="37"/>
      <c r="C177" s="23"/>
      <c r="D177" s="23"/>
      <c r="E177" s="23"/>
      <c r="F177" s="23"/>
      <c r="G177" s="23"/>
      <c r="H177" s="23"/>
      <c r="I177" s="23"/>
    </row>
    <row r="178" ht="15.75" customHeight="1">
      <c r="A178" s="23"/>
      <c r="B178" s="37"/>
      <c r="C178" s="23"/>
      <c r="D178" s="23"/>
      <c r="E178" s="23"/>
      <c r="F178" s="23"/>
      <c r="G178" s="23"/>
      <c r="H178" s="23"/>
      <c r="I178" s="23"/>
    </row>
    <row r="179" ht="15.75" customHeight="1">
      <c r="A179" s="23"/>
      <c r="B179" s="37"/>
      <c r="C179" s="23"/>
      <c r="D179" s="23"/>
      <c r="E179" s="23"/>
      <c r="F179" s="23"/>
      <c r="G179" s="23"/>
      <c r="H179" s="23"/>
      <c r="I179" s="23"/>
    </row>
    <row r="180" ht="15.75" customHeight="1">
      <c r="A180" s="23"/>
      <c r="B180" s="37"/>
      <c r="C180" s="23"/>
      <c r="D180" s="23"/>
      <c r="E180" s="23"/>
      <c r="F180" s="23"/>
      <c r="G180" s="23"/>
      <c r="H180" s="23"/>
      <c r="I180" s="23"/>
    </row>
    <row r="181" ht="15.75" customHeight="1">
      <c r="A181" s="23"/>
      <c r="B181" s="37"/>
      <c r="C181" s="23"/>
      <c r="D181" s="23"/>
      <c r="E181" s="23"/>
      <c r="F181" s="23"/>
      <c r="G181" s="23"/>
      <c r="H181" s="23"/>
      <c r="I181" s="23"/>
    </row>
    <row r="182" ht="15.75" customHeight="1">
      <c r="A182" s="23"/>
      <c r="B182" s="37"/>
      <c r="C182" s="23"/>
      <c r="D182" s="23"/>
      <c r="E182" s="23"/>
      <c r="F182" s="23"/>
      <c r="G182" s="23"/>
      <c r="H182" s="23"/>
      <c r="I182" s="23"/>
    </row>
    <row r="183" ht="15.75" customHeight="1">
      <c r="A183" s="23"/>
      <c r="B183" s="37"/>
      <c r="C183" s="23"/>
      <c r="D183" s="23"/>
      <c r="E183" s="23"/>
      <c r="F183" s="23"/>
      <c r="G183" s="23"/>
      <c r="H183" s="23"/>
      <c r="I183" s="23"/>
    </row>
    <row r="184" ht="15.75" customHeight="1">
      <c r="A184" s="23"/>
      <c r="B184" s="37"/>
      <c r="C184" s="23"/>
      <c r="D184" s="23"/>
      <c r="E184" s="23"/>
      <c r="F184" s="23"/>
      <c r="G184" s="23"/>
      <c r="H184" s="23"/>
      <c r="I184" s="23"/>
    </row>
    <row r="185" ht="15.75" customHeight="1">
      <c r="A185" s="23"/>
      <c r="B185" s="37"/>
      <c r="C185" s="23"/>
      <c r="D185" s="23"/>
      <c r="E185" s="23"/>
      <c r="F185" s="23"/>
      <c r="G185" s="23"/>
      <c r="H185" s="23"/>
      <c r="I185" s="23"/>
    </row>
    <row r="186" ht="15.75" customHeight="1">
      <c r="A186" s="23"/>
      <c r="B186" s="37"/>
      <c r="C186" s="23"/>
      <c r="D186" s="23"/>
      <c r="E186" s="23"/>
      <c r="F186" s="23"/>
      <c r="G186" s="23"/>
      <c r="H186" s="23"/>
      <c r="I186" s="23"/>
    </row>
    <row r="187" ht="15.75" customHeight="1">
      <c r="A187" s="23"/>
      <c r="B187" s="37"/>
      <c r="C187" s="23"/>
      <c r="D187" s="23"/>
      <c r="E187" s="23"/>
      <c r="F187" s="23"/>
      <c r="G187" s="23"/>
      <c r="H187" s="23"/>
      <c r="I187" s="23"/>
    </row>
    <row r="188" ht="15.75" customHeight="1">
      <c r="A188" s="23"/>
      <c r="B188" s="37"/>
      <c r="C188" s="23"/>
      <c r="D188" s="23"/>
      <c r="E188" s="23"/>
      <c r="F188" s="23"/>
      <c r="G188" s="23"/>
      <c r="H188" s="23"/>
      <c r="I188" s="23"/>
    </row>
    <row r="189" ht="15.75" customHeight="1">
      <c r="A189" s="23"/>
      <c r="B189" s="37"/>
      <c r="C189" s="23"/>
      <c r="D189" s="23"/>
      <c r="E189" s="23"/>
      <c r="F189" s="23"/>
      <c r="G189" s="23"/>
      <c r="H189" s="23"/>
      <c r="I189" s="23"/>
    </row>
    <row r="190" ht="15.75" customHeight="1">
      <c r="A190" s="23"/>
      <c r="B190" s="37"/>
      <c r="C190" s="23"/>
      <c r="D190" s="23"/>
      <c r="E190" s="23"/>
      <c r="F190" s="23"/>
      <c r="G190" s="23"/>
      <c r="H190" s="23"/>
      <c r="I190" s="23"/>
    </row>
    <row r="191" ht="15.75" customHeight="1">
      <c r="A191" s="23"/>
      <c r="B191" s="37"/>
      <c r="C191" s="23"/>
      <c r="D191" s="23"/>
      <c r="E191" s="23"/>
      <c r="F191" s="23"/>
      <c r="G191" s="23"/>
      <c r="H191" s="23"/>
      <c r="I191" s="23"/>
    </row>
    <row r="192" ht="15.75" customHeight="1">
      <c r="A192" s="23"/>
      <c r="B192" s="37"/>
      <c r="C192" s="23"/>
      <c r="D192" s="23"/>
      <c r="E192" s="23"/>
      <c r="F192" s="23"/>
      <c r="G192" s="23"/>
      <c r="H192" s="23"/>
      <c r="I192" s="23"/>
    </row>
    <row r="193" ht="15.75" customHeight="1">
      <c r="A193" s="23"/>
      <c r="B193" s="37"/>
      <c r="C193" s="23"/>
      <c r="D193" s="23"/>
      <c r="E193" s="23"/>
      <c r="F193" s="23"/>
      <c r="G193" s="23"/>
      <c r="H193" s="23"/>
      <c r="I193" s="23"/>
    </row>
    <row r="194" ht="15.75" customHeight="1">
      <c r="A194" s="23"/>
      <c r="B194" s="37"/>
      <c r="C194" s="23"/>
      <c r="D194" s="23"/>
      <c r="E194" s="23"/>
      <c r="F194" s="23"/>
      <c r="G194" s="23"/>
      <c r="H194" s="23"/>
      <c r="I194" s="23"/>
    </row>
    <row r="195" ht="15.75" customHeight="1">
      <c r="A195" s="23"/>
      <c r="B195" s="37"/>
      <c r="C195" s="23"/>
      <c r="D195" s="23"/>
      <c r="E195" s="23"/>
      <c r="F195" s="23"/>
      <c r="G195" s="23"/>
      <c r="H195" s="23"/>
      <c r="I195" s="23"/>
    </row>
    <row r="196" ht="15.75" customHeight="1">
      <c r="A196" s="23"/>
      <c r="B196" s="37"/>
      <c r="C196" s="23"/>
      <c r="D196" s="23"/>
      <c r="E196" s="23"/>
      <c r="F196" s="23"/>
      <c r="G196" s="23"/>
      <c r="H196" s="23"/>
      <c r="I196" s="23"/>
    </row>
    <row r="197" ht="15.75" customHeight="1">
      <c r="A197" s="23"/>
      <c r="B197" s="37"/>
      <c r="C197" s="23"/>
      <c r="D197" s="23"/>
      <c r="E197" s="23"/>
      <c r="F197" s="23"/>
      <c r="G197" s="23"/>
      <c r="H197" s="23"/>
      <c r="I197" s="23"/>
    </row>
    <row r="198" ht="15.75" customHeight="1">
      <c r="A198" s="23"/>
      <c r="B198" s="37"/>
      <c r="C198" s="23"/>
      <c r="D198" s="23"/>
      <c r="E198" s="23"/>
      <c r="F198" s="23"/>
      <c r="G198" s="23"/>
      <c r="H198" s="23"/>
      <c r="I198" s="23"/>
    </row>
    <row r="199" ht="15.75" customHeight="1">
      <c r="A199" s="23"/>
      <c r="B199" s="37"/>
      <c r="C199" s="23"/>
      <c r="D199" s="23"/>
      <c r="E199" s="23"/>
      <c r="F199" s="23"/>
      <c r="G199" s="23"/>
      <c r="H199" s="23"/>
      <c r="I199" s="23"/>
    </row>
    <row r="200" ht="15.75" customHeight="1">
      <c r="A200" s="23"/>
      <c r="B200" s="37"/>
      <c r="C200" s="23"/>
      <c r="D200" s="23"/>
      <c r="E200" s="23"/>
      <c r="F200" s="23"/>
      <c r="G200" s="23"/>
      <c r="H200" s="23"/>
      <c r="I200" s="23"/>
    </row>
    <row r="201" ht="15.75" customHeight="1">
      <c r="A201" s="23"/>
      <c r="B201" s="37"/>
      <c r="C201" s="23"/>
      <c r="D201" s="23"/>
      <c r="E201" s="23"/>
      <c r="F201" s="23"/>
      <c r="G201" s="23"/>
      <c r="H201" s="23"/>
      <c r="I201" s="23"/>
    </row>
    <row r="202" ht="15.75" customHeight="1">
      <c r="A202" s="23"/>
      <c r="B202" s="37"/>
      <c r="C202" s="23"/>
      <c r="D202" s="23"/>
      <c r="E202" s="23"/>
      <c r="F202" s="23"/>
      <c r="G202" s="23"/>
      <c r="H202" s="23"/>
      <c r="I202" s="23"/>
    </row>
    <row r="203" ht="15.75" customHeight="1">
      <c r="A203" s="23"/>
      <c r="B203" s="37"/>
      <c r="C203" s="23"/>
      <c r="D203" s="23"/>
      <c r="E203" s="23"/>
      <c r="F203" s="23"/>
      <c r="G203" s="23"/>
      <c r="H203" s="23"/>
      <c r="I203" s="23"/>
    </row>
    <row r="204" ht="15.75" customHeight="1">
      <c r="A204" s="23"/>
      <c r="B204" s="37"/>
      <c r="C204" s="23"/>
      <c r="D204" s="23"/>
      <c r="E204" s="23"/>
      <c r="F204" s="23"/>
      <c r="G204" s="23"/>
      <c r="H204" s="23"/>
      <c r="I204" s="23"/>
    </row>
    <row r="205" ht="15.75" customHeight="1">
      <c r="A205" s="23"/>
      <c r="B205" s="37"/>
      <c r="C205" s="23"/>
      <c r="D205" s="23"/>
      <c r="E205" s="23"/>
      <c r="F205" s="23"/>
      <c r="G205" s="23"/>
      <c r="H205" s="23"/>
      <c r="I205" s="23"/>
    </row>
    <row r="206" ht="15.75" customHeight="1">
      <c r="A206" s="23"/>
      <c r="B206" s="37"/>
      <c r="C206" s="23"/>
      <c r="D206" s="23"/>
      <c r="E206" s="23"/>
      <c r="F206" s="23"/>
      <c r="G206" s="23"/>
      <c r="H206" s="23"/>
      <c r="I206" s="23"/>
    </row>
    <row r="207" ht="15.75" customHeight="1">
      <c r="A207" s="23"/>
      <c r="B207" s="37"/>
      <c r="C207" s="23"/>
      <c r="D207" s="23"/>
      <c r="E207" s="23"/>
      <c r="F207" s="23"/>
      <c r="G207" s="23"/>
      <c r="H207" s="23"/>
      <c r="I207" s="23"/>
    </row>
    <row r="208" ht="15.75" customHeight="1">
      <c r="A208" s="23"/>
      <c r="B208" s="37"/>
      <c r="C208" s="23"/>
      <c r="D208" s="23"/>
      <c r="E208" s="23"/>
      <c r="F208" s="23"/>
      <c r="G208" s="23"/>
      <c r="H208" s="23"/>
      <c r="I208" s="23"/>
    </row>
    <row r="209" ht="15.75" customHeight="1">
      <c r="A209" s="23"/>
      <c r="B209" s="37"/>
      <c r="C209" s="23"/>
      <c r="D209" s="23"/>
      <c r="E209" s="23"/>
      <c r="F209" s="23"/>
      <c r="G209" s="23"/>
      <c r="H209" s="23"/>
      <c r="I209" s="23"/>
    </row>
    <row r="210" ht="15.75" customHeight="1">
      <c r="A210" s="23"/>
      <c r="B210" s="37"/>
      <c r="C210" s="23"/>
      <c r="D210" s="23"/>
      <c r="E210" s="23"/>
      <c r="F210" s="23"/>
      <c r="G210" s="23"/>
      <c r="H210" s="23"/>
      <c r="I210" s="23"/>
    </row>
    <row r="211" ht="15.75" customHeight="1">
      <c r="A211" s="23"/>
      <c r="B211" s="37"/>
      <c r="C211" s="23"/>
      <c r="D211" s="23"/>
      <c r="E211" s="23"/>
      <c r="F211" s="23"/>
      <c r="G211" s="23"/>
      <c r="H211" s="23"/>
      <c r="I211" s="23"/>
    </row>
    <row r="212" ht="15.75" customHeight="1">
      <c r="A212" s="23"/>
      <c r="B212" s="37"/>
      <c r="C212" s="23"/>
      <c r="D212" s="23"/>
      <c r="E212" s="23"/>
      <c r="F212" s="23"/>
      <c r="G212" s="23"/>
      <c r="H212" s="23"/>
      <c r="I212" s="23"/>
    </row>
    <row r="213" ht="15.75" customHeight="1">
      <c r="A213" s="23"/>
      <c r="B213" s="37"/>
      <c r="C213" s="23"/>
      <c r="D213" s="23"/>
      <c r="E213" s="23"/>
      <c r="F213" s="23"/>
      <c r="G213" s="23"/>
      <c r="H213" s="23"/>
      <c r="I213" s="23"/>
    </row>
    <row r="214" ht="15.75" customHeight="1">
      <c r="A214" s="23"/>
      <c r="B214" s="37"/>
      <c r="C214" s="23"/>
      <c r="D214" s="23"/>
      <c r="E214" s="23"/>
      <c r="F214" s="23"/>
      <c r="G214" s="23"/>
      <c r="H214" s="23"/>
      <c r="I214" s="23"/>
    </row>
    <row r="215" ht="15.75" customHeight="1">
      <c r="A215" s="23"/>
      <c r="B215" s="37"/>
      <c r="C215" s="23"/>
      <c r="D215" s="23"/>
      <c r="E215" s="23"/>
      <c r="F215" s="23"/>
      <c r="G215" s="23"/>
      <c r="H215" s="23"/>
      <c r="I215" s="23"/>
    </row>
    <row r="216" ht="15.75" customHeight="1">
      <c r="A216" s="23"/>
      <c r="B216" s="37"/>
      <c r="C216" s="23"/>
      <c r="D216" s="23"/>
      <c r="E216" s="23"/>
      <c r="F216" s="23"/>
      <c r="G216" s="23"/>
      <c r="H216" s="23"/>
      <c r="I216" s="23"/>
    </row>
    <row r="217" ht="15.75" customHeight="1">
      <c r="A217" s="23"/>
      <c r="B217" s="37"/>
      <c r="C217" s="23"/>
      <c r="D217" s="23"/>
      <c r="E217" s="23"/>
      <c r="F217" s="23"/>
      <c r="G217" s="23"/>
      <c r="H217" s="23"/>
      <c r="I217" s="23"/>
    </row>
    <row r="218" ht="15.75" customHeight="1">
      <c r="A218" s="23"/>
      <c r="B218" s="37"/>
      <c r="C218" s="23"/>
      <c r="D218" s="23"/>
      <c r="E218" s="23"/>
      <c r="F218" s="23"/>
      <c r="G218" s="23"/>
      <c r="H218" s="23"/>
      <c r="I218" s="23"/>
    </row>
    <row r="219" ht="15.75" customHeight="1">
      <c r="A219" s="23"/>
      <c r="B219" s="37"/>
      <c r="C219" s="23"/>
      <c r="D219" s="23"/>
      <c r="E219" s="23"/>
      <c r="F219" s="23"/>
      <c r="G219" s="23"/>
      <c r="H219" s="23"/>
      <c r="I219" s="23"/>
    </row>
    <row r="220" ht="15.75" customHeight="1">
      <c r="A220" s="23"/>
      <c r="B220" s="37"/>
      <c r="C220" s="23"/>
      <c r="D220" s="23"/>
      <c r="E220" s="23"/>
      <c r="F220" s="23"/>
      <c r="G220" s="23"/>
      <c r="H220" s="23"/>
      <c r="I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</row>
  </sheetData>
  <mergeCells count="2">
    <mergeCell ref="B1:E1"/>
    <mergeCell ref="F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20.88"/>
    <col customWidth="1" min="3" max="3" width="13.75"/>
    <col customWidth="1" min="4" max="5" width="12.63"/>
    <col customWidth="1" hidden="1" min="6" max="6" width="19.25"/>
  </cols>
  <sheetData>
    <row r="1" ht="15.75" customHeight="1">
      <c r="A1" s="42" t="s">
        <v>24</v>
      </c>
      <c r="B1" s="42"/>
      <c r="C1" s="24"/>
      <c r="D1" s="24"/>
      <c r="E1" s="43"/>
      <c r="F1" s="23"/>
    </row>
    <row r="2" ht="15.75" customHeight="1">
      <c r="A2" s="23"/>
      <c r="B2" s="23"/>
      <c r="C2" s="24" t="s">
        <v>25</v>
      </c>
      <c r="D2" s="24" t="s">
        <v>26</v>
      </c>
      <c r="E2" s="43" t="s">
        <v>27</v>
      </c>
      <c r="F2" s="43" t="s">
        <v>28</v>
      </c>
    </row>
    <row r="3" ht="15.75" customHeight="1">
      <c r="A3" s="43"/>
      <c r="B3" s="38" t="s">
        <v>29</v>
      </c>
      <c r="C3" s="40" t="s">
        <v>30</v>
      </c>
      <c r="D3" s="40">
        <v>120000.0</v>
      </c>
      <c r="E3" s="38">
        <v>1.0</v>
      </c>
      <c r="F3" s="44" t="str">
        <f t="shared" ref="F3:F22" si="1">if(or(B3="CEO",B3="CTO"),"General &amp; Administrative",if(B3="Engineer","Research &amp; Development",if(or(B3="Customer Success",B3="Sales",B3="Marketing"),"Sales &amp; Marketing",if(B3="Support","Support","N/A"))))</f>
        <v>General &amp; Administrative</v>
      </c>
    </row>
    <row r="4" ht="15.75" customHeight="1">
      <c r="A4" s="43"/>
      <c r="B4" s="38" t="s">
        <v>31</v>
      </c>
      <c r="C4" s="40" t="s">
        <v>32</v>
      </c>
      <c r="D4" s="40">
        <v>120000.0</v>
      </c>
      <c r="E4" s="38">
        <v>1.0</v>
      </c>
      <c r="F4" s="44" t="str">
        <f t="shared" si="1"/>
        <v>Research &amp; Development</v>
      </c>
    </row>
    <row r="5" ht="15.75" customHeight="1">
      <c r="A5" s="43"/>
      <c r="B5" s="38" t="s">
        <v>31</v>
      </c>
      <c r="C5" s="40" t="s">
        <v>33</v>
      </c>
      <c r="D5" s="40">
        <v>120000.0</v>
      </c>
      <c r="E5" s="38">
        <v>4.0</v>
      </c>
      <c r="F5" s="44" t="str">
        <f t="shared" si="1"/>
        <v>Research &amp; Development</v>
      </c>
    </row>
    <row r="6" ht="15.75" customHeight="1">
      <c r="A6" s="43"/>
      <c r="B6" s="38" t="s">
        <v>31</v>
      </c>
      <c r="C6" s="40" t="s">
        <v>34</v>
      </c>
      <c r="D6" s="40">
        <v>120000.0</v>
      </c>
      <c r="E6" s="38">
        <v>10.0</v>
      </c>
      <c r="F6" s="44" t="str">
        <f t="shared" si="1"/>
        <v>Research &amp; Development</v>
      </c>
    </row>
    <row r="7" ht="15.75" customHeight="1">
      <c r="A7" s="43"/>
      <c r="B7" s="38"/>
      <c r="C7" s="40"/>
      <c r="D7" s="40"/>
      <c r="E7" s="38"/>
      <c r="F7" s="44" t="str">
        <f t="shared" si="1"/>
        <v>N/A</v>
      </c>
    </row>
    <row r="8" ht="15.75" customHeight="1">
      <c r="A8" s="43"/>
      <c r="B8" s="38"/>
      <c r="C8" s="40"/>
      <c r="D8" s="40"/>
      <c r="E8" s="38"/>
      <c r="F8" s="44" t="str">
        <f t="shared" si="1"/>
        <v>N/A</v>
      </c>
    </row>
    <row r="9" ht="15.75" customHeight="1">
      <c r="A9" s="43"/>
      <c r="B9" s="38"/>
      <c r="C9" s="40"/>
      <c r="D9" s="40"/>
      <c r="E9" s="38"/>
      <c r="F9" s="44" t="str">
        <f t="shared" si="1"/>
        <v>N/A</v>
      </c>
    </row>
    <row r="10" ht="15.75" customHeight="1">
      <c r="A10" s="43"/>
      <c r="B10" s="38"/>
      <c r="C10" s="40"/>
      <c r="D10" s="40"/>
      <c r="E10" s="38"/>
      <c r="F10" s="44" t="str">
        <f t="shared" si="1"/>
        <v>N/A</v>
      </c>
    </row>
    <row r="11" ht="15.75" customHeight="1">
      <c r="A11" s="43"/>
      <c r="B11" s="38"/>
      <c r="C11" s="40"/>
      <c r="D11" s="40"/>
      <c r="E11" s="38"/>
      <c r="F11" s="44" t="str">
        <f t="shared" si="1"/>
        <v>N/A</v>
      </c>
    </row>
    <row r="12" ht="15.75" customHeight="1">
      <c r="A12" s="43"/>
      <c r="B12" s="38"/>
      <c r="C12" s="40"/>
      <c r="D12" s="40"/>
      <c r="E12" s="38"/>
      <c r="F12" s="44" t="str">
        <f t="shared" si="1"/>
        <v>N/A</v>
      </c>
    </row>
    <row r="13" ht="15.75" customHeight="1">
      <c r="A13" s="43"/>
      <c r="B13" s="38"/>
      <c r="C13" s="40"/>
      <c r="D13" s="40"/>
      <c r="E13" s="38"/>
      <c r="F13" s="44" t="str">
        <f t="shared" si="1"/>
        <v>N/A</v>
      </c>
    </row>
    <row r="14" ht="15.75" customHeight="1">
      <c r="A14" s="43"/>
      <c r="B14" s="38"/>
      <c r="C14" s="40"/>
      <c r="D14" s="40"/>
      <c r="E14" s="38"/>
      <c r="F14" s="44" t="str">
        <f t="shared" si="1"/>
        <v>N/A</v>
      </c>
    </row>
    <row r="15" ht="15.75" customHeight="1">
      <c r="A15" s="43"/>
      <c r="B15" s="38"/>
      <c r="C15" s="40"/>
      <c r="D15" s="40"/>
      <c r="E15" s="38"/>
      <c r="F15" s="44" t="str">
        <f t="shared" si="1"/>
        <v>N/A</v>
      </c>
    </row>
    <row r="16" ht="15.75" customHeight="1">
      <c r="A16" s="43"/>
      <c r="B16" s="38"/>
      <c r="C16" s="40"/>
      <c r="D16" s="40"/>
      <c r="E16" s="38"/>
      <c r="F16" s="44" t="str">
        <f t="shared" si="1"/>
        <v>N/A</v>
      </c>
    </row>
    <row r="17" ht="15.75" customHeight="1">
      <c r="A17" s="43"/>
      <c r="B17" s="38"/>
      <c r="C17" s="40"/>
      <c r="D17" s="40"/>
      <c r="E17" s="38"/>
      <c r="F17" s="44" t="str">
        <f t="shared" si="1"/>
        <v>N/A</v>
      </c>
    </row>
    <row r="18" ht="15.75" customHeight="1">
      <c r="A18" s="43"/>
      <c r="B18" s="38"/>
      <c r="C18" s="40"/>
      <c r="D18" s="40"/>
      <c r="E18" s="38"/>
      <c r="F18" s="44" t="str">
        <f t="shared" si="1"/>
        <v>N/A</v>
      </c>
    </row>
    <row r="19" ht="15.75" customHeight="1">
      <c r="A19" s="43"/>
      <c r="B19" s="38"/>
      <c r="C19" s="40"/>
      <c r="D19" s="40"/>
      <c r="E19" s="38"/>
      <c r="F19" s="44" t="str">
        <f t="shared" si="1"/>
        <v>N/A</v>
      </c>
    </row>
    <row r="20" ht="15.75" customHeight="1">
      <c r="A20" s="43"/>
      <c r="B20" s="38"/>
      <c r="C20" s="40"/>
      <c r="D20" s="40"/>
      <c r="E20" s="38"/>
      <c r="F20" s="44" t="str">
        <f t="shared" si="1"/>
        <v>N/A</v>
      </c>
    </row>
    <row r="21" ht="15.75" customHeight="1">
      <c r="A21" s="43"/>
      <c r="B21" s="38"/>
      <c r="C21" s="40"/>
      <c r="D21" s="40"/>
      <c r="E21" s="38"/>
      <c r="F21" s="44" t="str">
        <f t="shared" si="1"/>
        <v>N/A</v>
      </c>
    </row>
    <row r="22" ht="15.75" customHeight="1">
      <c r="A22" s="43"/>
      <c r="B22" s="38"/>
      <c r="C22" s="40"/>
      <c r="D22" s="40"/>
      <c r="E22" s="38"/>
      <c r="F22" s="44" t="str">
        <f t="shared" si="1"/>
        <v>N/A</v>
      </c>
    </row>
    <row r="23" ht="15.75" customHeight="1">
      <c r="A23" s="23"/>
      <c r="B23" s="23"/>
      <c r="C23" s="23"/>
      <c r="F23" s="23"/>
    </row>
    <row r="24" ht="15.75" customHeight="1">
      <c r="A24" s="42" t="s">
        <v>35</v>
      </c>
      <c r="B24" s="23"/>
      <c r="C24" s="23"/>
      <c r="F24" s="23"/>
    </row>
    <row r="25" ht="15.75" customHeight="1">
      <c r="A25" s="23"/>
      <c r="B25" s="43"/>
      <c r="C25" s="43"/>
      <c r="D25" s="43" t="s">
        <v>36</v>
      </c>
      <c r="F25" s="23"/>
    </row>
    <row r="26" ht="15.75" customHeight="1">
      <c r="A26" s="23"/>
      <c r="B26" s="43" t="s">
        <v>37</v>
      </c>
      <c r="C26" s="45"/>
      <c r="D26" s="46">
        <v>0.02</v>
      </c>
      <c r="F26" s="23"/>
    </row>
    <row r="27" ht="15.75" customHeight="1">
      <c r="A27" s="23"/>
      <c r="B27" s="43" t="s">
        <v>38</v>
      </c>
      <c r="C27" s="45"/>
      <c r="D27" s="46">
        <v>0.01</v>
      </c>
      <c r="F27" s="23"/>
    </row>
    <row r="28" ht="15.75" customHeight="1">
      <c r="A28" s="23"/>
      <c r="B28" s="23"/>
      <c r="C28" s="23"/>
      <c r="F28" s="23"/>
    </row>
    <row r="29" ht="15.75" customHeight="1">
      <c r="A29" s="42" t="s">
        <v>39</v>
      </c>
      <c r="B29" s="23"/>
      <c r="C29" s="23"/>
      <c r="F29" s="23"/>
    </row>
    <row r="30" ht="15.75" customHeight="1">
      <c r="A30" s="23"/>
      <c r="B30" s="43" t="s">
        <v>40</v>
      </c>
      <c r="C30" s="45"/>
      <c r="D30" s="46">
        <v>0.03</v>
      </c>
      <c r="F30" s="23"/>
    </row>
    <row r="31" ht="15.75" customHeight="1">
      <c r="A31" s="23"/>
      <c r="B31" s="43" t="s">
        <v>41</v>
      </c>
      <c r="C31" s="47"/>
      <c r="D31" s="48">
        <v>1500.0</v>
      </c>
      <c r="F31" s="23"/>
    </row>
    <row r="32" ht="15.75" customHeight="1">
      <c r="A32" s="23"/>
      <c r="B32" s="23"/>
      <c r="C32" s="23"/>
      <c r="F32" s="23"/>
    </row>
    <row r="33" ht="15.75" customHeight="1">
      <c r="A33" s="42" t="s">
        <v>42</v>
      </c>
      <c r="B33" s="23"/>
      <c r="C33" s="23"/>
      <c r="F33" s="23"/>
    </row>
    <row r="34" ht="15.75" customHeight="1">
      <c r="A34" s="23"/>
      <c r="B34" s="43" t="s">
        <v>43</v>
      </c>
      <c r="C34" s="49"/>
      <c r="D34" s="40">
        <v>3000.0</v>
      </c>
      <c r="F34" s="23"/>
    </row>
    <row r="35" ht="15.75" customHeight="1">
      <c r="A35" s="23"/>
      <c r="B35" s="43" t="s">
        <v>44</v>
      </c>
      <c r="C35" s="49"/>
      <c r="D35" s="40">
        <v>1000.0</v>
      </c>
      <c r="F35" s="23"/>
    </row>
    <row r="36" ht="15.75" customHeight="1">
      <c r="A36" s="23"/>
      <c r="B36" s="43" t="s">
        <v>45</v>
      </c>
      <c r="C36" s="49"/>
      <c r="D36" s="40">
        <v>2000.0</v>
      </c>
      <c r="F36" s="23"/>
    </row>
    <row r="37" ht="15.75" customHeight="1">
      <c r="A37" s="23"/>
      <c r="B37" s="43" t="s">
        <v>46</v>
      </c>
      <c r="C37" s="49"/>
      <c r="D37" s="40">
        <v>500.0</v>
      </c>
      <c r="F37" s="23"/>
    </row>
    <row r="38" ht="15.75" customHeight="1">
      <c r="A38" s="23"/>
      <c r="B38" s="43" t="s">
        <v>47</v>
      </c>
      <c r="C38" s="49"/>
      <c r="D38" s="40">
        <v>0.0</v>
      </c>
      <c r="F38" s="23"/>
    </row>
    <row r="39" ht="15.75" customHeight="1">
      <c r="A39" s="23"/>
      <c r="B39" s="43" t="s">
        <v>48</v>
      </c>
      <c r="C39" s="49"/>
      <c r="D39" s="40">
        <v>200.0</v>
      </c>
      <c r="F39" s="23"/>
    </row>
    <row r="40" ht="15.75" customHeight="1">
      <c r="A40" s="23"/>
      <c r="B40" s="43" t="s">
        <v>49</v>
      </c>
      <c r="C40" s="49"/>
      <c r="D40" s="40">
        <v>667.0</v>
      </c>
      <c r="F40" s="23"/>
    </row>
    <row r="41" ht="15.75" customHeight="1">
      <c r="A41" s="23"/>
      <c r="B41" s="43" t="s">
        <v>50</v>
      </c>
      <c r="C41" s="49"/>
      <c r="D41" s="40">
        <v>500.0</v>
      </c>
      <c r="F41" s="23"/>
    </row>
    <row r="42" ht="15.75" customHeight="1">
      <c r="A42" s="23"/>
      <c r="B42" s="43" t="s">
        <v>51</v>
      </c>
      <c r="C42" s="49"/>
      <c r="D42" s="40">
        <v>0.0</v>
      </c>
      <c r="F42" s="23"/>
    </row>
    <row r="43" ht="15.75" customHeight="1">
      <c r="A43" s="23"/>
      <c r="B43" s="23"/>
      <c r="C43" s="23"/>
      <c r="F43" s="23"/>
    </row>
    <row r="44" ht="15.75" customHeight="1">
      <c r="A44" s="23"/>
      <c r="B44" s="23"/>
      <c r="C44" s="23"/>
      <c r="F44" s="23"/>
    </row>
    <row r="45" ht="15.75" customHeight="1">
      <c r="A45" s="23"/>
      <c r="B45" s="23"/>
      <c r="C45" s="23"/>
      <c r="F45" s="23"/>
    </row>
    <row r="46" ht="15.75" customHeight="1">
      <c r="A46" s="23"/>
      <c r="B46" s="23"/>
      <c r="C46" s="23"/>
      <c r="F46" s="23"/>
    </row>
    <row r="47" ht="15.75" customHeight="1">
      <c r="A47" s="23"/>
      <c r="B47" s="23"/>
      <c r="C47" s="23"/>
      <c r="F47" s="23"/>
    </row>
    <row r="48" ht="15.75" customHeight="1">
      <c r="A48" s="23"/>
      <c r="B48" s="23"/>
      <c r="C48" s="23"/>
      <c r="F48" s="23"/>
    </row>
    <row r="49" ht="15.75" customHeight="1">
      <c r="A49" s="23"/>
      <c r="B49" s="23"/>
      <c r="C49" s="23"/>
      <c r="F49" s="23"/>
    </row>
    <row r="50" ht="15.75" customHeight="1">
      <c r="A50" s="23"/>
      <c r="B50" s="23"/>
      <c r="C50" s="23"/>
      <c r="F50" s="23"/>
    </row>
    <row r="51" ht="15.75" customHeight="1">
      <c r="A51" s="23"/>
      <c r="B51" s="23"/>
      <c r="C51" s="23"/>
      <c r="F51" s="23"/>
    </row>
    <row r="52" ht="15.75" customHeight="1">
      <c r="A52" s="23"/>
      <c r="B52" s="23"/>
      <c r="C52" s="23"/>
      <c r="F52" s="23"/>
    </row>
    <row r="53" ht="15.75" customHeight="1">
      <c r="A53" s="23"/>
      <c r="B53" s="23"/>
      <c r="C53" s="23"/>
      <c r="F53" s="23"/>
    </row>
    <row r="54" ht="15.75" customHeight="1">
      <c r="A54" s="23"/>
      <c r="B54" s="23"/>
      <c r="C54" s="23"/>
      <c r="F54" s="23"/>
    </row>
    <row r="55" ht="15.75" customHeight="1">
      <c r="A55" s="23"/>
      <c r="B55" s="23"/>
      <c r="C55" s="23"/>
      <c r="F55" s="23"/>
    </row>
    <row r="56" ht="15.75" customHeight="1">
      <c r="A56" s="23"/>
      <c r="B56" s="23"/>
      <c r="C56" s="23"/>
      <c r="F56" s="23"/>
    </row>
    <row r="57" ht="15.75" customHeight="1">
      <c r="A57" s="23"/>
      <c r="B57" s="23"/>
      <c r="C57" s="23"/>
      <c r="F57" s="23"/>
    </row>
    <row r="58" ht="15.75" customHeight="1">
      <c r="A58" s="23"/>
      <c r="B58" s="23"/>
      <c r="C58" s="23"/>
      <c r="F58" s="23"/>
    </row>
    <row r="59" ht="15.75" customHeight="1">
      <c r="A59" s="23"/>
      <c r="B59" s="23"/>
      <c r="C59" s="23"/>
      <c r="F59" s="23"/>
    </row>
    <row r="60" ht="15.75" customHeight="1">
      <c r="A60" s="23"/>
      <c r="B60" s="23"/>
      <c r="C60" s="23"/>
      <c r="F60" s="23"/>
    </row>
    <row r="61" ht="15.75" customHeight="1">
      <c r="A61" s="23"/>
      <c r="B61" s="23"/>
      <c r="C61" s="23"/>
      <c r="F61" s="23"/>
    </row>
    <row r="62" ht="15.75" customHeight="1">
      <c r="A62" s="23"/>
      <c r="B62" s="23"/>
      <c r="C62" s="23"/>
      <c r="F62" s="23"/>
    </row>
    <row r="63" ht="15.75" customHeight="1">
      <c r="A63" s="23"/>
      <c r="B63" s="23"/>
      <c r="C63" s="23"/>
      <c r="F63" s="23"/>
    </row>
    <row r="64" ht="15.75" customHeight="1">
      <c r="A64" s="23"/>
      <c r="B64" s="23"/>
      <c r="C64" s="23"/>
      <c r="F64" s="23"/>
    </row>
    <row r="65" ht="15.75" customHeight="1">
      <c r="A65" s="23"/>
      <c r="B65" s="23"/>
      <c r="C65" s="23"/>
      <c r="F65" s="23"/>
    </row>
    <row r="66" ht="15.75" customHeight="1">
      <c r="A66" s="23"/>
      <c r="B66" s="23"/>
      <c r="C66" s="23"/>
      <c r="F66" s="23"/>
    </row>
    <row r="67" ht="15.75" customHeight="1">
      <c r="A67" s="23"/>
      <c r="B67" s="23"/>
      <c r="C67" s="23"/>
      <c r="F67" s="23"/>
    </row>
    <row r="68" ht="15.75" customHeight="1">
      <c r="A68" s="23"/>
      <c r="B68" s="23"/>
      <c r="C68" s="23"/>
      <c r="F68" s="23"/>
    </row>
    <row r="69" ht="15.75" customHeight="1">
      <c r="A69" s="23"/>
      <c r="B69" s="23"/>
      <c r="C69" s="23"/>
      <c r="F69" s="23"/>
    </row>
    <row r="70" ht="15.75" customHeight="1">
      <c r="A70" s="23"/>
      <c r="B70" s="23"/>
      <c r="C70" s="23"/>
      <c r="F70" s="23"/>
    </row>
    <row r="71" ht="15.75" customHeight="1">
      <c r="A71" s="23"/>
      <c r="B71" s="23"/>
      <c r="C71" s="23"/>
      <c r="F71" s="23"/>
    </row>
    <row r="72" ht="15.75" customHeight="1">
      <c r="A72" s="23"/>
      <c r="B72" s="23"/>
      <c r="C72" s="23"/>
      <c r="F72" s="23"/>
    </row>
    <row r="73" ht="15.75" customHeight="1">
      <c r="A73" s="23"/>
      <c r="B73" s="23"/>
      <c r="C73" s="23"/>
      <c r="F73" s="23"/>
    </row>
    <row r="74" ht="15.75" customHeight="1">
      <c r="A74" s="23"/>
      <c r="B74" s="23"/>
      <c r="C74" s="23"/>
      <c r="F74" s="23"/>
    </row>
    <row r="75" ht="15.75" customHeight="1">
      <c r="A75" s="23"/>
      <c r="B75" s="23"/>
      <c r="C75" s="23"/>
      <c r="F75" s="23"/>
    </row>
    <row r="76" ht="15.75" customHeight="1">
      <c r="A76" s="23"/>
      <c r="B76" s="23"/>
      <c r="C76" s="23"/>
      <c r="F76" s="23"/>
    </row>
    <row r="77" ht="15.75" customHeight="1">
      <c r="A77" s="23"/>
      <c r="B77" s="23"/>
      <c r="C77" s="23"/>
      <c r="F77" s="23"/>
    </row>
    <row r="78" ht="15.75" customHeight="1">
      <c r="A78" s="23"/>
      <c r="B78" s="23"/>
      <c r="C78" s="23"/>
      <c r="F78" s="23"/>
    </row>
    <row r="79" ht="15.75" customHeight="1">
      <c r="A79" s="23"/>
      <c r="B79" s="23"/>
      <c r="C79" s="23"/>
      <c r="F79" s="23"/>
    </row>
    <row r="80" ht="15.75" customHeight="1">
      <c r="A80" s="23"/>
      <c r="B80" s="23"/>
      <c r="C80" s="23"/>
      <c r="F80" s="23"/>
    </row>
    <row r="81" ht="15.75" customHeight="1">
      <c r="A81" s="23"/>
      <c r="B81" s="23"/>
      <c r="C81" s="23"/>
      <c r="F81" s="23"/>
    </row>
    <row r="82" ht="15.75" customHeight="1">
      <c r="A82" s="23"/>
      <c r="B82" s="23"/>
      <c r="C82" s="23"/>
      <c r="F82" s="23"/>
    </row>
    <row r="83" ht="15.75" customHeight="1">
      <c r="A83" s="23"/>
      <c r="B83" s="23"/>
      <c r="C83" s="23"/>
      <c r="F83" s="23"/>
    </row>
    <row r="84" ht="15.75" customHeight="1">
      <c r="A84" s="23"/>
      <c r="B84" s="23"/>
      <c r="C84" s="23"/>
      <c r="F84" s="23"/>
    </row>
    <row r="85" ht="15.75" customHeight="1">
      <c r="A85" s="23"/>
      <c r="B85" s="23"/>
      <c r="C85" s="23"/>
      <c r="F85" s="23"/>
    </row>
    <row r="86" ht="15.75" customHeight="1">
      <c r="A86" s="23"/>
      <c r="B86" s="23"/>
      <c r="C86" s="23"/>
      <c r="F86" s="23"/>
    </row>
    <row r="87" ht="15.75" customHeight="1">
      <c r="A87" s="23"/>
      <c r="B87" s="23"/>
      <c r="C87" s="23"/>
      <c r="F87" s="23"/>
    </row>
    <row r="88" ht="15.75" customHeight="1">
      <c r="A88" s="23"/>
      <c r="B88" s="23"/>
      <c r="C88" s="23"/>
      <c r="F88" s="23"/>
    </row>
    <row r="89" ht="15.75" customHeight="1">
      <c r="A89" s="23"/>
      <c r="B89" s="23"/>
      <c r="C89" s="23"/>
      <c r="F89" s="23"/>
    </row>
    <row r="90" ht="15.75" customHeight="1">
      <c r="A90" s="23"/>
      <c r="B90" s="23"/>
      <c r="C90" s="23"/>
      <c r="F90" s="23"/>
    </row>
    <row r="91" ht="15.75" customHeight="1">
      <c r="A91" s="23"/>
      <c r="B91" s="23"/>
      <c r="C91" s="23"/>
      <c r="F91" s="23"/>
    </row>
    <row r="92" ht="15.75" customHeight="1">
      <c r="A92" s="23"/>
      <c r="B92" s="23"/>
      <c r="C92" s="23"/>
      <c r="F92" s="23"/>
    </row>
    <row r="93" ht="15.75" customHeight="1">
      <c r="A93" s="23"/>
      <c r="B93" s="23"/>
      <c r="C93" s="23"/>
      <c r="F93" s="23"/>
    </row>
    <row r="94" ht="15.75" customHeight="1">
      <c r="A94" s="23"/>
      <c r="B94" s="23"/>
      <c r="C94" s="23"/>
      <c r="F94" s="23"/>
    </row>
    <row r="95" ht="15.75" customHeight="1">
      <c r="A95" s="23"/>
      <c r="B95" s="23"/>
      <c r="C95" s="23"/>
      <c r="F95" s="23"/>
    </row>
    <row r="96" ht="15.75" customHeight="1">
      <c r="A96" s="23"/>
      <c r="B96" s="23"/>
      <c r="C96" s="23"/>
      <c r="F96" s="23"/>
    </row>
    <row r="97" ht="15.75" customHeight="1">
      <c r="A97" s="23"/>
      <c r="B97" s="23"/>
      <c r="C97" s="23"/>
      <c r="F97" s="23"/>
    </row>
    <row r="98" ht="15.75" customHeight="1">
      <c r="A98" s="23"/>
      <c r="B98" s="23"/>
      <c r="C98" s="23"/>
      <c r="F98" s="23"/>
    </row>
    <row r="99" ht="15.75" customHeight="1">
      <c r="A99" s="23"/>
      <c r="B99" s="23"/>
      <c r="C99" s="23"/>
      <c r="F99" s="23"/>
    </row>
    <row r="100" ht="15.75" customHeight="1">
      <c r="A100" s="23"/>
      <c r="B100" s="23"/>
      <c r="C100" s="23"/>
      <c r="F100" s="23"/>
    </row>
    <row r="101" ht="15.75" customHeight="1">
      <c r="A101" s="23"/>
      <c r="B101" s="23"/>
      <c r="C101" s="23"/>
      <c r="F101" s="23"/>
    </row>
    <row r="102" ht="15.75" customHeight="1">
      <c r="A102" s="23"/>
      <c r="B102" s="23"/>
      <c r="C102" s="23"/>
      <c r="F102" s="23"/>
    </row>
    <row r="103" ht="15.75" customHeight="1">
      <c r="A103" s="23"/>
      <c r="B103" s="23"/>
      <c r="C103" s="23"/>
      <c r="F103" s="23"/>
    </row>
    <row r="104" ht="15.75" customHeight="1">
      <c r="A104" s="23"/>
      <c r="B104" s="23"/>
      <c r="C104" s="23"/>
      <c r="F104" s="23"/>
    </row>
    <row r="105" ht="15.75" customHeight="1">
      <c r="A105" s="23"/>
      <c r="B105" s="23"/>
      <c r="C105" s="23"/>
      <c r="F105" s="23"/>
    </row>
    <row r="106" ht="15.75" customHeight="1">
      <c r="A106" s="23"/>
      <c r="B106" s="23"/>
      <c r="C106" s="23"/>
      <c r="F106" s="23"/>
    </row>
    <row r="107" ht="15.75" customHeight="1">
      <c r="A107" s="23"/>
      <c r="B107" s="23"/>
      <c r="C107" s="23"/>
      <c r="F107" s="23"/>
    </row>
    <row r="108" ht="15.75" customHeight="1">
      <c r="A108" s="23"/>
      <c r="B108" s="23"/>
      <c r="C108" s="23"/>
      <c r="F108" s="23"/>
    </row>
    <row r="109" ht="15.75" customHeight="1">
      <c r="A109" s="23"/>
      <c r="B109" s="23"/>
      <c r="C109" s="23"/>
      <c r="F109" s="23"/>
    </row>
    <row r="110" ht="15.75" customHeight="1">
      <c r="A110" s="23"/>
      <c r="B110" s="23"/>
      <c r="C110" s="23"/>
      <c r="F110" s="23"/>
    </row>
    <row r="111" ht="15.75" customHeight="1">
      <c r="A111" s="23"/>
      <c r="B111" s="23"/>
      <c r="C111" s="23"/>
      <c r="F111" s="23"/>
    </row>
    <row r="112" ht="15.75" customHeight="1">
      <c r="A112" s="23"/>
      <c r="B112" s="23"/>
      <c r="C112" s="23"/>
      <c r="F112" s="23"/>
    </row>
    <row r="113" ht="15.75" customHeight="1">
      <c r="A113" s="23"/>
      <c r="B113" s="23"/>
      <c r="C113" s="23"/>
      <c r="F113" s="23"/>
    </row>
    <row r="114" ht="15.75" customHeight="1">
      <c r="A114" s="23"/>
      <c r="B114" s="23"/>
      <c r="C114" s="23"/>
      <c r="F114" s="23"/>
    </row>
    <row r="115" ht="15.75" customHeight="1">
      <c r="A115" s="23"/>
      <c r="B115" s="23"/>
      <c r="C115" s="23"/>
      <c r="F115" s="23"/>
    </row>
    <row r="116" ht="15.75" customHeight="1">
      <c r="A116" s="23"/>
      <c r="B116" s="23"/>
      <c r="C116" s="23"/>
      <c r="F116" s="23"/>
    </row>
    <row r="117" ht="15.75" customHeight="1">
      <c r="A117" s="23"/>
      <c r="B117" s="23"/>
      <c r="C117" s="23"/>
      <c r="F117" s="23"/>
    </row>
    <row r="118" ht="15.75" customHeight="1">
      <c r="A118" s="23"/>
      <c r="B118" s="23"/>
      <c r="C118" s="23"/>
      <c r="F118" s="23"/>
    </row>
    <row r="119" ht="15.75" customHeight="1">
      <c r="A119" s="23"/>
      <c r="B119" s="23"/>
      <c r="C119" s="23"/>
      <c r="F119" s="23"/>
    </row>
    <row r="120" ht="15.75" customHeight="1">
      <c r="A120" s="23"/>
      <c r="B120" s="23"/>
      <c r="C120" s="23"/>
      <c r="F120" s="23"/>
    </row>
    <row r="121" ht="15.75" customHeight="1">
      <c r="A121" s="23"/>
      <c r="B121" s="23"/>
      <c r="C121" s="23"/>
      <c r="F121" s="23"/>
    </row>
    <row r="122" ht="15.75" customHeight="1">
      <c r="A122" s="23"/>
      <c r="B122" s="23"/>
      <c r="C122" s="23"/>
      <c r="F122" s="23"/>
    </row>
    <row r="123" ht="15.75" customHeight="1">
      <c r="A123" s="23"/>
      <c r="B123" s="23"/>
      <c r="C123" s="23"/>
      <c r="F123" s="23"/>
    </row>
    <row r="124" ht="15.75" customHeight="1">
      <c r="A124" s="23"/>
      <c r="B124" s="23"/>
      <c r="C124" s="23"/>
      <c r="F124" s="23"/>
    </row>
    <row r="125" ht="15.75" customHeight="1">
      <c r="A125" s="23"/>
      <c r="B125" s="23"/>
      <c r="C125" s="23"/>
      <c r="F125" s="23"/>
    </row>
    <row r="126" ht="15.75" customHeight="1">
      <c r="A126" s="23"/>
      <c r="B126" s="23"/>
      <c r="C126" s="23"/>
      <c r="F126" s="23"/>
    </row>
    <row r="127" ht="15.75" customHeight="1">
      <c r="A127" s="23"/>
      <c r="B127" s="23"/>
      <c r="C127" s="23"/>
      <c r="F127" s="23"/>
    </row>
    <row r="128" ht="15.75" customHeight="1">
      <c r="A128" s="23"/>
      <c r="B128" s="23"/>
      <c r="C128" s="23"/>
      <c r="F128" s="23"/>
    </row>
    <row r="129" ht="15.75" customHeight="1">
      <c r="A129" s="23"/>
      <c r="B129" s="23"/>
      <c r="C129" s="23"/>
      <c r="F129" s="23"/>
    </row>
    <row r="130" ht="15.75" customHeight="1">
      <c r="A130" s="23"/>
      <c r="B130" s="23"/>
      <c r="C130" s="23"/>
      <c r="F130" s="23"/>
    </row>
    <row r="131" ht="15.75" customHeight="1">
      <c r="A131" s="23"/>
      <c r="B131" s="23"/>
      <c r="C131" s="23"/>
      <c r="F131" s="23"/>
    </row>
    <row r="132" ht="15.75" customHeight="1">
      <c r="A132" s="23"/>
      <c r="B132" s="23"/>
      <c r="C132" s="23"/>
      <c r="F132" s="23"/>
    </row>
    <row r="133" ht="15.75" customHeight="1">
      <c r="A133" s="23"/>
      <c r="B133" s="23"/>
      <c r="C133" s="23"/>
      <c r="F133" s="23"/>
    </row>
    <row r="134" ht="15.75" customHeight="1">
      <c r="A134" s="23"/>
      <c r="B134" s="23"/>
      <c r="C134" s="23"/>
      <c r="F134" s="23"/>
    </row>
    <row r="135" ht="15.75" customHeight="1">
      <c r="A135" s="23"/>
      <c r="B135" s="23"/>
      <c r="C135" s="23"/>
      <c r="F135" s="23"/>
    </row>
    <row r="136" ht="15.75" customHeight="1">
      <c r="A136" s="23"/>
      <c r="B136" s="23"/>
      <c r="C136" s="23"/>
      <c r="F136" s="23"/>
    </row>
    <row r="137" ht="15.75" customHeight="1">
      <c r="A137" s="23"/>
      <c r="B137" s="23"/>
      <c r="C137" s="23"/>
      <c r="F137" s="23"/>
    </row>
    <row r="138" ht="15.75" customHeight="1">
      <c r="A138" s="23"/>
      <c r="B138" s="23"/>
      <c r="C138" s="23"/>
      <c r="F138" s="23"/>
    </row>
    <row r="139" ht="15.75" customHeight="1">
      <c r="A139" s="23"/>
      <c r="B139" s="23"/>
      <c r="C139" s="23"/>
      <c r="F139" s="23"/>
    </row>
    <row r="140" ht="15.75" customHeight="1">
      <c r="A140" s="23"/>
      <c r="B140" s="23"/>
      <c r="C140" s="23"/>
      <c r="F140" s="23"/>
    </row>
    <row r="141" ht="15.75" customHeight="1">
      <c r="A141" s="23"/>
      <c r="B141" s="23"/>
      <c r="C141" s="23"/>
      <c r="F141" s="23"/>
    </row>
    <row r="142" ht="15.75" customHeight="1">
      <c r="A142" s="23"/>
      <c r="B142" s="23"/>
      <c r="C142" s="23"/>
      <c r="F142" s="23"/>
    </row>
    <row r="143" ht="15.75" customHeight="1">
      <c r="A143" s="23"/>
      <c r="B143" s="23"/>
      <c r="C143" s="23"/>
      <c r="F143" s="23"/>
    </row>
    <row r="144" ht="15.75" customHeight="1">
      <c r="A144" s="23"/>
      <c r="B144" s="23"/>
      <c r="C144" s="23"/>
      <c r="F144" s="23"/>
    </row>
    <row r="145" ht="15.75" customHeight="1">
      <c r="A145" s="23"/>
      <c r="B145" s="23"/>
      <c r="C145" s="23"/>
      <c r="F145" s="23"/>
    </row>
    <row r="146" ht="15.75" customHeight="1">
      <c r="A146" s="23"/>
      <c r="B146" s="23"/>
      <c r="C146" s="23"/>
      <c r="F146" s="23"/>
    </row>
    <row r="147" ht="15.75" customHeight="1">
      <c r="A147" s="23"/>
      <c r="B147" s="23"/>
      <c r="C147" s="23"/>
      <c r="F147" s="23"/>
    </row>
    <row r="148" ht="15.75" customHeight="1">
      <c r="A148" s="23"/>
      <c r="B148" s="23"/>
      <c r="C148" s="23"/>
      <c r="F148" s="23"/>
    </row>
    <row r="149" ht="15.75" customHeight="1">
      <c r="A149" s="23"/>
      <c r="B149" s="23"/>
      <c r="C149" s="23"/>
      <c r="F149" s="23"/>
    </row>
    <row r="150" ht="15.75" customHeight="1">
      <c r="A150" s="23"/>
      <c r="B150" s="23"/>
      <c r="C150" s="23"/>
      <c r="F150" s="23"/>
    </row>
    <row r="151" ht="15.75" customHeight="1">
      <c r="A151" s="23"/>
      <c r="B151" s="23"/>
      <c r="C151" s="23"/>
      <c r="F151" s="23"/>
    </row>
    <row r="152" ht="15.75" customHeight="1">
      <c r="A152" s="23"/>
      <c r="B152" s="23"/>
      <c r="C152" s="23"/>
      <c r="F152" s="23"/>
    </row>
    <row r="153" ht="15.75" customHeight="1">
      <c r="A153" s="23"/>
      <c r="B153" s="23"/>
      <c r="C153" s="23"/>
      <c r="F153" s="23"/>
    </row>
    <row r="154" ht="15.75" customHeight="1">
      <c r="A154" s="23"/>
      <c r="B154" s="23"/>
      <c r="C154" s="23"/>
      <c r="F154" s="23"/>
    </row>
    <row r="155" ht="15.75" customHeight="1">
      <c r="A155" s="23"/>
      <c r="B155" s="23"/>
      <c r="C155" s="23"/>
      <c r="F155" s="23"/>
    </row>
    <row r="156" ht="15.75" customHeight="1">
      <c r="A156" s="23"/>
      <c r="B156" s="23"/>
      <c r="C156" s="23"/>
      <c r="F156" s="23"/>
    </row>
    <row r="157" ht="15.75" customHeight="1">
      <c r="A157" s="23"/>
      <c r="B157" s="23"/>
      <c r="C157" s="23"/>
      <c r="F157" s="23"/>
    </row>
    <row r="158" ht="15.75" customHeight="1">
      <c r="A158" s="23"/>
      <c r="B158" s="23"/>
      <c r="C158" s="23"/>
      <c r="F158" s="23"/>
    </row>
    <row r="159" ht="15.75" customHeight="1">
      <c r="A159" s="23"/>
      <c r="B159" s="23"/>
      <c r="C159" s="23"/>
      <c r="F159" s="23"/>
    </row>
    <row r="160" ht="15.75" customHeight="1">
      <c r="A160" s="23"/>
      <c r="B160" s="23"/>
      <c r="C160" s="23"/>
      <c r="F160" s="23"/>
    </row>
    <row r="161" ht="15.75" customHeight="1">
      <c r="A161" s="23"/>
      <c r="B161" s="23"/>
      <c r="C161" s="23"/>
      <c r="F161" s="23"/>
    </row>
    <row r="162" ht="15.75" customHeight="1">
      <c r="A162" s="23"/>
      <c r="B162" s="23"/>
      <c r="C162" s="23"/>
      <c r="F162" s="23"/>
    </row>
    <row r="163" ht="15.75" customHeight="1">
      <c r="A163" s="23"/>
      <c r="B163" s="23"/>
      <c r="C163" s="23"/>
      <c r="F163" s="23"/>
    </row>
    <row r="164" ht="15.75" customHeight="1">
      <c r="A164" s="23"/>
      <c r="B164" s="23"/>
      <c r="C164" s="23"/>
      <c r="F164" s="23"/>
    </row>
    <row r="165" ht="15.75" customHeight="1">
      <c r="A165" s="23"/>
      <c r="B165" s="23"/>
      <c r="C165" s="23"/>
      <c r="F165" s="23"/>
    </row>
    <row r="166" ht="15.75" customHeight="1">
      <c r="A166" s="23"/>
      <c r="B166" s="23"/>
      <c r="C166" s="23"/>
      <c r="F166" s="23"/>
    </row>
    <row r="167" ht="15.75" customHeight="1">
      <c r="A167" s="23"/>
      <c r="B167" s="23"/>
      <c r="C167" s="23"/>
      <c r="F167" s="23"/>
    </row>
    <row r="168" ht="15.75" customHeight="1">
      <c r="A168" s="23"/>
      <c r="B168" s="23"/>
      <c r="C168" s="23"/>
      <c r="F168" s="23"/>
    </row>
    <row r="169" ht="15.75" customHeight="1">
      <c r="A169" s="23"/>
      <c r="B169" s="23"/>
      <c r="C169" s="23"/>
      <c r="F169" s="23"/>
    </row>
    <row r="170" ht="15.75" customHeight="1">
      <c r="A170" s="23"/>
      <c r="B170" s="23"/>
      <c r="C170" s="23"/>
      <c r="F170" s="23"/>
    </row>
    <row r="171" ht="15.75" customHeight="1">
      <c r="A171" s="23"/>
      <c r="B171" s="23"/>
      <c r="C171" s="23"/>
      <c r="F171" s="23"/>
    </row>
    <row r="172" ht="15.75" customHeight="1">
      <c r="A172" s="23"/>
      <c r="B172" s="23"/>
      <c r="C172" s="23"/>
      <c r="F172" s="23"/>
    </row>
    <row r="173" ht="15.75" customHeight="1">
      <c r="A173" s="23"/>
      <c r="B173" s="23"/>
      <c r="C173" s="23"/>
      <c r="F173" s="23"/>
    </row>
    <row r="174" ht="15.75" customHeight="1">
      <c r="A174" s="23"/>
      <c r="B174" s="23"/>
      <c r="C174" s="23"/>
      <c r="F174" s="23"/>
    </row>
    <row r="175" ht="15.75" customHeight="1">
      <c r="A175" s="23"/>
      <c r="B175" s="23"/>
      <c r="C175" s="23"/>
      <c r="F175" s="23"/>
    </row>
    <row r="176" ht="15.75" customHeight="1">
      <c r="A176" s="23"/>
      <c r="B176" s="23"/>
      <c r="C176" s="23"/>
      <c r="F176" s="23"/>
    </row>
    <row r="177" ht="15.75" customHeight="1">
      <c r="A177" s="23"/>
      <c r="B177" s="23"/>
      <c r="C177" s="23"/>
      <c r="F177" s="23"/>
    </row>
    <row r="178" ht="15.75" customHeight="1">
      <c r="A178" s="23"/>
      <c r="B178" s="23"/>
      <c r="C178" s="23"/>
      <c r="F178" s="23"/>
    </row>
    <row r="179" ht="15.75" customHeight="1">
      <c r="A179" s="23"/>
      <c r="B179" s="23"/>
      <c r="C179" s="23"/>
      <c r="F179" s="23"/>
    </row>
    <row r="180" ht="15.75" customHeight="1">
      <c r="A180" s="23"/>
      <c r="B180" s="23"/>
      <c r="C180" s="23"/>
      <c r="F180" s="23"/>
    </row>
    <row r="181" ht="15.75" customHeight="1">
      <c r="A181" s="23"/>
      <c r="B181" s="23"/>
      <c r="C181" s="23"/>
      <c r="F181" s="23"/>
    </row>
    <row r="182" ht="15.75" customHeight="1">
      <c r="A182" s="23"/>
      <c r="B182" s="23"/>
      <c r="C182" s="23"/>
      <c r="F182" s="23"/>
    </row>
    <row r="183" ht="15.75" customHeight="1">
      <c r="A183" s="23"/>
      <c r="B183" s="23"/>
      <c r="C183" s="23"/>
      <c r="F183" s="23"/>
    </row>
    <row r="184" ht="15.75" customHeight="1">
      <c r="A184" s="23"/>
      <c r="B184" s="23"/>
      <c r="C184" s="23"/>
      <c r="F184" s="23"/>
    </row>
    <row r="185" ht="15.75" customHeight="1">
      <c r="A185" s="23"/>
      <c r="B185" s="23"/>
      <c r="C185" s="23"/>
      <c r="F185" s="23"/>
    </row>
    <row r="186" ht="15.75" customHeight="1">
      <c r="A186" s="23"/>
      <c r="B186" s="23"/>
      <c r="C186" s="23"/>
      <c r="F186" s="23"/>
    </row>
    <row r="187" ht="15.75" customHeight="1">
      <c r="A187" s="23"/>
      <c r="B187" s="23"/>
      <c r="C187" s="23"/>
      <c r="F187" s="23"/>
    </row>
    <row r="188" ht="15.75" customHeight="1">
      <c r="A188" s="23"/>
      <c r="B188" s="23"/>
      <c r="C188" s="23"/>
      <c r="F188" s="23"/>
    </row>
    <row r="189" ht="15.75" customHeight="1">
      <c r="A189" s="23"/>
      <c r="B189" s="23"/>
      <c r="C189" s="23"/>
      <c r="F189" s="23"/>
    </row>
    <row r="190" ht="15.75" customHeight="1">
      <c r="A190" s="23"/>
      <c r="B190" s="23"/>
      <c r="C190" s="23"/>
      <c r="F190" s="23"/>
    </row>
    <row r="191" ht="15.75" customHeight="1">
      <c r="A191" s="23"/>
      <c r="B191" s="23"/>
      <c r="C191" s="23"/>
      <c r="F191" s="23"/>
    </row>
    <row r="192" ht="15.75" customHeight="1">
      <c r="A192" s="23"/>
      <c r="B192" s="23"/>
      <c r="C192" s="23"/>
      <c r="F192" s="23"/>
    </row>
    <row r="193" ht="15.75" customHeight="1">
      <c r="A193" s="23"/>
      <c r="B193" s="23"/>
      <c r="C193" s="23"/>
      <c r="F193" s="23"/>
    </row>
    <row r="194" ht="15.75" customHeight="1">
      <c r="A194" s="23"/>
      <c r="B194" s="23"/>
      <c r="C194" s="23"/>
      <c r="F194" s="23"/>
    </row>
    <row r="195" ht="15.75" customHeight="1">
      <c r="A195" s="23"/>
      <c r="B195" s="23"/>
      <c r="C195" s="23"/>
      <c r="F195" s="23"/>
    </row>
    <row r="196" ht="15.75" customHeight="1">
      <c r="A196" s="23"/>
      <c r="B196" s="23"/>
      <c r="C196" s="23"/>
      <c r="F196" s="23"/>
    </row>
    <row r="197" ht="15.75" customHeight="1">
      <c r="A197" s="23"/>
      <c r="B197" s="23"/>
      <c r="C197" s="23"/>
      <c r="F197" s="23"/>
    </row>
    <row r="198" ht="15.75" customHeight="1">
      <c r="A198" s="23"/>
      <c r="B198" s="23"/>
      <c r="C198" s="23"/>
      <c r="F198" s="23"/>
    </row>
    <row r="199" ht="15.75" customHeight="1">
      <c r="A199" s="23"/>
      <c r="B199" s="23"/>
      <c r="C199" s="23"/>
      <c r="F199" s="23"/>
    </row>
    <row r="200" ht="15.75" customHeight="1">
      <c r="A200" s="23"/>
      <c r="B200" s="23"/>
      <c r="C200" s="23"/>
      <c r="F200" s="23"/>
    </row>
    <row r="201" ht="15.75" customHeight="1">
      <c r="A201" s="23"/>
      <c r="B201" s="23"/>
      <c r="C201" s="23"/>
      <c r="F201" s="23"/>
    </row>
    <row r="202" ht="15.75" customHeight="1">
      <c r="A202" s="23"/>
      <c r="B202" s="23"/>
      <c r="C202" s="23"/>
      <c r="F202" s="23"/>
    </row>
    <row r="203" ht="15.75" customHeight="1">
      <c r="A203" s="23"/>
      <c r="B203" s="23"/>
      <c r="C203" s="23"/>
      <c r="F203" s="23"/>
    </row>
    <row r="204" ht="15.75" customHeight="1">
      <c r="A204" s="23"/>
      <c r="B204" s="23"/>
      <c r="C204" s="23"/>
      <c r="F204" s="23"/>
    </row>
    <row r="205" ht="15.75" customHeight="1">
      <c r="A205" s="23"/>
      <c r="B205" s="23"/>
      <c r="C205" s="23"/>
      <c r="F205" s="23"/>
    </row>
    <row r="206" ht="15.75" customHeight="1">
      <c r="A206" s="23"/>
      <c r="B206" s="23"/>
      <c r="C206" s="23"/>
      <c r="F206" s="23"/>
    </row>
    <row r="207" ht="15.75" customHeight="1">
      <c r="A207" s="23"/>
      <c r="B207" s="23"/>
      <c r="C207" s="23"/>
      <c r="F207" s="23"/>
    </row>
    <row r="208" ht="15.75" customHeight="1">
      <c r="A208" s="23"/>
      <c r="B208" s="23"/>
      <c r="C208" s="23"/>
      <c r="F208" s="23"/>
    </row>
    <row r="209" ht="15.75" customHeight="1">
      <c r="A209" s="23"/>
      <c r="B209" s="23"/>
      <c r="C209" s="23"/>
      <c r="F209" s="23"/>
    </row>
    <row r="210" ht="15.75" customHeight="1">
      <c r="A210" s="23"/>
      <c r="B210" s="23"/>
      <c r="C210" s="23"/>
      <c r="F210" s="23"/>
    </row>
    <row r="211" ht="15.75" customHeight="1">
      <c r="A211" s="23"/>
      <c r="B211" s="23"/>
      <c r="C211" s="23"/>
      <c r="F211" s="23"/>
    </row>
    <row r="212" ht="15.75" customHeight="1">
      <c r="A212" s="23"/>
      <c r="B212" s="23"/>
      <c r="C212" s="23"/>
      <c r="F212" s="23"/>
    </row>
    <row r="213" ht="15.75" customHeight="1">
      <c r="A213" s="23"/>
      <c r="B213" s="23"/>
      <c r="C213" s="23"/>
      <c r="F213" s="23"/>
    </row>
    <row r="214" ht="15.75" customHeight="1">
      <c r="A214" s="23"/>
      <c r="B214" s="23"/>
      <c r="C214" s="23"/>
      <c r="F214" s="23"/>
    </row>
    <row r="215" ht="15.75" customHeight="1">
      <c r="A215" s="23"/>
      <c r="B215" s="23"/>
      <c r="C215" s="23"/>
      <c r="F215" s="23"/>
    </row>
    <row r="216" ht="15.75" customHeight="1">
      <c r="A216" s="23"/>
      <c r="B216" s="23"/>
      <c r="C216" s="23"/>
      <c r="F216" s="23"/>
    </row>
    <row r="217" ht="15.75" customHeight="1">
      <c r="A217" s="23"/>
      <c r="B217" s="23"/>
      <c r="C217" s="23"/>
      <c r="F217" s="23"/>
    </row>
    <row r="218" ht="15.75" customHeight="1">
      <c r="A218" s="23"/>
      <c r="B218" s="23"/>
      <c r="C218" s="23"/>
      <c r="F218" s="23"/>
    </row>
    <row r="219" ht="15.75" customHeight="1">
      <c r="A219" s="23"/>
      <c r="B219" s="23"/>
      <c r="C219" s="23"/>
      <c r="F219" s="23"/>
    </row>
    <row r="220" ht="15.75" customHeight="1">
      <c r="A220" s="23"/>
      <c r="B220" s="23"/>
      <c r="C220" s="23"/>
      <c r="F220" s="23"/>
    </row>
    <row r="221" ht="15.75" customHeight="1">
      <c r="A221" s="23"/>
      <c r="B221" s="23"/>
      <c r="C221" s="23"/>
      <c r="F221" s="23"/>
    </row>
    <row r="222" ht="15.75" customHeight="1">
      <c r="A222" s="23"/>
      <c r="B222" s="23"/>
      <c r="C222" s="23"/>
      <c r="F222" s="23"/>
    </row>
    <row r="223" ht="15.75" customHeight="1">
      <c r="A223" s="23"/>
      <c r="B223" s="23"/>
      <c r="C223" s="23"/>
      <c r="F223" s="23"/>
    </row>
    <row r="224" ht="15.75" customHeight="1">
      <c r="A224" s="23"/>
      <c r="B224" s="23"/>
      <c r="C224" s="23"/>
      <c r="F224" s="23"/>
    </row>
    <row r="225" ht="15.75" customHeight="1">
      <c r="A225" s="23"/>
      <c r="B225" s="23"/>
      <c r="C225" s="23"/>
      <c r="F225" s="23"/>
    </row>
    <row r="226" ht="15.75" customHeight="1">
      <c r="A226" s="23"/>
      <c r="B226" s="23"/>
      <c r="C226" s="23"/>
      <c r="F226" s="23"/>
    </row>
    <row r="227" ht="15.75" customHeight="1">
      <c r="A227" s="23"/>
      <c r="B227" s="23"/>
      <c r="C227" s="23"/>
      <c r="F227" s="23"/>
    </row>
    <row r="228" ht="15.75" customHeight="1">
      <c r="A228" s="23"/>
      <c r="B228" s="23"/>
      <c r="C228" s="23"/>
      <c r="F228" s="23"/>
    </row>
    <row r="229" ht="15.75" customHeight="1">
      <c r="A229" s="23"/>
      <c r="B229" s="23"/>
      <c r="C229" s="23"/>
      <c r="F229" s="23"/>
    </row>
    <row r="230" ht="15.75" customHeight="1">
      <c r="A230" s="23"/>
      <c r="B230" s="23"/>
      <c r="C230" s="23"/>
      <c r="F230" s="23"/>
    </row>
    <row r="231" ht="15.75" customHeight="1">
      <c r="A231" s="23"/>
      <c r="B231" s="23"/>
      <c r="C231" s="23"/>
      <c r="F231" s="23"/>
    </row>
    <row r="232" ht="15.75" customHeight="1">
      <c r="A232" s="23"/>
      <c r="B232" s="23"/>
      <c r="C232" s="23"/>
      <c r="F232" s="23"/>
    </row>
    <row r="233" ht="15.75" customHeight="1">
      <c r="A233" s="23"/>
      <c r="B233" s="23"/>
      <c r="C233" s="23"/>
      <c r="F233" s="23"/>
    </row>
    <row r="234" ht="15.75" customHeight="1">
      <c r="A234" s="23"/>
      <c r="B234" s="23"/>
      <c r="C234" s="23"/>
      <c r="F234" s="23"/>
    </row>
    <row r="235" ht="15.75" customHeight="1">
      <c r="A235" s="23"/>
      <c r="B235" s="23"/>
      <c r="C235" s="23"/>
      <c r="F235" s="23"/>
    </row>
    <row r="236" ht="15.75" customHeight="1">
      <c r="A236" s="23"/>
      <c r="B236" s="23"/>
      <c r="C236" s="23"/>
      <c r="F236" s="23"/>
    </row>
    <row r="237" ht="15.75" customHeight="1">
      <c r="A237" s="23"/>
      <c r="B237" s="23"/>
      <c r="C237" s="23"/>
      <c r="F237" s="23"/>
    </row>
    <row r="238" ht="15.75" customHeight="1">
      <c r="A238" s="23"/>
      <c r="B238" s="23"/>
      <c r="C238" s="23"/>
      <c r="F238" s="23"/>
    </row>
    <row r="239" ht="15.75" customHeight="1">
      <c r="A239" s="23"/>
      <c r="B239" s="23"/>
      <c r="C239" s="23"/>
      <c r="F239" s="23"/>
    </row>
    <row r="240" ht="15.75" customHeight="1">
      <c r="A240" s="23"/>
      <c r="B240" s="23"/>
      <c r="C240" s="23"/>
      <c r="F240" s="23"/>
    </row>
    <row r="241" ht="15.75" customHeight="1">
      <c r="A241" s="23"/>
      <c r="B241" s="23"/>
      <c r="C241" s="23"/>
      <c r="F241" s="23"/>
    </row>
    <row r="242" ht="15.75" customHeight="1">
      <c r="A242" s="23"/>
      <c r="B242" s="23"/>
      <c r="C242" s="23"/>
      <c r="F242" s="23"/>
    </row>
    <row r="243" ht="15.75" customHeight="1">
      <c r="A243" s="23"/>
      <c r="B243" s="23"/>
      <c r="C243" s="23"/>
      <c r="F243" s="23"/>
    </row>
    <row r="244" ht="15.75" customHeight="1">
      <c r="A244" s="23"/>
      <c r="B244" s="23"/>
      <c r="C244" s="23"/>
      <c r="F244" s="23"/>
    </row>
    <row r="245" ht="15.75" customHeight="1">
      <c r="A245" s="23"/>
      <c r="B245" s="23"/>
      <c r="C245" s="23"/>
      <c r="F245" s="23"/>
    </row>
    <row r="246" ht="15.75" customHeight="1">
      <c r="A246" s="23"/>
      <c r="B246" s="23"/>
      <c r="C246" s="23"/>
      <c r="F246" s="23"/>
    </row>
    <row r="247" ht="15.75" customHeight="1">
      <c r="A247" s="23"/>
      <c r="B247" s="23"/>
      <c r="C247" s="23"/>
      <c r="F247" s="23"/>
    </row>
    <row r="248" ht="15.75" customHeight="1">
      <c r="A248" s="23"/>
      <c r="B248" s="23"/>
      <c r="C248" s="23"/>
      <c r="F248" s="23"/>
    </row>
    <row r="249" ht="15.75" customHeight="1">
      <c r="A249" s="23"/>
      <c r="B249" s="23"/>
      <c r="C249" s="23"/>
      <c r="F249" s="23"/>
    </row>
    <row r="250" ht="15.75" customHeight="1">
      <c r="A250" s="23"/>
      <c r="B250" s="23"/>
      <c r="C250" s="23"/>
      <c r="F250" s="23"/>
    </row>
    <row r="251" ht="15.75" customHeight="1">
      <c r="A251" s="23"/>
      <c r="B251" s="23"/>
      <c r="C251" s="23"/>
      <c r="F251" s="23"/>
    </row>
    <row r="252" ht="15.75" customHeight="1">
      <c r="A252" s="23"/>
      <c r="B252" s="23"/>
      <c r="C252" s="23"/>
      <c r="F252" s="23"/>
    </row>
    <row r="253" ht="15.75" customHeight="1">
      <c r="A253" s="23"/>
      <c r="B253" s="23"/>
      <c r="C253" s="23"/>
      <c r="F253" s="23"/>
    </row>
    <row r="254" ht="15.75" customHeight="1">
      <c r="A254" s="23"/>
      <c r="B254" s="23"/>
      <c r="C254" s="23"/>
      <c r="F254" s="23"/>
    </row>
    <row r="255" ht="15.75" customHeight="1">
      <c r="A255" s="23"/>
      <c r="B255" s="23"/>
      <c r="C255" s="23"/>
      <c r="F255" s="23"/>
    </row>
    <row r="256" ht="15.75" customHeight="1">
      <c r="A256" s="23"/>
      <c r="B256" s="23"/>
      <c r="C256" s="23"/>
      <c r="F256" s="23"/>
    </row>
    <row r="257" ht="15.75" customHeight="1">
      <c r="A257" s="23"/>
      <c r="B257" s="23"/>
      <c r="C257" s="23"/>
      <c r="F257" s="23"/>
    </row>
    <row r="258" ht="15.75" customHeight="1">
      <c r="A258" s="23"/>
      <c r="B258" s="23"/>
      <c r="C258" s="23"/>
      <c r="F258" s="23"/>
    </row>
    <row r="259" ht="15.75" customHeight="1">
      <c r="A259" s="23"/>
      <c r="B259" s="23"/>
      <c r="C259" s="23"/>
      <c r="F259" s="23"/>
    </row>
    <row r="260" ht="15.75" customHeight="1">
      <c r="A260" s="23"/>
      <c r="B260" s="23"/>
      <c r="C260" s="23"/>
      <c r="F260" s="23"/>
    </row>
    <row r="261" ht="15.75" customHeight="1">
      <c r="A261" s="23"/>
      <c r="B261" s="23"/>
      <c r="C261" s="23"/>
      <c r="F261" s="23"/>
    </row>
    <row r="262" ht="15.75" customHeight="1">
      <c r="A262" s="23"/>
      <c r="B262" s="23"/>
      <c r="C262" s="23"/>
      <c r="F262" s="23"/>
    </row>
    <row r="263" ht="15.75" customHeight="1">
      <c r="A263" s="23"/>
      <c r="B263" s="23"/>
      <c r="C263" s="23"/>
      <c r="F263" s="23"/>
    </row>
    <row r="264" ht="15.75" customHeight="1">
      <c r="A264" s="23"/>
      <c r="B264" s="23"/>
      <c r="C264" s="23"/>
      <c r="F264" s="23"/>
    </row>
    <row r="265" ht="15.75" customHeight="1">
      <c r="A265" s="23"/>
      <c r="B265" s="23"/>
      <c r="C265" s="23"/>
      <c r="F265" s="23"/>
    </row>
    <row r="266" ht="15.75" customHeight="1">
      <c r="A266" s="23"/>
      <c r="B266" s="23"/>
      <c r="C266" s="23"/>
      <c r="F266" s="23"/>
    </row>
    <row r="267" ht="15.75" customHeight="1">
      <c r="A267" s="23"/>
      <c r="B267" s="23"/>
      <c r="C267" s="23"/>
      <c r="F267" s="23"/>
    </row>
    <row r="268" ht="15.75" customHeight="1">
      <c r="A268" s="23"/>
      <c r="B268" s="23"/>
      <c r="C268" s="23"/>
      <c r="F268" s="23"/>
    </row>
    <row r="269" ht="15.75" customHeight="1">
      <c r="A269" s="23"/>
      <c r="B269" s="23"/>
      <c r="C269" s="23"/>
      <c r="F269" s="23"/>
    </row>
    <row r="270" ht="15.75" customHeight="1">
      <c r="A270" s="23"/>
      <c r="B270" s="23"/>
      <c r="C270" s="23"/>
      <c r="F270" s="23"/>
    </row>
    <row r="271" ht="15.75" customHeight="1">
      <c r="A271" s="23"/>
      <c r="B271" s="23"/>
      <c r="C271" s="23"/>
      <c r="F271" s="23"/>
    </row>
    <row r="272" ht="15.75" customHeight="1">
      <c r="A272" s="23"/>
      <c r="B272" s="23"/>
      <c r="C272" s="23"/>
      <c r="F272" s="23"/>
    </row>
    <row r="273" ht="15.75" customHeight="1">
      <c r="A273" s="23"/>
      <c r="B273" s="23"/>
      <c r="C273" s="23"/>
      <c r="F273" s="23"/>
    </row>
    <row r="274" ht="15.75" customHeight="1">
      <c r="A274" s="23"/>
      <c r="B274" s="23"/>
      <c r="C274" s="23"/>
      <c r="F274" s="23"/>
    </row>
    <row r="275" ht="15.75" customHeight="1">
      <c r="A275" s="23"/>
      <c r="B275" s="23"/>
      <c r="C275" s="23"/>
      <c r="F275" s="23"/>
    </row>
    <row r="276" ht="15.75" customHeight="1">
      <c r="A276" s="23"/>
      <c r="B276" s="23"/>
      <c r="C276" s="23"/>
      <c r="F276" s="23"/>
    </row>
    <row r="277" ht="15.75" customHeight="1">
      <c r="A277" s="23"/>
      <c r="B277" s="23"/>
      <c r="C277" s="23"/>
      <c r="F277" s="23"/>
    </row>
    <row r="278" ht="15.75" customHeight="1">
      <c r="A278" s="23"/>
      <c r="B278" s="23"/>
      <c r="C278" s="23"/>
      <c r="F278" s="23"/>
    </row>
    <row r="279" ht="15.75" customHeight="1">
      <c r="A279" s="23"/>
      <c r="B279" s="23"/>
      <c r="C279" s="23"/>
      <c r="F279" s="23"/>
    </row>
    <row r="280" ht="15.75" customHeight="1">
      <c r="A280" s="23"/>
      <c r="B280" s="23"/>
      <c r="C280" s="23"/>
      <c r="F280" s="23"/>
    </row>
    <row r="281" ht="15.75" customHeight="1">
      <c r="A281" s="23"/>
      <c r="B281" s="23"/>
      <c r="C281" s="23"/>
      <c r="F281" s="23"/>
    </row>
    <row r="282" ht="15.75" customHeight="1">
      <c r="A282" s="23"/>
      <c r="B282" s="23"/>
      <c r="C282" s="23"/>
      <c r="F282" s="23"/>
    </row>
    <row r="283" ht="15.75" customHeight="1">
      <c r="A283" s="23"/>
      <c r="B283" s="23"/>
      <c r="C283" s="23"/>
      <c r="F283" s="23"/>
    </row>
    <row r="284" ht="15.75" customHeight="1">
      <c r="A284" s="23"/>
      <c r="B284" s="23"/>
      <c r="C284" s="23"/>
      <c r="F284" s="23"/>
    </row>
    <row r="285" ht="15.75" customHeight="1">
      <c r="A285" s="23"/>
      <c r="B285" s="23"/>
      <c r="C285" s="23"/>
      <c r="F285" s="23"/>
    </row>
    <row r="286" ht="15.75" customHeight="1">
      <c r="A286" s="23"/>
      <c r="B286" s="23"/>
      <c r="C286" s="23"/>
      <c r="F286" s="23"/>
    </row>
    <row r="287" ht="15.75" customHeight="1">
      <c r="A287" s="23"/>
      <c r="B287" s="23"/>
      <c r="C287" s="23"/>
      <c r="F287" s="23"/>
    </row>
    <row r="288" ht="15.75" customHeight="1">
      <c r="A288" s="23"/>
      <c r="B288" s="23"/>
      <c r="C288" s="23"/>
      <c r="F288" s="23"/>
    </row>
    <row r="289" ht="15.75" customHeight="1">
      <c r="A289" s="23"/>
      <c r="B289" s="23"/>
      <c r="C289" s="23"/>
      <c r="F289" s="23"/>
    </row>
    <row r="290" ht="15.75" customHeight="1">
      <c r="A290" s="23"/>
      <c r="B290" s="23"/>
      <c r="C290" s="23"/>
      <c r="F290" s="23"/>
    </row>
    <row r="291" ht="15.75" customHeight="1">
      <c r="A291" s="23"/>
      <c r="B291" s="23"/>
      <c r="C291" s="23"/>
      <c r="F291" s="23"/>
    </row>
    <row r="292" ht="15.75" customHeight="1">
      <c r="A292" s="23"/>
      <c r="B292" s="23"/>
      <c r="C292" s="23"/>
      <c r="F292" s="23"/>
    </row>
    <row r="293" ht="15.75" customHeight="1">
      <c r="A293" s="23"/>
      <c r="B293" s="23"/>
      <c r="C293" s="23"/>
      <c r="F293" s="23"/>
    </row>
    <row r="294" ht="15.75" customHeight="1">
      <c r="A294" s="23"/>
      <c r="B294" s="23"/>
      <c r="C294" s="23"/>
      <c r="F294" s="23"/>
    </row>
    <row r="295" ht="15.75" customHeight="1">
      <c r="A295" s="23"/>
      <c r="B295" s="23"/>
      <c r="C295" s="23"/>
      <c r="F295" s="23"/>
    </row>
    <row r="296" ht="15.75" customHeight="1">
      <c r="A296" s="23"/>
      <c r="B296" s="23"/>
      <c r="C296" s="23"/>
      <c r="F296" s="23"/>
    </row>
    <row r="297" ht="15.75" customHeight="1">
      <c r="A297" s="23"/>
      <c r="B297" s="23"/>
      <c r="C297" s="23"/>
      <c r="F297" s="23"/>
    </row>
    <row r="298" ht="15.75" customHeight="1">
      <c r="A298" s="23"/>
      <c r="B298" s="23"/>
      <c r="C298" s="23"/>
      <c r="F298" s="23"/>
    </row>
    <row r="299" ht="15.75" customHeight="1">
      <c r="A299" s="23"/>
      <c r="B299" s="23"/>
      <c r="C299" s="23"/>
      <c r="F299" s="23"/>
    </row>
    <row r="300" ht="15.75" customHeight="1">
      <c r="A300" s="23"/>
      <c r="B300" s="23"/>
      <c r="C300" s="23"/>
      <c r="F300" s="23"/>
    </row>
    <row r="301" ht="15.75" customHeight="1">
      <c r="A301" s="23"/>
      <c r="B301" s="23"/>
      <c r="C301" s="23"/>
      <c r="F301" s="23"/>
    </row>
    <row r="302" ht="15.75" customHeight="1">
      <c r="A302" s="23"/>
      <c r="B302" s="23"/>
      <c r="C302" s="23"/>
      <c r="F302" s="23"/>
    </row>
    <row r="303" ht="15.75" customHeight="1">
      <c r="A303" s="23"/>
      <c r="B303" s="23"/>
      <c r="C303" s="23"/>
      <c r="F303" s="23"/>
    </row>
    <row r="304" ht="15.75" customHeight="1">
      <c r="A304" s="23"/>
      <c r="B304" s="23"/>
      <c r="C304" s="23"/>
      <c r="F304" s="23"/>
    </row>
    <row r="305" ht="15.75" customHeight="1">
      <c r="A305" s="23"/>
      <c r="B305" s="23"/>
      <c r="C305" s="23"/>
      <c r="F305" s="23"/>
    </row>
    <row r="306" ht="15.75" customHeight="1">
      <c r="A306" s="23"/>
      <c r="B306" s="23"/>
      <c r="C306" s="23"/>
      <c r="F306" s="23"/>
    </row>
    <row r="307" ht="15.75" customHeight="1">
      <c r="A307" s="23"/>
      <c r="B307" s="23"/>
      <c r="C307" s="23"/>
      <c r="F307" s="23"/>
    </row>
    <row r="308" ht="15.75" customHeight="1">
      <c r="A308" s="23"/>
      <c r="B308" s="23"/>
      <c r="C308" s="23"/>
      <c r="F308" s="23"/>
    </row>
    <row r="309" ht="15.75" customHeight="1">
      <c r="A309" s="23"/>
      <c r="B309" s="23"/>
      <c r="C309" s="23"/>
      <c r="F309" s="23"/>
    </row>
    <row r="310" ht="15.75" customHeight="1">
      <c r="A310" s="23"/>
      <c r="B310" s="23"/>
      <c r="C310" s="23"/>
      <c r="F310" s="23"/>
    </row>
    <row r="311" ht="15.75" customHeight="1">
      <c r="A311" s="23"/>
      <c r="B311" s="23"/>
      <c r="C311" s="23"/>
      <c r="F311" s="23"/>
    </row>
    <row r="312" ht="15.75" customHeight="1">
      <c r="A312" s="23"/>
      <c r="B312" s="23"/>
      <c r="C312" s="23"/>
      <c r="F312" s="23"/>
    </row>
    <row r="313" ht="15.75" customHeight="1">
      <c r="A313" s="23"/>
      <c r="B313" s="23"/>
      <c r="C313" s="23"/>
      <c r="F313" s="23"/>
    </row>
    <row r="314" ht="15.75" customHeight="1">
      <c r="A314" s="23"/>
      <c r="B314" s="23"/>
      <c r="C314" s="23"/>
      <c r="F314" s="23"/>
    </row>
    <row r="315" ht="15.75" customHeight="1">
      <c r="A315" s="23"/>
      <c r="B315" s="23"/>
      <c r="C315" s="23"/>
      <c r="F315" s="23"/>
    </row>
    <row r="316" ht="15.75" customHeight="1">
      <c r="A316" s="23"/>
      <c r="B316" s="23"/>
      <c r="C316" s="23"/>
      <c r="F316" s="23"/>
    </row>
    <row r="317" ht="15.75" customHeight="1">
      <c r="A317" s="23"/>
      <c r="B317" s="23"/>
      <c r="C317" s="23"/>
      <c r="F317" s="23"/>
    </row>
    <row r="318" ht="15.75" customHeight="1">
      <c r="A318" s="23"/>
      <c r="B318" s="23"/>
      <c r="C318" s="23"/>
      <c r="F318" s="23"/>
    </row>
    <row r="319" ht="15.75" customHeight="1">
      <c r="A319" s="23"/>
      <c r="B319" s="23"/>
      <c r="C319" s="23"/>
      <c r="F319" s="23"/>
    </row>
    <row r="320" ht="15.75" customHeight="1">
      <c r="A320" s="23"/>
      <c r="B320" s="23"/>
      <c r="C320" s="23"/>
      <c r="F320" s="23"/>
    </row>
    <row r="321" ht="15.75" customHeight="1">
      <c r="A321" s="23"/>
      <c r="B321" s="23"/>
      <c r="C321" s="23"/>
      <c r="F321" s="23"/>
    </row>
    <row r="322" ht="15.75" customHeight="1">
      <c r="A322" s="23"/>
      <c r="B322" s="23"/>
      <c r="C322" s="23"/>
      <c r="F322" s="23"/>
    </row>
    <row r="323" ht="15.75" customHeight="1">
      <c r="A323" s="23"/>
      <c r="B323" s="23"/>
      <c r="C323" s="23"/>
      <c r="F323" s="23"/>
    </row>
    <row r="324" ht="15.75" customHeight="1">
      <c r="A324" s="23"/>
      <c r="B324" s="23"/>
      <c r="C324" s="23"/>
      <c r="F324" s="23"/>
    </row>
    <row r="325" ht="15.75" customHeight="1">
      <c r="A325" s="23"/>
      <c r="B325" s="23"/>
      <c r="C325" s="23"/>
      <c r="F325" s="23"/>
    </row>
    <row r="326" ht="15.75" customHeight="1">
      <c r="A326" s="23"/>
      <c r="B326" s="23"/>
      <c r="C326" s="23"/>
      <c r="F326" s="23"/>
    </row>
    <row r="327" ht="15.75" customHeight="1">
      <c r="A327" s="23"/>
      <c r="B327" s="23"/>
      <c r="C327" s="23"/>
      <c r="F327" s="23"/>
    </row>
    <row r="328" ht="15.75" customHeight="1">
      <c r="A328" s="23"/>
      <c r="B328" s="23"/>
      <c r="C328" s="23"/>
      <c r="F328" s="23"/>
    </row>
    <row r="329" ht="15.75" customHeight="1">
      <c r="A329" s="23"/>
      <c r="B329" s="23"/>
      <c r="C329" s="23"/>
      <c r="F329" s="23"/>
    </row>
    <row r="330" ht="15.75" customHeight="1">
      <c r="A330" s="23"/>
      <c r="B330" s="23"/>
      <c r="C330" s="23"/>
      <c r="F330" s="23"/>
    </row>
    <row r="331" ht="15.75" customHeight="1">
      <c r="A331" s="23"/>
      <c r="B331" s="23"/>
      <c r="C331" s="23"/>
      <c r="F331" s="23"/>
    </row>
    <row r="332" ht="15.75" customHeight="1">
      <c r="A332" s="23"/>
      <c r="B332" s="23"/>
      <c r="C332" s="23"/>
      <c r="F332" s="23"/>
    </row>
    <row r="333" ht="15.75" customHeight="1">
      <c r="A333" s="23"/>
      <c r="B333" s="23"/>
      <c r="C333" s="23"/>
      <c r="F333" s="23"/>
    </row>
    <row r="334" ht="15.75" customHeight="1">
      <c r="A334" s="23"/>
      <c r="B334" s="23"/>
      <c r="C334" s="23"/>
      <c r="F334" s="23"/>
    </row>
    <row r="335" ht="15.75" customHeight="1">
      <c r="A335" s="23"/>
      <c r="B335" s="23"/>
      <c r="C335" s="23"/>
      <c r="F335" s="23"/>
    </row>
    <row r="336" ht="15.75" customHeight="1">
      <c r="A336" s="23"/>
      <c r="B336" s="23"/>
      <c r="C336" s="23"/>
      <c r="F336" s="23"/>
    </row>
    <row r="337" ht="15.75" customHeight="1">
      <c r="A337" s="23"/>
      <c r="B337" s="23"/>
      <c r="C337" s="23"/>
      <c r="F337" s="23"/>
    </row>
    <row r="338" ht="15.75" customHeight="1">
      <c r="A338" s="23"/>
      <c r="B338" s="23"/>
      <c r="C338" s="23"/>
      <c r="F338" s="23"/>
    </row>
    <row r="339" ht="15.75" customHeight="1">
      <c r="A339" s="23"/>
      <c r="B339" s="23"/>
      <c r="C339" s="23"/>
      <c r="F339" s="23"/>
    </row>
    <row r="340" ht="15.75" customHeight="1">
      <c r="A340" s="23"/>
      <c r="B340" s="23"/>
      <c r="C340" s="23"/>
      <c r="F340" s="23"/>
    </row>
    <row r="341" ht="15.75" customHeight="1">
      <c r="A341" s="23"/>
      <c r="B341" s="23"/>
      <c r="C341" s="23"/>
      <c r="F341" s="23"/>
    </row>
    <row r="342" ht="15.75" customHeight="1">
      <c r="A342" s="23"/>
      <c r="B342" s="23"/>
      <c r="C342" s="23"/>
      <c r="F342" s="23"/>
    </row>
    <row r="343" ht="15.75" customHeight="1">
      <c r="A343" s="23"/>
      <c r="B343" s="23"/>
      <c r="C343" s="23"/>
      <c r="F343" s="23"/>
    </row>
    <row r="344" ht="15.75" customHeight="1">
      <c r="A344" s="23"/>
      <c r="B344" s="23"/>
      <c r="C344" s="23"/>
      <c r="F344" s="23"/>
    </row>
    <row r="345" ht="15.75" customHeight="1">
      <c r="A345" s="23"/>
      <c r="B345" s="23"/>
      <c r="C345" s="23"/>
      <c r="F345" s="23"/>
    </row>
    <row r="346" ht="15.75" customHeight="1">
      <c r="A346" s="23"/>
      <c r="B346" s="23"/>
      <c r="C346" s="23"/>
      <c r="F346" s="23"/>
    </row>
    <row r="347" ht="15.75" customHeight="1">
      <c r="A347" s="23"/>
      <c r="B347" s="23"/>
      <c r="C347" s="23"/>
      <c r="F347" s="23"/>
    </row>
    <row r="348" ht="15.75" customHeight="1">
      <c r="A348" s="23"/>
      <c r="B348" s="23"/>
      <c r="C348" s="23"/>
      <c r="F348" s="23"/>
    </row>
    <row r="349" ht="15.75" customHeight="1">
      <c r="A349" s="23"/>
      <c r="B349" s="23"/>
      <c r="C349" s="23"/>
      <c r="F349" s="23"/>
    </row>
    <row r="350" ht="15.75" customHeight="1">
      <c r="A350" s="23"/>
      <c r="B350" s="23"/>
      <c r="C350" s="23"/>
      <c r="F350" s="23"/>
    </row>
    <row r="351" ht="15.75" customHeight="1">
      <c r="A351" s="23"/>
      <c r="B351" s="23"/>
      <c r="C351" s="23"/>
      <c r="F351" s="23"/>
    </row>
    <row r="352" ht="15.75" customHeight="1">
      <c r="A352" s="23"/>
      <c r="B352" s="23"/>
      <c r="C352" s="23"/>
      <c r="F352" s="23"/>
    </row>
    <row r="353" ht="15.75" customHeight="1">
      <c r="A353" s="23"/>
      <c r="B353" s="23"/>
      <c r="C353" s="23"/>
      <c r="F353" s="23"/>
    </row>
    <row r="354" ht="15.75" customHeight="1">
      <c r="A354" s="23"/>
      <c r="B354" s="23"/>
      <c r="C354" s="23"/>
      <c r="F354" s="23"/>
    </row>
    <row r="355" ht="15.75" customHeight="1">
      <c r="A355" s="23"/>
      <c r="B355" s="23"/>
      <c r="C355" s="23"/>
      <c r="F355" s="23"/>
    </row>
    <row r="356" ht="15.75" customHeight="1">
      <c r="A356" s="23"/>
      <c r="B356" s="23"/>
      <c r="C356" s="23"/>
      <c r="F356" s="23"/>
    </row>
    <row r="357" ht="15.75" customHeight="1">
      <c r="A357" s="23"/>
      <c r="B357" s="23"/>
      <c r="C357" s="23"/>
      <c r="F357" s="23"/>
    </row>
    <row r="358" ht="15.75" customHeight="1">
      <c r="A358" s="23"/>
      <c r="B358" s="23"/>
      <c r="C358" s="23"/>
      <c r="F358" s="23"/>
    </row>
    <row r="359" ht="15.75" customHeight="1">
      <c r="A359" s="23"/>
      <c r="B359" s="23"/>
      <c r="C359" s="23"/>
      <c r="F359" s="23"/>
    </row>
    <row r="360" ht="15.75" customHeight="1">
      <c r="A360" s="23"/>
      <c r="B360" s="23"/>
      <c r="C360" s="23"/>
      <c r="F360" s="23"/>
    </row>
    <row r="361" ht="15.75" customHeight="1">
      <c r="A361" s="23"/>
      <c r="B361" s="23"/>
      <c r="C361" s="23"/>
      <c r="F361" s="23"/>
    </row>
    <row r="362" ht="15.75" customHeight="1">
      <c r="A362" s="23"/>
      <c r="B362" s="23"/>
      <c r="C362" s="23"/>
      <c r="F362" s="23"/>
    </row>
    <row r="363" ht="15.75" customHeight="1">
      <c r="A363" s="23"/>
      <c r="B363" s="23"/>
      <c r="C363" s="23"/>
      <c r="F363" s="23"/>
    </row>
    <row r="364" ht="15.75" customHeight="1">
      <c r="A364" s="23"/>
      <c r="B364" s="23"/>
      <c r="C364" s="23"/>
      <c r="F364" s="23"/>
    </row>
    <row r="365" ht="15.75" customHeight="1">
      <c r="A365" s="23"/>
      <c r="B365" s="23"/>
      <c r="C365" s="23"/>
      <c r="F365" s="23"/>
    </row>
    <row r="366" ht="15.75" customHeight="1">
      <c r="A366" s="23"/>
      <c r="B366" s="23"/>
      <c r="C366" s="23"/>
      <c r="F366" s="23"/>
    </row>
    <row r="367" ht="15.75" customHeight="1">
      <c r="A367" s="23"/>
      <c r="B367" s="23"/>
      <c r="C367" s="23"/>
      <c r="F367" s="23"/>
    </row>
    <row r="368" ht="15.75" customHeight="1">
      <c r="A368" s="23"/>
      <c r="B368" s="23"/>
      <c r="C368" s="23"/>
      <c r="F368" s="23"/>
    </row>
    <row r="369" ht="15.75" customHeight="1">
      <c r="A369" s="23"/>
      <c r="B369" s="23"/>
      <c r="C369" s="23"/>
      <c r="F369" s="23"/>
    </row>
    <row r="370" ht="15.75" customHeight="1">
      <c r="A370" s="23"/>
      <c r="B370" s="23"/>
      <c r="C370" s="23"/>
      <c r="F370" s="23"/>
    </row>
    <row r="371" ht="15.75" customHeight="1">
      <c r="A371" s="23"/>
      <c r="B371" s="23"/>
      <c r="C371" s="23"/>
      <c r="F371" s="23"/>
    </row>
    <row r="372" ht="15.75" customHeight="1">
      <c r="A372" s="23"/>
      <c r="B372" s="23"/>
      <c r="C372" s="23"/>
      <c r="F372" s="23"/>
    </row>
    <row r="373" ht="15.75" customHeight="1">
      <c r="A373" s="23"/>
      <c r="B373" s="23"/>
      <c r="C373" s="23"/>
      <c r="F373" s="23"/>
    </row>
    <row r="374" ht="15.75" customHeight="1">
      <c r="A374" s="23"/>
      <c r="B374" s="23"/>
      <c r="C374" s="23"/>
      <c r="F374" s="23"/>
    </row>
    <row r="375" ht="15.75" customHeight="1">
      <c r="A375" s="23"/>
      <c r="B375" s="23"/>
      <c r="C375" s="23"/>
      <c r="F375" s="23"/>
    </row>
    <row r="376" ht="15.75" customHeight="1">
      <c r="A376" s="23"/>
      <c r="B376" s="23"/>
      <c r="C376" s="23"/>
      <c r="F376" s="23"/>
    </row>
    <row r="377" ht="15.75" customHeight="1">
      <c r="A377" s="23"/>
      <c r="B377" s="23"/>
      <c r="C377" s="23"/>
      <c r="F377" s="23"/>
    </row>
    <row r="378" ht="15.75" customHeight="1">
      <c r="A378" s="23"/>
      <c r="B378" s="23"/>
      <c r="C378" s="23"/>
      <c r="F378" s="23"/>
    </row>
    <row r="379" ht="15.75" customHeight="1">
      <c r="A379" s="23"/>
      <c r="B379" s="23"/>
      <c r="C379" s="23"/>
      <c r="F379" s="23"/>
    </row>
    <row r="380" ht="15.75" customHeight="1">
      <c r="A380" s="23"/>
      <c r="B380" s="23"/>
      <c r="C380" s="23"/>
      <c r="F380" s="23"/>
    </row>
    <row r="381" ht="15.75" customHeight="1">
      <c r="A381" s="23"/>
      <c r="B381" s="23"/>
      <c r="C381" s="23"/>
      <c r="F381" s="23"/>
    </row>
    <row r="382" ht="15.75" customHeight="1">
      <c r="A382" s="23"/>
      <c r="B382" s="23"/>
      <c r="C382" s="23"/>
      <c r="F382" s="23"/>
    </row>
    <row r="383" ht="15.75" customHeight="1">
      <c r="A383" s="23"/>
      <c r="B383" s="23"/>
      <c r="C383" s="23"/>
      <c r="F383" s="23"/>
    </row>
    <row r="384" ht="15.75" customHeight="1">
      <c r="A384" s="23"/>
      <c r="B384" s="23"/>
      <c r="C384" s="23"/>
      <c r="F384" s="23"/>
    </row>
    <row r="385" ht="15.75" customHeight="1">
      <c r="A385" s="23"/>
      <c r="B385" s="23"/>
      <c r="C385" s="23"/>
      <c r="F385" s="23"/>
    </row>
    <row r="386" ht="15.75" customHeight="1">
      <c r="A386" s="23"/>
      <c r="B386" s="23"/>
      <c r="C386" s="23"/>
      <c r="F386" s="23"/>
    </row>
    <row r="387" ht="15.75" customHeight="1">
      <c r="A387" s="23"/>
      <c r="B387" s="23"/>
      <c r="C387" s="23"/>
      <c r="F387" s="23"/>
    </row>
    <row r="388" ht="15.75" customHeight="1">
      <c r="A388" s="23"/>
      <c r="B388" s="23"/>
      <c r="C388" s="23"/>
      <c r="F388" s="23"/>
    </row>
    <row r="389" ht="15.75" customHeight="1">
      <c r="A389" s="23"/>
      <c r="B389" s="23"/>
      <c r="C389" s="23"/>
      <c r="F389" s="23"/>
    </row>
    <row r="390" ht="15.75" customHeight="1">
      <c r="A390" s="23"/>
      <c r="B390" s="23"/>
      <c r="C390" s="23"/>
      <c r="F390" s="23"/>
    </row>
    <row r="391" ht="15.75" customHeight="1">
      <c r="A391" s="23"/>
      <c r="B391" s="23"/>
      <c r="C391" s="23"/>
      <c r="F391" s="23"/>
    </row>
    <row r="392" ht="15.75" customHeight="1">
      <c r="A392" s="23"/>
      <c r="B392" s="23"/>
      <c r="C392" s="23"/>
      <c r="F392" s="23"/>
    </row>
    <row r="393" ht="15.75" customHeight="1">
      <c r="A393" s="23"/>
      <c r="B393" s="23"/>
      <c r="C393" s="23"/>
      <c r="F393" s="23"/>
    </row>
    <row r="394" ht="15.75" customHeight="1">
      <c r="A394" s="23"/>
      <c r="B394" s="23"/>
      <c r="C394" s="23"/>
      <c r="F394" s="23"/>
    </row>
    <row r="395" ht="15.75" customHeight="1">
      <c r="A395" s="23"/>
      <c r="B395" s="23"/>
      <c r="C395" s="23"/>
      <c r="F395" s="23"/>
    </row>
    <row r="396" ht="15.75" customHeight="1">
      <c r="A396" s="23"/>
      <c r="B396" s="23"/>
      <c r="C396" s="23"/>
      <c r="F396" s="23"/>
    </row>
    <row r="397" ht="15.75" customHeight="1">
      <c r="A397" s="23"/>
      <c r="B397" s="23"/>
      <c r="C397" s="23"/>
      <c r="F397" s="23"/>
    </row>
    <row r="398" ht="15.75" customHeight="1">
      <c r="A398" s="23"/>
      <c r="B398" s="23"/>
      <c r="C398" s="23"/>
      <c r="F398" s="23"/>
    </row>
    <row r="399" ht="15.75" customHeight="1">
      <c r="A399" s="23"/>
      <c r="B399" s="23"/>
      <c r="C399" s="23"/>
      <c r="F399" s="23"/>
    </row>
    <row r="400" ht="15.75" customHeight="1">
      <c r="A400" s="23"/>
      <c r="B400" s="23"/>
      <c r="C400" s="23"/>
      <c r="F400" s="23"/>
    </row>
    <row r="401" ht="15.75" customHeight="1">
      <c r="A401" s="23"/>
      <c r="B401" s="23"/>
      <c r="C401" s="23"/>
      <c r="F401" s="23"/>
    </row>
    <row r="402" ht="15.75" customHeight="1">
      <c r="A402" s="23"/>
      <c r="B402" s="23"/>
      <c r="C402" s="23"/>
      <c r="F402" s="23"/>
    </row>
    <row r="403" ht="15.75" customHeight="1">
      <c r="A403" s="23"/>
      <c r="B403" s="23"/>
      <c r="C403" s="23"/>
      <c r="F403" s="23"/>
    </row>
    <row r="404" ht="15.75" customHeight="1">
      <c r="A404" s="23"/>
      <c r="B404" s="23"/>
      <c r="C404" s="23"/>
      <c r="F404" s="23"/>
    </row>
    <row r="405" ht="15.75" customHeight="1">
      <c r="A405" s="23"/>
      <c r="B405" s="23"/>
      <c r="C405" s="23"/>
      <c r="F405" s="23"/>
    </row>
    <row r="406" ht="15.75" customHeight="1">
      <c r="A406" s="23"/>
      <c r="B406" s="23"/>
      <c r="C406" s="23"/>
      <c r="F406" s="23"/>
    </row>
    <row r="407" ht="15.75" customHeight="1">
      <c r="A407" s="23"/>
      <c r="B407" s="23"/>
      <c r="C407" s="23"/>
      <c r="F407" s="23"/>
    </row>
    <row r="408" ht="15.75" customHeight="1">
      <c r="A408" s="23"/>
      <c r="B408" s="23"/>
      <c r="C408" s="23"/>
      <c r="F408" s="23"/>
    </row>
    <row r="409" ht="15.75" customHeight="1">
      <c r="A409" s="23"/>
      <c r="B409" s="23"/>
      <c r="C409" s="23"/>
      <c r="F409" s="23"/>
    </row>
    <row r="410" ht="15.75" customHeight="1">
      <c r="A410" s="23"/>
      <c r="B410" s="23"/>
      <c r="C410" s="23"/>
      <c r="F410" s="23"/>
    </row>
    <row r="411" ht="15.75" customHeight="1">
      <c r="A411" s="23"/>
      <c r="B411" s="23"/>
      <c r="C411" s="23"/>
      <c r="F411" s="23"/>
    </row>
    <row r="412" ht="15.75" customHeight="1">
      <c r="A412" s="23"/>
      <c r="B412" s="23"/>
      <c r="C412" s="23"/>
      <c r="F412" s="23"/>
    </row>
    <row r="413" ht="15.75" customHeight="1">
      <c r="A413" s="23"/>
      <c r="B413" s="23"/>
      <c r="C413" s="23"/>
      <c r="F413" s="23"/>
    </row>
    <row r="414" ht="15.75" customHeight="1">
      <c r="A414" s="23"/>
      <c r="B414" s="23"/>
      <c r="C414" s="23"/>
      <c r="F414" s="23"/>
    </row>
    <row r="415" ht="15.75" customHeight="1">
      <c r="A415" s="23"/>
      <c r="B415" s="23"/>
      <c r="C415" s="23"/>
      <c r="F415" s="23"/>
    </row>
    <row r="416" ht="15.75" customHeight="1">
      <c r="A416" s="23"/>
      <c r="B416" s="23"/>
      <c r="C416" s="23"/>
      <c r="F416" s="23"/>
    </row>
    <row r="417" ht="15.75" customHeight="1">
      <c r="A417" s="23"/>
      <c r="B417" s="23"/>
      <c r="C417" s="23"/>
      <c r="F417" s="23"/>
    </row>
    <row r="418" ht="15.75" customHeight="1">
      <c r="A418" s="23"/>
      <c r="B418" s="23"/>
      <c r="C418" s="23"/>
      <c r="F418" s="23"/>
    </row>
    <row r="419" ht="15.75" customHeight="1">
      <c r="A419" s="23"/>
      <c r="B419" s="23"/>
      <c r="C419" s="23"/>
      <c r="F419" s="23"/>
    </row>
    <row r="420" ht="15.75" customHeight="1">
      <c r="A420" s="23"/>
      <c r="B420" s="23"/>
      <c r="C420" s="23"/>
      <c r="F420" s="23"/>
    </row>
    <row r="421" ht="15.75" customHeight="1">
      <c r="A421" s="23"/>
      <c r="B421" s="23"/>
      <c r="C421" s="23"/>
      <c r="F421" s="23"/>
    </row>
    <row r="422" ht="15.75" customHeight="1">
      <c r="A422" s="23"/>
      <c r="B422" s="23"/>
      <c r="C422" s="23"/>
      <c r="F422" s="23"/>
    </row>
    <row r="423" ht="15.75" customHeight="1">
      <c r="A423" s="23"/>
      <c r="B423" s="23"/>
      <c r="C423" s="23"/>
      <c r="F423" s="23"/>
    </row>
    <row r="424" ht="15.75" customHeight="1">
      <c r="A424" s="23"/>
      <c r="B424" s="23"/>
      <c r="C424" s="23"/>
      <c r="F424" s="23"/>
    </row>
    <row r="425" ht="15.75" customHeight="1">
      <c r="A425" s="23"/>
      <c r="B425" s="23"/>
      <c r="C425" s="23"/>
      <c r="F425" s="23"/>
    </row>
    <row r="426" ht="15.75" customHeight="1">
      <c r="A426" s="23"/>
      <c r="B426" s="23"/>
      <c r="C426" s="23"/>
      <c r="F426" s="23"/>
    </row>
    <row r="427" ht="15.75" customHeight="1">
      <c r="A427" s="23"/>
      <c r="B427" s="23"/>
      <c r="C427" s="23"/>
      <c r="F427" s="23"/>
    </row>
    <row r="428" ht="15.75" customHeight="1">
      <c r="A428" s="23"/>
      <c r="B428" s="23"/>
      <c r="C428" s="23"/>
      <c r="F428" s="23"/>
    </row>
    <row r="429" ht="15.75" customHeight="1">
      <c r="A429" s="23"/>
      <c r="B429" s="23"/>
      <c r="C429" s="23"/>
      <c r="F429" s="23"/>
    </row>
    <row r="430" ht="15.75" customHeight="1">
      <c r="A430" s="23"/>
      <c r="B430" s="23"/>
      <c r="C430" s="23"/>
      <c r="F430" s="23"/>
    </row>
    <row r="431" ht="15.75" customHeight="1">
      <c r="A431" s="23"/>
      <c r="B431" s="23"/>
      <c r="C431" s="23"/>
      <c r="F431" s="23"/>
    </row>
    <row r="432" ht="15.75" customHeight="1">
      <c r="A432" s="23"/>
      <c r="B432" s="23"/>
      <c r="C432" s="23"/>
      <c r="F432" s="23"/>
    </row>
    <row r="433" ht="15.75" customHeight="1">
      <c r="A433" s="23"/>
      <c r="B433" s="23"/>
      <c r="C433" s="23"/>
      <c r="F433" s="23"/>
    </row>
    <row r="434" ht="15.75" customHeight="1">
      <c r="A434" s="23"/>
      <c r="B434" s="23"/>
      <c r="C434" s="23"/>
      <c r="F434" s="23"/>
    </row>
    <row r="435" ht="15.75" customHeight="1">
      <c r="A435" s="23"/>
      <c r="B435" s="23"/>
      <c r="C435" s="23"/>
      <c r="F435" s="23"/>
    </row>
    <row r="436" ht="15.75" customHeight="1">
      <c r="A436" s="23"/>
      <c r="B436" s="23"/>
      <c r="C436" s="23"/>
      <c r="F436" s="23"/>
    </row>
    <row r="437" ht="15.75" customHeight="1">
      <c r="A437" s="23"/>
      <c r="B437" s="23"/>
      <c r="C437" s="23"/>
      <c r="F437" s="23"/>
    </row>
    <row r="438" ht="15.75" customHeight="1">
      <c r="A438" s="23"/>
      <c r="B438" s="23"/>
      <c r="C438" s="23"/>
      <c r="F438" s="23"/>
    </row>
    <row r="439" ht="15.75" customHeight="1">
      <c r="A439" s="23"/>
      <c r="B439" s="23"/>
      <c r="C439" s="23"/>
      <c r="F439" s="23"/>
    </row>
    <row r="440" ht="15.75" customHeight="1">
      <c r="A440" s="23"/>
      <c r="B440" s="23"/>
      <c r="C440" s="23"/>
      <c r="F440" s="23"/>
    </row>
    <row r="441" ht="15.75" customHeight="1">
      <c r="A441" s="23"/>
      <c r="B441" s="23"/>
      <c r="C441" s="23"/>
      <c r="F441" s="23"/>
    </row>
    <row r="442" ht="15.75" customHeight="1">
      <c r="A442" s="23"/>
      <c r="B442" s="23"/>
      <c r="C442" s="23"/>
      <c r="F442" s="23"/>
    </row>
    <row r="443" ht="15.75" customHeight="1">
      <c r="A443" s="23"/>
      <c r="B443" s="23"/>
      <c r="C443" s="23"/>
      <c r="F443" s="23"/>
    </row>
    <row r="444" ht="15.75" customHeight="1">
      <c r="A444" s="23"/>
      <c r="B444" s="23"/>
      <c r="C444" s="23"/>
      <c r="F444" s="23"/>
    </row>
    <row r="445" ht="15.75" customHeight="1">
      <c r="A445" s="23"/>
      <c r="B445" s="23"/>
      <c r="C445" s="23"/>
      <c r="F445" s="23"/>
    </row>
    <row r="446" ht="15.75" customHeight="1">
      <c r="A446" s="23"/>
      <c r="B446" s="23"/>
      <c r="C446" s="23"/>
      <c r="F446" s="23"/>
    </row>
    <row r="447" ht="15.75" customHeight="1">
      <c r="A447" s="23"/>
      <c r="B447" s="23"/>
      <c r="C447" s="23"/>
      <c r="F447" s="23"/>
    </row>
    <row r="448" ht="15.75" customHeight="1">
      <c r="A448" s="23"/>
      <c r="B448" s="23"/>
      <c r="C448" s="23"/>
      <c r="F448" s="23"/>
    </row>
    <row r="449" ht="15.75" customHeight="1">
      <c r="A449" s="23"/>
      <c r="B449" s="23"/>
      <c r="C449" s="23"/>
      <c r="F449" s="23"/>
    </row>
    <row r="450" ht="15.75" customHeight="1">
      <c r="A450" s="23"/>
      <c r="B450" s="23"/>
      <c r="C450" s="23"/>
      <c r="F450" s="23"/>
    </row>
    <row r="451" ht="15.75" customHeight="1">
      <c r="A451" s="23"/>
      <c r="B451" s="23"/>
      <c r="C451" s="23"/>
      <c r="F451" s="23"/>
    </row>
    <row r="452" ht="15.75" customHeight="1">
      <c r="A452" s="23"/>
      <c r="B452" s="23"/>
      <c r="C452" s="23"/>
      <c r="F452" s="23"/>
    </row>
    <row r="453" ht="15.75" customHeight="1">
      <c r="A453" s="23"/>
      <c r="B453" s="23"/>
      <c r="C453" s="23"/>
      <c r="F453" s="23"/>
    </row>
    <row r="454" ht="15.75" customHeight="1">
      <c r="A454" s="23"/>
      <c r="B454" s="23"/>
      <c r="C454" s="23"/>
      <c r="F454" s="23"/>
    </row>
    <row r="455" ht="15.75" customHeight="1">
      <c r="A455" s="23"/>
      <c r="B455" s="23"/>
      <c r="C455" s="23"/>
      <c r="F455" s="23"/>
    </row>
    <row r="456" ht="15.75" customHeight="1">
      <c r="A456" s="23"/>
      <c r="B456" s="23"/>
      <c r="C456" s="23"/>
      <c r="F456" s="23"/>
    </row>
    <row r="457" ht="15.75" customHeight="1">
      <c r="A457" s="23"/>
      <c r="B457" s="23"/>
      <c r="C457" s="23"/>
      <c r="F457" s="23"/>
    </row>
    <row r="458" ht="15.75" customHeight="1">
      <c r="A458" s="23"/>
      <c r="B458" s="23"/>
      <c r="C458" s="23"/>
      <c r="F458" s="23"/>
    </row>
    <row r="459" ht="15.75" customHeight="1">
      <c r="A459" s="23"/>
      <c r="B459" s="23"/>
      <c r="C459" s="23"/>
      <c r="F459" s="23"/>
    </row>
    <row r="460" ht="15.75" customHeight="1">
      <c r="A460" s="23"/>
      <c r="B460" s="23"/>
      <c r="C460" s="23"/>
      <c r="F460" s="23"/>
    </row>
    <row r="461" ht="15.75" customHeight="1">
      <c r="A461" s="23"/>
      <c r="B461" s="23"/>
      <c r="C461" s="23"/>
      <c r="F461" s="23"/>
    </row>
    <row r="462" ht="15.75" customHeight="1">
      <c r="A462" s="23"/>
      <c r="B462" s="23"/>
      <c r="C462" s="23"/>
      <c r="F462" s="23"/>
    </row>
    <row r="463" ht="15.75" customHeight="1">
      <c r="A463" s="23"/>
      <c r="B463" s="23"/>
      <c r="C463" s="23"/>
      <c r="F463" s="23"/>
    </row>
    <row r="464" ht="15.75" customHeight="1">
      <c r="A464" s="23"/>
      <c r="B464" s="23"/>
      <c r="C464" s="23"/>
      <c r="F464" s="23"/>
    </row>
    <row r="465" ht="15.75" customHeight="1">
      <c r="A465" s="23"/>
      <c r="B465" s="23"/>
      <c r="C465" s="23"/>
      <c r="F465" s="23"/>
    </row>
    <row r="466" ht="15.75" customHeight="1">
      <c r="A466" s="23"/>
      <c r="B466" s="23"/>
      <c r="C466" s="23"/>
      <c r="F466" s="23"/>
    </row>
    <row r="467" ht="15.75" customHeight="1">
      <c r="A467" s="23"/>
      <c r="B467" s="23"/>
      <c r="C467" s="23"/>
      <c r="F467" s="23"/>
    </row>
    <row r="468" ht="15.75" customHeight="1">
      <c r="A468" s="23"/>
      <c r="B468" s="23"/>
      <c r="C468" s="23"/>
      <c r="F468" s="23"/>
    </row>
    <row r="469" ht="15.75" customHeight="1">
      <c r="A469" s="23"/>
      <c r="B469" s="23"/>
      <c r="C469" s="23"/>
      <c r="F469" s="23"/>
    </row>
    <row r="470" ht="15.75" customHeight="1">
      <c r="A470" s="23"/>
      <c r="B470" s="23"/>
      <c r="C470" s="23"/>
      <c r="F470" s="23"/>
    </row>
    <row r="471" ht="15.75" customHeight="1">
      <c r="A471" s="23"/>
      <c r="B471" s="23"/>
      <c r="C471" s="23"/>
      <c r="F471" s="23"/>
    </row>
    <row r="472" ht="15.75" customHeight="1">
      <c r="A472" s="23"/>
      <c r="B472" s="23"/>
      <c r="C472" s="23"/>
      <c r="F472" s="23"/>
    </row>
    <row r="473" ht="15.75" customHeight="1">
      <c r="A473" s="23"/>
      <c r="B473" s="23"/>
      <c r="C473" s="23"/>
      <c r="F473" s="23"/>
    </row>
    <row r="474" ht="15.75" customHeight="1">
      <c r="A474" s="23"/>
      <c r="B474" s="23"/>
      <c r="C474" s="23"/>
      <c r="F474" s="23"/>
    </row>
    <row r="475" ht="15.75" customHeight="1">
      <c r="A475" s="23"/>
      <c r="B475" s="23"/>
      <c r="C475" s="23"/>
      <c r="F475" s="23"/>
    </row>
    <row r="476" ht="15.75" customHeight="1">
      <c r="A476" s="23"/>
      <c r="B476" s="23"/>
      <c r="C476" s="23"/>
      <c r="F476" s="23"/>
    </row>
    <row r="477" ht="15.75" customHeight="1">
      <c r="A477" s="23"/>
      <c r="B477" s="23"/>
      <c r="C477" s="23"/>
      <c r="F477" s="23"/>
    </row>
    <row r="478" ht="15.75" customHeight="1">
      <c r="A478" s="23"/>
      <c r="B478" s="23"/>
      <c r="C478" s="23"/>
      <c r="F478" s="23"/>
    </row>
    <row r="479" ht="15.75" customHeight="1">
      <c r="A479" s="23"/>
      <c r="B479" s="23"/>
      <c r="C479" s="23"/>
      <c r="F479" s="23"/>
    </row>
    <row r="480" ht="15.75" customHeight="1">
      <c r="A480" s="23"/>
      <c r="B480" s="23"/>
      <c r="C480" s="23"/>
      <c r="F480" s="23"/>
    </row>
    <row r="481" ht="15.75" customHeight="1">
      <c r="A481" s="23"/>
      <c r="B481" s="23"/>
      <c r="C481" s="23"/>
      <c r="F481" s="23"/>
    </row>
    <row r="482" ht="15.75" customHeight="1">
      <c r="A482" s="23"/>
      <c r="B482" s="23"/>
      <c r="C482" s="23"/>
      <c r="F482" s="23"/>
    </row>
    <row r="483" ht="15.75" customHeight="1">
      <c r="A483" s="23"/>
      <c r="B483" s="23"/>
      <c r="C483" s="23"/>
      <c r="F483" s="23"/>
    </row>
    <row r="484" ht="15.75" customHeight="1">
      <c r="A484" s="23"/>
      <c r="B484" s="23"/>
      <c r="C484" s="23"/>
      <c r="F484" s="23"/>
    </row>
    <row r="485" ht="15.75" customHeight="1">
      <c r="A485" s="23"/>
      <c r="B485" s="23"/>
      <c r="C485" s="23"/>
      <c r="F485" s="23"/>
    </row>
    <row r="486" ht="15.75" customHeight="1">
      <c r="A486" s="23"/>
      <c r="B486" s="23"/>
      <c r="C486" s="23"/>
      <c r="F486" s="23"/>
    </row>
    <row r="487" ht="15.75" customHeight="1">
      <c r="A487" s="23"/>
      <c r="B487" s="23"/>
      <c r="C487" s="23"/>
      <c r="F487" s="23"/>
    </row>
    <row r="488" ht="15.75" customHeight="1">
      <c r="A488" s="23"/>
      <c r="B488" s="23"/>
      <c r="C488" s="23"/>
      <c r="F488" s="23"/>
    </row>
    <row r="489" ht="15.75" customHeight="1">
      <c r="A489" s="23"/>
      <c r="B489" s="23"/>
      <c r="C489" s="23"/>
      <c r="F489" s="23"/>
    </row>
    <row r="490" ht="15.75" customHeight="1">
      <c r="A490" s="23"/>
      <c r="B490" s="23"/>
      <c r="C490" s="23"/>
      <c r="F490" s="23"/>
    </row>
    <row r="491" ht="15.75" customHeight="1">
      <c r="A491" s="23"/>
      <c r="B491" s="23"/>
      <c r="C491" s="23"/>
      <c r="F491" s="23"/>
    </row>
    <row r="492" ht="15.75" customHeight="1">
      <c r="A492" s="23"/>
      <c r="B492" s="23"/>
      <c r="C492" s="23"/>
      <c r="F492" s="23"/>
    </row>
    <row r="493" ht="15.75" customHeight="1">
      <c r="A493" s="23"/>
      <c r="B493" s="23"/>
      <c r="C493" s="23"/>
      <c r="F493" s="23"/>
    </row>
    <row r="494" ht="15.75" customHeight="1">
      <c r="A494" s="23"/>
      <c r="B494" s="23"/>
      <c r="C494" s="23"/>
      <c r="F494" s="23"/>
    </row>
    <row r="495" ht="15.75" customHeight="1">
      <c r="A495" s="23"/>
      <c r="B495" s="23"/>
      <c r="C495" s="23"/>
      <c r="F495" s="23"/>
    </row>
    <row r="496" ht="15.75" customHeight="1">
      <c r="A496" s="23"/>
      <c r="B496" s="23"/>
      <c r="C496" s="23"/>
      <c r="F496" s="23"/>
    </row>
    <row r="497" ht="15.75" customHeight="1">
      <c r="A497" s="23"/>
      <c r="B497" s="23"/>
      <c r="C497" s="23"/>
      <c r="F497" s="23"/>
    </row>
    <row r="498" ht="15.75" customHeight="1">
      <c r="A498" s="23"/>
      <c r="B498" s="23"/>
      <c r="C498" s="23"/>
      <c r="F498" s="23"/>
    </row>
    <row r="499" ht="15.75" customHeight="1">
      <c r="A499" s="23"/>
      <c r="B499" s="23"/>
      <c r="C499" s="23"/>
      <c r="F499" s="23"/>
    </row>
    <row r="500" ht="15.75" customHeight="1">
      <c r="A500" s="23"/>
      <c r="B500" s="23"/>
      <c r="C500" s="23"/>
      <c r="F500" s="23"/>
    </row>
    <row r="501" ht="15.75" customHeight="1">
      <c r="A501" s="23"/>
      <c r="B501" s="23"/>
      <c r="C501" s="23"/>
      <c r="F501" s="23"/>
    </row>
    <row r="502" ht="15.75" customHeight="1">
      <c r="A502" s="23"/>
      <c r="B502" s="23"/>
      <c r="C502" s="23"/>
      <c r="F502" s="23"/>
    </row>
    <row r="503" ht="15.75" customHeight="1">
      <c r="A503" s="23"/>
      <c r="B503" s="23"/>
      <c r="C503" s="23"/>
      <c r="F503" s="23"/>
    </row>
    <row r="504" ht="15.75" customHeight="1">
      <c r="A504" s="23"/>
      <c r="B504" s="23"/>
      <c r="C504" s="23"/>
      <c r="F504" s="23"/>
    </row>
    <row r="505" ht="15.75" customHeight="1">
      <c r="A505" s="23"/>
      <c r="B505" s="23"/>
      <c r="C505" s="23"/>
      <c r="F505" s="23"/>
    </row>
    <row r="506" ht="15.75" customHeight="1">
      <c r="A506" s="23"/>
      <c r="B506" s="23"/>
      <c r="C506" s="23"/>
      <c r="F506" s="23"/>
    </row>
    <row r="507" ht="15.75" customHeight="1">
      <c r="A507" s="23"/>
      <c r="B507" s="23"/>
      <c r="C507" s="23"/>
      <c r="F507" s="23"/>
    </row>
    <row r="508" ht="15.75" customHeight="1">
      <c r="A508" s="23"/>
      <c r="B508" s="23"/>
      <c r="C508" s="23"/>
      <c r="F508" s="23"/>
    </row>
    <row r="509" ht="15.75" customHeight="1">
      <c r="A509" s="23"/>
      <c r="B509" s="23"/>
      <c r="C509" s="23"/>
      <c r="F509" s="23"/>
    </row>
    <row r="510" ht="15.75" customHeight="1">
      <c r="A510" s="23"/>
      <c r="B510" s="23"/>
      <c r="C510" s="23"/>
      <c r="F510" s="23"/>
    </row>
    <row r="511" ht="15.75" customHeight="1">
      <c r="A511" s="23"/>
      <c r="B511" s="23"/>
      <c r="C511" s="23"/>
      <c r="F511" s="23"/>
    </row>
    <row r="512" ht="15.75" customHeight="1">
      <c r="A512" s="23"/>
      <c r="B512" s="23"/>
      <c r="C512" s="23"/>
      <c r="F512" s="23"/>
    </row>
    <row r="513" ht="15.75" customHeight="1">
      <c r="A513" s="23"/>
      <c r="B513" s="23"/>
      <c r="C513" s="23"/>
      <c r="F513" s="23"/>
    </row>
    <row r="514" ht="15.75" customHeight="1">
      <c r="A514" s="23"/>
      <c r="B514" s="23"/>
      <c r="C514" s="23"/>
      <c r="F514" s="23"/>
    </row>
    <row r="515" ht="15.75" customHeight="1">
      <c r="A515" s="23"/>
      <c r="B515" s="23"/>
      <c r="C515" s="23"/>
      <c r="F515" s="23"/>
    </row>
    <row r="516" ht="15.75" customHeight="1">
      <c r="A516" s="23"/>
      <c r="B516" s="23"/>
      <c r="C516" s="23"/>
      <c r="F516" s="23"/>
    </row>
    <row r="517" ht="15.75" customHeight="1">
      <c r="A517" s="23"/>
      <c r="B517" s="23"/>
      <c r="C517" s="23"/>
      <c r="F517" s="23"/>
    </row>
    <row r="518" ht="15.75" customHeight="1">
      <c r="A518" s="23"/>
      <c r="B518" s="23"/>
      <c r="C518" s="23"/>
      <c r="F518" s="23"/>
    </row>
    <row r="519" ht="15.75" customHeight="1">
      <c r="A519" s="23"/>
      <c r="B519" s="23"/>
      <c r="C519" s="23"/>
      <c r="F519" s="23"/>
    </row>
    <row r="520" ht="15.75" customHeight="1">
      <c r="A520" s="23"/>
      <c r="B520" s="23"/>
      <c r="C520" s="23"/>
      <c r="F520" s="23"/>
    </row>
    <row r="521" ht="15.75" customHeight="1">
      <c r="A521" s="23"/>
      <c r="B521" s="23"/>
      <c r="C521" s="23"/>
      <c r="F521" s="23"/>
    </row>
    <row r="522" ht="15.75" customHeight="1">
      <c r="A522" s="23"/>
      <c r="B522" s="23"/>
      <c r="C522" s="23"/>
      <c r="F522" s="23"/>
    </row>
    <row r="523" ht="15.75" customHeight="1">
      <c r="A523" s="23"/>
      <c r="B523" s="23"/>
      <c r="C523" s="23"/>
      <c r="F523" s="23"/>
    </row>
    <row r="524" ht="15.75" customHeight="1">
      <c r="A524" s="23"/>
      <c r="B524" s="23"/>
      <c r="C524" s="23"/>
      <c r="F524" s="23"/>
    </row>
    <row r="525" ht="15.75" customHeight="1">
      <c r="A525" s="23"/>
      <c r="B525" s="23"/>
      <c r="C525" s="23"/>
      <c r="F525" s="23"/>
    </row>
    <row r="526" ht="15.75" customHeight="1">
      <c r="A526" s="23"/>
      <c r="B526" s="23"/>
      <c r="C526" s="23"/>
      <c r="F526" s="23"/>
    </row>
    <row r="527" ht="15.75" customHeight="1">
      <c r="A527" s="23"/>
      <c r="B527" s="23"/>
      <c r="C527" s="23"/>
      <c r="F527" s="23"/>
    </row>
    <row r="528" ht="15.75" customHeight="1">
      <c r="A528" s="23"/>
      <c r="B528" s="23"/>
      <c r="C528" s="23"/>
      <c r="F528" s="23"/>
    </row>
    <row r="529" ht="15.75" customHeight="1">
      <c r="A529" s="23"/>
      <c r="B529" s="23"/>
      <c r="C529" s="23"/>
      <c r="F529" s="23"/>
    </row>
    <row r="530" ht="15.75" customHeight="1">
      <c r="A530" s="23"/>
      <c r="B530" s="23"/>
      <c r="C530" s="23"/>
      <c r="F530" s="23"/>
    </row>
    <row r="531" ht="15.75" customHeight="1">
      <c r="A531" s="23"/>
      <c r="B531" s="23"/>
      <c r="C531" s="23"/>
      <c r="F531" s="23"/>
    </row>
    <row r="532" ht="15.75" customHeight="1">
      <c r="A532" s="23"/>
      <c r="B532" s="23"/>
      <c r="C532" s="23"/>
      <c r="F532" s="23"/>
    </row>
    <row r="533" ht="15.75" customHeight="1">
      <c r="A533" s="23"/>
      <c r="B533" s="23"/>
      <c r="C533" s="23"/>
      <c r="F533" s="23"/>
    </row>
    <row r="534" ht="15.75" customHeight="1">
      <c r="A534" s="23"/>
      <c r="B534" s="23"/>
      <c r="C534" s="23"/>
      <c r="F534" s="23"/>
    </row>
    <row r="535" ht="15.75" customHeight="1">
      <c r="A535" s="23"/>
      <c r="B535" s="23"/>
      <c r="C535" s="23"/>
      <c r="F535" s="23"/>
    </row>
    <row r="536" ht="15.75" customHeight="1">
      <c r="A536" s="23"/>
      <c r="B536" s="23"/>
      <c r="C536" s="23"/>
      <c r="F536" s="23"/>
    </row>
    <row r="537" ht="15.75" customHeight="1">
      <c r="A537" s="23"/>
      <c r="B537" s="23"/>
      <c r="C537" s="23"/>
      <c r="F537" s="23"/>
    </row>
    <row r="538" ht="15.75" customHeight="1">
      <c r="A538" s="23"/>
      <c r="B538" s="23"/>
      <c r="C538" s="23"/>
      <c r="F538" s="23"/>
    </row>
    <row r="539" ht="15.75" customHeight="1">
      <c r="A539" s="23"/>
      <c r="B539" s="23"/>
      <c r="C539" s="23"/>
      <c r="F539" s="23"/>
    </row>
    <row r="540" ht="15.75" customHeight="1">
      <c r="A540" s="23"/>
      <c r="B540" s="23"/>
      <c r="C540" s="23"/>
      <c r="F540" s="23"/>
    </row>
    <row r="541" ht="15.75" customHeight="1">
      <c r="A541" s="23"/>
      <c r="B541" s="23"/>
      <c r="C541" s="23"/>
      <c r="F541" s="23"/>
    </row>
    <row r="542" ht="15.75" customHeight="1">
      <c r="A542" s="23"/>
      <c r="B542" s="23"/>
      <c r="C542" s="23"/>
      <c r="F542" s="23"/>
    </row>
    <row r="543" ht="15.75" customHeight="1">
      <c r="A543" s="23"/>
      <c r="B543" s="23"/>
      <c r="C543" s="23"/>
      <c r="F543" s="23"/>
    </row>
    <row r="544" ht="15.75" customHeight="1">
      <c r="A544" s="23"/>
      <c r="B544" s="23"/>
      <c r="C544" s="23"/>
      <c r="F544" s="23"/>
    </row>
    <row r="545" ht="15.75" customHeight="1">
      <c r="A545" s="23"/>
      <c r="B545" s="23"/>
      <c r="C545" s="23"/>
      <c r="F545" s="23"/>
    </row>
    <row r="546" ht="15.75" customHeight="1">
      <c r="A546" s="23"/>
      <c r="B546" s="23"/>
      <c r="C546" s="23"/>
      <c r="F546" s="23"/>
    </row>
    <row r="547" ht="15.75" customHeight="1">
      <c r="A547" s="23"/>
      <c r="B547" s="23"/>
      <c r="C547" s="23"/>
      <c r="F547" s="23"/>
    </row>
    <row r="548" ht="15.75" customHeight="1">
      <c r="A548" s="23"/>
      <c r="B548" s="23"/>
      <c r="C548" s="23"/>
      <c r="F548" s="23"/>
    </row>
    <row r="549" ht="15.75" customHeight="1">
      <c r="A549" s="23"/>
      <c r="B549" s="23"/>
      <c r="C549" s="23"/>
      <c r="F549" s="23"/>
    </row>
    <row r="550" ht="15.75" customHeight="1">
      <c r="A550" s="23"/>
      <c r="B550" s="23"/>
      <c r="C550" s="23"/>
      <c r="F550" s="23"/>
    </row>
    <row r="551" ht="15.75" customHeight="1">
      <c r="A551" s="23"/>
      <c r="B551" s="23"/>
      <c r="C551" s="23"/>
      <c r="F551" s="23"/>
    </row>
    <row r="552" ht="15.75" customHeight="1">
      <c r="A552" s="23"/>
      <c r="B552" s="23"/>
      <c r="C552" s="23"/>
      <c r="F552" s="23"/>
    </row>
    <row r="553" ht="15.75" customHeight="1">
      <c r="A553" s="23"/>
      <c r="B553" s="23"/>
      <c r="C553" s="23"/>
      <c r="F553" s="23"/>
    </row>
    <row r="554" ht="15.75" customHeight="1">
      <c r="A554" s="23"/>
      <c r="B554" s="23"/>
      <c r="C554" s="23"/>
      <c r="F554" s="23"/>
    </row>
    <row r="555" ht="15.75" customHeight="1">
      <c r="A555" s="23"/>
      <c r="B555" s="23"/>
      <c r="C555" s="23"/>
      <c r="F555" s="23"/>
    </row>
    <row r="556" ht="15.75" customHeight="1">
      <c r="A556" s="23"/>
      <c r="B556" s="23"/>
      <c r="C556" s="23"/>
      <c r="F556" s="23"/>
    </row>
    <row r="557" ht="15.75" customHeight="1">
      <c r="A557" s="23"/>
      <c r="B557" s="23"/>
      <c r="C557" s="23"/>
      <c r="F557" s="23"/>
    </row>
    <row r="558" ht="15.75" customHeight="1">
      <c r="A558" s="23"/>
      <c r="B558" s="23"/>
      <c r="C558" s="23"/>
      <c r="F558" s="23"/>
    </row>
    <row r="559" ht="15.75" customHeight="1">
      <c r="A559" s="23"/>
      <c r="B559" s="23"/>
      <c r="C559" s="23"/>
      <c r="F559" s="23"/>
    </row>
    <row r="560" ht="15.75" customHeight="1">
      <c r="A560" s="23"/>
      <c r="B560" s="23"/>
      <c r="C560" s="23"/>
      <c r="F560" s="23"/>
    </row>
    <row r="561" ht="15.75" customHeight="1">
      <c r="A561" s="23"/>
      <c r="B561" s="23"/>
      <c r="C561" s="23"/>
      <c r="F561" s="23"/>
    </row>
    <row r="562" ht="15.75" customHeight="1">
      <c r="A562" s="23"/>
      <c r="B562" s="23"/>
      <c r="C562" s="23"/>
      <c r="F562" s="23"/>
    </row>
    <row r="563" ht="15.75" customHeight="1">
      <c r="A563" s="23"/>
      <c r="B563" s="23"/>
      <c r="C563" s="23"/>
      <c r="F563" s="23"/>
    </row>
    <row r="564" ht="15.75" customHeight="1">
      <c r="A564" s="23"/>
      <c r="B564" s="23"/>
      <c r="C564" s="23"/>
      <c r="F564" s="23"/>
    </row>
    <row r="565" ht="15.75" customHeight="1">
      <c r="A565" s="23"/>
      <c r="B565" s="23"/>
      <c r="C565" s="23"/>
      <c r="F565" s="23"/>
    </row>
    <row r="566" ht="15.75" customHeight="1">
      <c r="A566" s="23"/>
      <c r="B566" s="23"/>
      <c r="C566" s="23"/>
      <c r="F566" s="23"/>
    </row>
    <row r="567" ht="15.75" customHeight="1">
      <c r="A567" s="23"/>
      <c r="B567" s="23"/>
      <c r="C567" s="23"/>
      <c r="F567" s="23"/>
    </row>
    <row r="568" ht="15.75" customHeight="1">
      <c r="A568" s="23"/>
      <c r="B568" s="23"/>
      <c r="C568" s="23"/>
      <c r="F568" s="23"/>
    </row>
    <row r="569" ht="15.75" customHeight="1">
      <c r="A569" s="23"/>
      <c r="B569" s="23"/>
      <c r="C569" s="23"/>
      <c r="F569" s="23"/>
    </row>
    <row r="570" ht="15.75" customHeight="1">
      <c r="A570" s="23"/>
      <c r="B570" s="23"/>
      <c r="C570" s="23"/>
      <c r="F570" s="23"/>
    </row>
    <row r="571" ht="15.75" customHeight="1">
      <c r="A571" s="23"/>
      <c r="B571" s="23"/>
      <c r="C571" s="23"/>
      <c r="F571" s="23"/>
    </row>
    <row r="572" ht="15.75" customHeight="1">
      <c r="A572" s="23"/>
      <c r="B572" s="23"/>
      <c r="C572" s="23"/>
      <c r="F572" s="23"/>
    </row>
    <row r="573" ht="15.75" customHeight="1">
      <c r="A573" s="23"/>
      <c r="B573" s="23"/>
      <c r="C573" s="23"/>
      <c r="F573" s="23"/>
    </row>
    <row r="574" ht="15.75" customHeight="1">
      <c r="A574" s="23"/>
      <c r="B574" s="23"/>
      <c r="C574" s="23"/>
      <c r="F574" s="23"/>
    </row>
    <row r="575" ht="15.75" customHeight="1">
      <c r="A575" s="23"/>
      <c r="B575" s="23"/>
      <c r="C575" s="23"/>
      <c r="F575" s="23"/>
    </row>
    <row r="576" ht="15.75" customHeight="1">
      <c r="A576" s="23"/>
      <c r="B576" s="23"/>
      <c r="C576" s="23"/>
      <c r="F576" s="23"/>
    </row>
    <row r="577" ht="15.75" customHeight="1">
      <c r="A577" s="23"/>
      <c r="B577" s="23"/>
      <c r="C577" s="23"/>
      <c r="F577" s="23"/>
    </row>
    <row r="578" ht="15.75" customHeight="1">
      <c r="A578" s="23"/>
      <c r="B578" s="23"/>
      <c r="C578" s="23"/>
      <c r="F578" s="23"/>
    </row>
    <row r="579" ht="15.75" customHeight="1">
      <c r="A579" s="23"/>
      <c r="B579" s="23"/>
      <c r="C579" s="23"/>
      <c r="F579" s="23"/>
    </row>
    <row r="580" ht="15.75" customHeight="1">
      <c r="A580" s="23"/>
      <c r="B580" s="23"/>
      <c r="C580" s="23"/>
      <c r="F580" s="23"/>
    </row>
    <row r="581" ht="15.75" customHeight="1">
      <c r="A581" s="23"/>
      <c r="B581" s="23"/>
      <c r="C581" s="23"/>
      <c r="F581" s="23"/>
    </row>
    <row r="582" ht="15.75" customHeight="1">
      <c r="A582" s="23"/>
      <c r="B582" s="23"/>
      <c r="C582" s="23"/>
      <c r="F582" s="23"/>
    </row>
    <row r="583" ht="15.75" customHeight="1">
      <c r="A583" s="23"/>
      <c r="B583" s="23"/>
      <c r="C583" s="23"/>
      <c r="F583" s="23"/>
    </row>
    <row r="584" ht="15.75" customHeight="1">
      <c r="A584" s="23"/>
      <c r="B584" s="23"/>
      <c r="C584" s="23"/>
      <c r="F584" s="23"/>
    </row>
    <row r="585" ht="15.75" customHeight="1">
      <c r="A585" s="23"/>
      <c r="B585" s="23"/>
      <c r="C585" s="23"/>
      <c r="F585" s="23"/>
    </row>
    <row r="586" ht="15.75" customHeight="1">
      <c r="A586" s="23"/>
      <c r="B586" s="23"/>
      <c r="C586" s="23"/>
      <c r="F586" s="23"/>
    </row>
    <row r="587" ht="15.75" customHeight="1">
      <c r="A587" s="23"/>
      <c r="B587" s="23"/>
      <c r="C587" s="23"/>
      <c r="F587" s="23"/>
    </row>
    <row r="588" ht="15.75" customHeight="1">
      <c r="A588" s="23"/>
      <c r="B588" s="23"/>
      <c r="C588" s="23"/>
      <c r="F588" s="23"/>
    </row>
    <row r="589" ht="15.75" customHeight="1">
      <c r="A589" s="23"/>
      <c r="B589" s="23"/>
      <c r="C589" s="23"/>
      <c r="F589" s="23"/>
    </row>
    <row r="590" ht="15.75" customHeight="1">
      <c r="A590" s="23"/>
      <c r="B590" s="23"/>
      <c r="C590" s="23"/>
      <c r="F590" s="23"/>
    </row>
    <row r="591" ht="15.75" customHeight="1">
      <c r="A591" s="23"/>
      <c r="B591" s="23"/>
      <c r="C591" s="23"/>
      <c r="F591" s="23"/>
    </row>
    <row r="592" ht="15.75" customHeight="1">
      <c r="A592" s="23"/>
      <c r="B592" s="23"/>
      <c r="C592" s="23"/>
      <c r="F592" s="23"/>
    </row>
    <row r="593" ht="15.75" customHeight="1">
      <c r="A593" s="23"/>
      <c r="B593" s="23"/>
      <c r="C593" s="23"/>
      <c r="F593" s="23"/>
    </row>
    <row r="594" ht="15.75" customHeight="1">
      <c r="A594" s="23"/>
      <c r="B594" s="23"/>
      <c r="C594" s="23"/>
      <c r="F594" s="23"/>
    </row>
    <row r="595" ht="15.75" customHeight="1">
      <c r="A595" s="23"/>
      <c r="B595" s="23"/>
      <c r="C595" s="23"/>
      <c r="F595" s="23"/>
    </row>
    <row r="596" ht="15.75" customHeight="1">
      <c r="A596" s="23"/>
      <c r="B596" s="23"/>
      <c r="C596" s="23"/>
      <c r="F596" s="23"/>
    </row>
    <row r="597" ht="15.75" customHeight="1">
      <c r="A597" s="23"/>
      <c r="B597" s="23"/>
      <c r="C597" s="23"/>
      <c r="F597" s="23"/>
    </row>
    <row r="598" ht="15.75" customHeight="1">
      <c r="A598" s="23"/>
      <c r="B598" s="23"/>
      <c r="C598" s="23"/>
      <c r="F598" s="23"/>
    </row>
    <row r="599" ht="15.75" customHeight="1">
      <c r="A599" s="23"/>
      <c r="B599" s="23"/>
      <c r="C599" s="23"/>
      <c r="F599" s="23"/>
    </row>
    <row r="600" ht="15.75" customHeight="1">
      <c r="A600" s="23"/>
      <c r="B600" s="23"/>
      <c r="C600" s="23"/>
      <c r="F600" s="23"/>
    </row>
    <row r="601" ht="15.75" customHeight="1">
      <c r="A601" s="23"/>
      <c r="B601" s="23"/>
      <c r="C601" s="23"/>
      <c r="F601" s="23"/>
    </row>
    <row r="602" ht="15.75" customHeight="1">
      <c r="A602" s="23"/>
      <c r="B602" s="23"/>
      <c r="C602" s="23"/>
      <c r="F602" s="23"/>
    </row>
    <row r="603" ht="15.75" customHeight="1">
      <c r="A603" s="23"/>
      <c r="B603" s="23"/>
      <c r="C603" s="23"/>
      <c r="F603" s="23"/>
    </row>
    <row r="604" ht="15.75" customHeight="1">
      <c r="A604" s="23"/>
      <c r="B604" s="23"/>
      <c r="C604" s="23"/>
      <c r="F604" s="23"/>
    </row>
    <row r="605" ht="15.75" customHeight="1">
      <c r="A605" s="23"/>
      <c r="B605" s="23"/>
      <c r="C605" s="23"/>
      <c r="F605" s="23"/>
    </row>
    <row r="606" ht="15.75" customHeight="1">
      <c r="A606" s="23"/>
      <c r="B606" s="23"/>
      <c r="C606" s="23"/>
      <c r="F606" s="23"/>
    </row>
    <row r="607" ht="15.75" customHeight="1">
      <c r="A607" s="23"/>
      <c r="B607" s="23"/>
      <c r="C607" s="23"/>
      <c r="F607" s="23"/>
    </row>
    <row r="608" ht="15.75" customHeight="1">
      <c r="A608" s="23"/>
      <c r="B608" s="23"/>
      <c r="C608" s="23"/>
      <c r="F608" s="23"/>
    </row>
    <row r="609" ht="15.75" customHeight="1">
      <c r="A609" s="23"/>
      <c r="B609" s="23"/>
      <c r="C609" s="23"/>
      <c r="F609" s="23"/>
    </row>
    <row r="610" ht="15.75" customHeight="1">
      <c r="A610" s="23"/>
      <c r="B610" s="23"/>
      <c r="C610" s="23"/>
      <c r="F610" s="23"/>
    </row>
    <row r="611" ht="15.75" customHeight="1">
      <c r="A611" s="23"/>
      <c r="B611" s="23"/>
      <c r="C611" s="23"/>
      <c r="F611" s="23"/>
    </row>
    <row r="612" ht="15.75" customHeight="1">
      <c r="A612" s="23"/>
      <c r="B612" s="23"/>
      <c r="C612" s="23"/>
      <c r="F612" s="23"/>
    </row>
    <row r="613" ht="15.75" customHeight="1">
      <c r="A613" s="23"/>
      <c r="B613" s="23"/>
      <c r="C613" s="23"/>
      <c r="F613" s="23"/>
    </row>
    <row r="614" ht="15.75" customHeight="1">
      <c r="A614" s="23"/>
      <c r="B614" s="23"/>
      <c r="C614" s="23"/>
      <c r="F614" s="23"/>
    </row>
    <row r="615" ht="15.75" customHeight="1">
      <c r="A615" s="23"/>
      <c r="B615" s="23"/>
      <c r="C615" s="23"/>
      <c r="F615" s="23"/>
    </row>
    <row r="616" ht="15.75" customHeight="1">
      <c r="A616" s="23"/>
      <c r="B616" s="23"/>
      <c r="C616" s="23"/>
      <c r="F616" s="23"/>
    </row>
    <row r="617" ht="15.75" customHeight="1">
      <c r="A617" s="23"/>
      <c r="B617" s="23"/>
      <c r="C617" s="23"/>
      <c r="F617" s="23"/>
    </row>
    <row r="618" ht="15.75" customHeight="1">
      <c r="A618" s="23"/>
      <c r="B618" s="23"/>
      <c r="C618" s="23"/>
      <c r="F618" s="23"/>
    </row>
    <row r="619" ht="15.75" customHeight="1">
      <c r="A619" s="23"/>
      <c r="B619" s="23"/>
      <c r="C619" s="23"/>
      <c r="F619" s="23"/>
    </row>
    <row r="620" ht="15.75" customHeight="1">
      <c r="A620" s="23"/>
      <c r="B620" s="23"/>
      <c r="C620" s="23"/>
      <c r="F620" s="23"/>
    </row>
    <row r="621" ht="15.75" customHeight="1">
      <c r="A621" s="23"/>
      <c r="B621" s="23"/>
      <c r="C621" s="23"/>
      <c r="F621" s="23"/>
    </row>
    <row r="622" ht="15.75" customHeight="1">
      <c r="A622" s="23"/>
      <c r="B622" s="23"/>
      <c r="C622" s="23"/>
      <c r="F622" s="23"/>
    </row>
    <row r="623" ht="15.75" customHeight="1">
      <c r="A623" s="23"/>
      <c r="B623" s="23"/>
      <c r="C623" s="23"/>
      <c r="F623" s="23"/>
    </row>
    <row r="624" ht="15.75" customHeight="1">
      <c r="A624" s="23"/>
      <c r="B624" s="23"/>
      <c r="C624" s="23"/>
      <c r="F624" s="23"/>
    </row>
    <row r="625" ht="15.75" customHeight="1">
      <c r="A625" s="23"/>
      <c r="B625" s="23"/>
      <c r="C625" s="23"/>
      <c r="F625" s="23"/>
    </row>
    <row r="626" ht="15.75" customHeight="1">
      <c r="A626" s="23"/>
      <c r="B626" s="23"/>
      <c r="C626" s="23"/>
      <c r="F626" s="23"/>
    </row>
    <row r="627" ht="15.75" customHeight="1">
      <c r="A627" s="23"/>
      <c r="B627" s="23"/>
      <c r="C627" s="23"/>
      <c r="F627" s="23"/>
    </row>
    <row r="628" ht="15.75" customHeight="1">
      <c r="A628" s="23"/>
      <c r="B628" s="23"/>
      <c r="C628" s="23"/>
      <c r="F628" s="23"/>
    </row>
    <row r="629" ht="15.75" customHeight="1">
      <c r="A629" s="23"/>
      <c r="B629" s="23"/>
      <c r="C629" s="23"/>
      <c r="F629" s="23"/>
    </row>
    <row r="630" ht="15.75" customHeight="1">
      <c r="A630" s="23"/>
      <c r="B630" s="23"/>
      <c r="C630" s="23"/>
      <c r="F630" s="23"/>
    </row>
    <row r="631" ht="15.75" customHeight="1">
      <c r="A631" s="23"/>
      <c r="B631" s="23"/>
      <c r="C631" s="23"/>
      <c r="F631" s="23"/>
    </row>
    <row r="632" ht="15.75" customHeight="1">
      <c r="A632" s="23"/>
      <c r="B632" s="23"/>
      <c r="C632" s="23"/>
      <c r="F632" s="23"/>
    </row>
    <row r="633" ht="15.75" customHeight="1">
      <c r="A633" s="23"/>
      <c r="B633" s="23"/>
      <c r="C633" s="23"/>
      <c r="F633" s="23"/>
    </row>
    <row r="634" ht="15.75" customHeight="1">
      <c r="A634" s="23"/>
      <c r="B634" s="23"/>
      <c r="C634" s="23"/>
      <c r="F634" s="23"/>
    </row>
    <row r="635" ht="15.75" customHeight="1">
      <c r="A635" s="23"/>
      <c r="B635" s="23"/>
      <c r="C635" s="23"/>
      <c r="F635" s="23"/>
    </row>
    <row r="636" ht="15.75" customHeight="1">
      <c r="A636" s="23"/>
      <c r="B636" s="23"/>
      <c r="C636" s="23"/>
      <c r="F636" s="23"/>
    </row>
    <row r="637" ht="15.75" customHeight="1">
      <c r="A637" s="23"/>
      <c r="B637" s="23"/>
      <c r="C637" s="23"/>
      <c r="F637" s="23"/>
    </row>
    <row r="638" ht="15.75" customHeight="1">
      <c r="A638" s="23"/>
      <c r="B638" s="23"/>
      <c r="C638" s="23"/>
      <c r="F638" s="23"/>
    </row>
    <row r="639" ht="15.75" customHeight="1">
      <c r="A639" s="23"/>
      <c r="B639" s="23"/>
      <c r="C639" s="23"/>
      <c r="F639" s="23"/>
    </row>
    <row r="640" ht="15.75" customHeight="1">
      <c r="A640" s="23"/>
      <c r="B640" s="23"/>
      <c r="C640" s="23"/>
      <c r="F640" s="23"/>
    </row>
    <row r="641" ht="15.75" customHeight="1">
      <c r="A641" s="23"/>
      <c r="B641" s="23"/>
      <c r="C641" s="23"/>
      <c r="F641" s="23"/>
    </row>
    <row r="642" ht="15.75" customHeight="1">
      <c r="A642" s="23"/>
      <c r="B642" s="23"/>
      <c r="C642" s="23"/>
      <c r="F642" s="23"/>
    </row>
    <row r="643" ht="15.75" customHeight="1">
      <c r="A643" s="23"/>
      <c r="B643" s="23"/>
      <c r="C643" s="23"/>
      <c r="F643" s="23"/>
    </row>
    <row r="644" ht="15.75" customHeight="1">
      <c r="A644" s="23"/>
      <c r="B644" s="23"/>
      <c r="C644" s="23"/>
      <c r="F644" s="23"/>
    </row>
    <row r="645" ht="15.75" customHeight="1">
      <c r="A645" s="23"/>
      <c r="B645" s="23"/>
      <c r="C645" s="23"/>
      <c r="F645" s="23"/>
    </row>
    <row r="646" ht="15.75" customHeight="1">
      <c r="A646" s="23"/>
      <c r="B646" s="23"/>
      <c r="C646" s="23"/>
      <c r="F646" s="23"/>
    </row>
    <row r="647" ht="15.75" customHeight="1">
      <c r="A647" s="23"/>
      <c r="B647" s="23"/>
      <c r="C647" s="23"/>
      <c r="F647" s="23"/>
    </row>
    <row r="648" ht="15.75" customHeight="1">
      <c r="A648" s="23"/>
      <c r="B648" s="23"/>
      <c r="C648" s="23"/>
      <c r="F648" s="23"/>
    </row>
    <row r="649" ht="15.75" customHeight="1">
      <c r="A649" s="23"/>
      <c r="B649" s="23"/>
      <c r="C649" s="23"/>
      <c r="F649" s="23"/>
    </row>
    <row r="650" ht="15.75" customHeight="1">
      <c r="A650" s="23"/>
      <c r="B650" s="23"/>
      <c r="C650" s="23"/>
      <c r="F650" s="23"/>
    </row>
    <row r="651" ht="15.75" customHeight="1">
      <c r="A651" s="23"/>
      <c r="B651" s="23"/>
      <c r="C651" s="23"/>
      <c r="F651" s="23"/>
    </row>
    <row r="652" ht="15.75" customHeight="1">
      <c r="A652" s="23"/>
      <c r="B652" s="23"/>
      <c r="C652" s="23"/>
      <c r="F652" s="23"/>
    </row>
    <row r="653" ht="15.75" customHeight="1">
      <c r="A653" s="23"/>
      <c r="B653" s="23"/>
      <c r="C653" s="23"/>
      <c r="F653" s="23"/>
    </row>
    <row r="654" ht="15.75" customHeight="1">
      <c r="A654" s="23"/>
      <c r="B654" s="23"/>
      <c r="C654" s="23"/>
      <c r="F654" s="23"/>
    </row>
    <row r="655" ht="15.75" customHeight="1">
      <c r="A655" s="23"/>
      <c r="B655" s="23"/>
      <c r="C655" s="23"/>
      <c r="F655" s="23"/>
    </row>
    <row r="656" ht="15.75" customHeight="1">
      <c r="A656" s="23"/>
      <c r="B656" s="23"/>
      <c r="C656" s="23"/>
      <c r="F656" s="23"/>
    </row>
    <row r="657" ht="15.75" customHeight="1">
      <c r="A657" s="23"/>
      <c r="B657" s="23"/>
      <c r="C657" s="23"/>
      <c r="F657" s="23"/>
    </row>
    <row r="658" ht="15.75" customHeight="1">
      <c r="A658" s="23"/>
      <c r="B658" s="23"/>
      <c r="C658" s="23"/>
      <c r="F658" s="23"/>
    </row>
    <row r="659" ht="15.75" customHeight="1">
      <c r="A659" s="23"/>
      <c r="B659" s="23"/>
      <c r="C659" s="23"/>
      <c r="F659" s="23"/>
    </row>
    <row r="660" ht="15.75" customHeight="1">
      <c r="A660" s="23"/>
      <c r="B660" s="23"/>
      <c r="C660" s="23"/>
      <c r="F660" s="23"/>
    </row>
    <row r="661" ht="15.75" customHeight="1">
      <c r="A661" s="23"/>
      <c r="B661" s="23"/>
      <c r="C661" s="23"/>
      <c r="F661" s="23"/>
    </row>
    <row r="662" ht="15.75" customHeight="1">
      <c r="A662" s="23"/>
      <c r="B662" s="23"/>
      <c r="C662" s="23"/>
      <c r="F662" s="23"/>
    </row>
    <row r="663" ht="15.75" customHeight="1">
      <c r="A663" s="23"/>
      <c r="B663" s="23"/>
      <c r="C663" s="23"/>
      <c r="F663" s="23"/>
    </row>
    <row r="664" ht="15.75" customHeight="1">
      <c r="A664" s="23"/>
      <c r="B664" s="23"/>
      <c r="C664" s="23"/>
      <c r="F664" s="23"/>
    </row>
    <row r="665" ht="15.75" customHeight="1">
      <c r="A665" s="23"/>
      <c r="B665" s="23"/>
      <c r="C665" s="23"/>
      <c r="F665" s="23"/>
    </row>
    <row r="666" ht="15.75" customHeight="1">
      <c r="A666" s="23"/>
      <c r="B666" s="23"/>
      <c r="C666" s="23"/>
      <c r="F666" s="23"/>
    </row>
    <row r="667" ht="15.75" customHeight="1">
      <c r="A667" s="23"/>
      <c r="B667" s="23"/>
      <c r="C667" s="23"/>
      <c r="F667" s="23"/>
    </row>
    <row r="668" ht="15.75" customHeight="1">
      <c r="A668" s="23"/>
      <c r="B668" s="23"/>
      <c r="C668" s="23"/>
      <c r="F668" s="23"/>
    </row>
    <row r="669" ht="15.75" customHeight="1">
      <c r="A669" s="23"/>
      <c r="B669" s="23"/>
      <c r="C669" s="23"/>
      <c r="F669" s="23"/>
    </row>
    <row r="670" ht="15.75" customHeight="1">
      <c r="A670" s="23"/>
      <c r="B670" s="23"/>
      <c r="C670" s="23"/>
      <c r="F670" s="23"/>
    </row>
    <row r="671" ht="15.75" customHeight="1">
      <c r="A671" s="23"/>
      <c r="B671" s="23"/>
      <c r="C671" s="23"/>
      <c r="F671" s="23"/>
    </row>
    <row r="672" ht="15.75" customHeight="1">
      <c r="A672" s="23"/>
      <c r="B672" s="23"/>
      <c r="C672" s="23"/>
      <c r="F672" s="23"/>
    </row>
    <row r="673" ht="15.75" customHeight="1">
      <c r="A673" s="23"/>
      <c r="B673" s="23"/>
      <c r="C673" s="23"/>
      <c r="F673" s="23"/>
    </row>
    <row r="674" ht="15.75" customHeight="1">
      <c r="A674" s="23"/>
      <c r="B674" s="23"/>
      <c r="C674" s="23"/>
      <c r="F674" s="23"/>
    </row>
    <row r="675" ht="15.75" customHeight="1">
      <c r="A675" s="23"/>
      <c r="B675" s="23"/>
      <c r="C675" s="23"/>
      <c r="F675" s="23"/>
    </row>
    <row r="676" ht="15.75" customHeight="1">
      <c r="A676" s="23"/>
      <c r="B676" s="23"/>
      <c r="C676" s="23"/>
      <c r="F676" s="23"/>
    </row>
    <row r="677" ht="15.75" customHeight="1">
      <c r="A677" s="23"/>
      <c r="B677" s="23"/>
      <c r="C677" s="23"/>
      <c r="F677" s="23"/>
    </row>
    <row r="678" ht="15.75" customHeight="1">
      <c r="A678" s="23"/>
      <c r="B678" s="23"/>
      <c r="C678" s="23"/>
      <c r="F678" s="23"/>
    </row>
    <row r="679" ht="15.75" customHeight="1">
      <c r="A679" s="23"/>
      <c r="B679" s="23"/>
      <c r="C679" s="23"/>
      <c r="F679" s="23"/>
    </row>
    <row r="680" ht="15.75" customHeight="1">
      <c r="A680" s="23"/>
      <c r="B680" s="23"/>
      <c r="C680" s="23"/>
      <c r="F680" s="23"/>
    </row>
    <row r="681" ht="15.75" customHeight="1">
      <c r="A681" s="23"/>
      <c r="B681" s="23"/>
      <c r="C681" s="23"/>
      <c r="F681" s="23"/>
    </row>
    <row r="682" ht="15.75" customHeight="1">
      <c r="A682" s="23"/>
      <c r="B682" s="23"/>
      <c r="C682" s="23"/>
      <c r="F682" s="23"/>
    </row>
    <row r="683" ht="15.75" customHeight="1">
      <c r="A683" s="23"/>
      <c r="B683" s="23"/>
      <c r="C683" s="23"/>
      <c r="F683" s="23"/>
    </row>
    <row r="684" ht="15.75" customHeight="1">
      <c r="A684" s="23"/>
      <c r="B684" s="23"/>
      <c r="C684" s="23"/>
      <c r="F684" s="23"/>
    </row>
    <row r="685" ht="15.75" customHeight="1">
      <c r="A685" s="23"/>
      <c r="B685" s="23"/>
      <c r="C685" s="23"/>
      <c r="F685" s="23"/>
    </row>
    <row r="686" ht="15.75" customHeight="1">
      <c r="A686" s="23"/>
      <c r="B686" s="23"/>
      <c r="C686" s="23"/>
      <c r="F686" s="23"/>
    </row>
    <row r="687" ht="15.75" customHeight="1">
      <c r="A687" s="23"/>
      <c r="B687" s="23"/>
      <c r="C687" s="23"/>
      <c r="F687" s="23"/>
    </row>
    <row r="688" ht="15.75" customHeight="1">
      <c r="A688" s="23"/>
      <c r="B688" s="23"/>
      <c r="C688" s="23"/>
      <c r="F688" s="23"/>
    </row>
    <row r="689" ht="15.75" customHeight="1">
      <c r="A689" s="23"/>
      <c r="B689" s="23"/>
      <c r="C689" s="23"/>
      <c r="F689" s="23"/>
    </row>
    <row r="690" ht="15.75" customHeight="1">
      <c r="A690" s="23"/>
      <c r="B690" s="23"/>
      <c r="C690" s="23"/>
      <c r="F690" s="23"/>
    </row>
    <row r="691" ht="15.75" customHeight="1">
      <c r="A691" s="23"/>
      <c r="B691" s="23"/>
      <c r="C691" s="23"/>
      <c r="F691" s="23"/>
    </row>
    <row r="692" ht="15.75" customHeight="1">
      <c r="A692" s="23"/>
      <c r="B692" s="23"/>
      <c r="C692" s="23"/>
      <c r="F692" s="23"/>
    </row>
    <row r="693" ht="15.75" customHeight="1">
      <c r="A693" s="23"/>
      <c r="B693" s="23"/>
      <c r="C693" s="23"/>
      <c r="F693" s="23"/>
    </row>
    <row r="694" ht="15.75" customHeight="1">
      <c r="A694" s="23"/>
      <c r="B694" s="23"/>
      <c r="C694" s="23"/>
      <c r="F694" s="23"/>
    </row>
    <row r="695" ht="15.75" customHeight="1">
      <c r="A695" s="23"/>
      <c r="B695" s="23"/>
      <c r="C695" s="23"/>
      <c r="F695" s="23"/>
    </row>
    <row r="696" ht="15.75" customHeight="1">
      <c r="A696" s="23"/>
      <c r="B696" s="23"/>
      <c r="C696" s="23"/>
      <c r="F696" s="23"/>
    </row>
    <row r="697" ht="15.75" customHeight="1">
      <c r="A697" s="23"/>
      <c r="B697" s="23"/>
      <c r="C697" s="23"/>
      <c r="F697" s="23"/>
    </row>
    <row r="698" ht="15.75" customHeight="1">
      <c r="A698" s="23"/>
      <c r="B698" s="23"/>
      <c r="C698" s="23"/>
      <c r="F698" s="23"/>
    </row>
    <row r="699" ht="15.75" customHeight="1">
      <c r="A699" s="23"/>
      <c r="B699" s="23"/>
      <c r="C699" s="23"/>
      <c r="F699" s="23"/>
    </row>
    <row r="700" ht="15.75" customHeight="1">
      <c r="A700" s="23"/>
      <c r="B700" s="23"/>
      <c r="C700" s="23"/>
      <c r="F700" s="23"/>
    </row>
    <row r="701" ht="15.75" customHeight="1">
      <c r="A701" s="23"/>
      <c r="B701" s="23"/>
      <c r="C701" s="23"/>
      <c r="F701" s="23"/>
    </row>
    <row r="702" ht="15.75" customHeight="1">
      <c r="A702" s="23"/>
      <c r="B702" s="23"/>
      <c r="C702" s="23"/>
      <c r="F702" s="23"/>
    </row>
    <row r="703" ht="15.75" customHeight="1">
      <c r="A703" s="23"/>
      <c r="B703" s="23"/>
      <c r="C703" s="23"/>
      <c r="F703" s="23"/>
    </row>
    <row r="704" ht="15.75" customHeight="1">
      <c r="A704" s="23"/>
      <c r="B704" s="23"/>
      <c r="C704" s="23"/>
      <c r="F704" s="23"/>
    </row>
    <row r="705" ht="15.75" customHeight="1">
      <c r="A705" s="23"/>
      <c r="B705" s="23"/>
      <c r="C705" s="23"/>
      <c r="F705" s="23"/>
    </row>
    <row r="706" ht="15.75" customHeight="1">
      <c r="A706" s="23"/>
      <c r="B706" s="23"/>
      <c r="C706" s="23"/>
      <c r="F706" s="23"/>
    </row>
    <row r="707" ht="15.75" customHeight="1">
      <c r="A707" s="23"/>
      <c r="B707" s="23"/>
      <c r="C707" s="23"/>
      <c r="F707" s="23"/>
    </row>
    <row r="708" ht="15.75" customHeight="1">
      <c r="A708" s="23"/>
      <c r="B708" s="23"/>
      <c r="C708" s="23"/>
      <c r="F708" s="23"/>
    </row>
    <row r="709" ht="15.75" customHeight="1">
      <c r="A709" s="23"/>
      <c r="B709" s="23"/>
      <c r="C709" s="23"/>
      <c r="F709" s="23"/>
    </row>
    <row r="710" ht="15.75" customHeight="1">
      <c r="A710" s="23"/>
      <c r="B710" s="23"/>
      <c r="C710" s="23"/>
      <c r="F710" s="23"/>
    </row>
    <row r="711" ht="15.75" customHeight="1">
      <c r="A711" s="23"/>
      <c r="B711" s="23"/>
      <c r="C711" s="23"/>
      <c r="F711" s="23"/>
    </row>
    <row r="712" ht="15.75" customHeight="1">
      <c r="A712" s="23"/>
      <c r="B712" s="23"/>
      <c r="C712" s="23"/>
      <c r="F712" s="23"/>
    </row>
    <row r="713" ht="15.75" customHeight="1">
      <c r="A713" s="23"/>
      <c r="B713" s="23"/>
      <c r="C713" s="23"/>
      <c r="F713" s="23"/>
    </row>
    <row r="714" ht="15.75" customHeight="1">
      <c r="A714" s="23"/>
      <c r="B714" s="23"/>
      <c r="C714" s="23"/>
      <c r="F714" s="23"/>
    </row>
    <row r="715" ht="15.75" customHeight="1">
      <c r="A715" s="23"/>
      <c r="B715" s="23"/>
      <c r="C715" s="23"/>
      <c r="F715" s="23"/>
    </row>
    <row r="716" ht="15.75" customHeight="1">
      <c r="A716" s="23"/>
      <c r="B716" s="23"/>
      <c r="C716" s="23"/>
      <c r="F716" s="23"/>
    </row>
    <row r="717" ht="15.75" customHeight="1">
      <c r="A717" s="23"/>
      <c r="B717" s="23"/>
      <c r="C717" s="23"/>
      <c r="F717" s="23"/>
    </row>
    <row r="718" ht="15.75" customHeight="1">
      <c r="A718" s="23"/>
      <c r="B718" s="23"/>
      <c r="C718" s="23"/>
      <c r="F718" s="23"/>
    </row>
    <row r="719" ht="15.75" customHeight="1">
      <c r="A719" s="23"/>
      <c r="B719" s="23"/>
      <c r="C719" s="23"/>
      <c r="F719" s="23"/>
    </row>
    <row r="720" ht="15.75" customHeight="1">
      <c r="A720" s="23"/>
      <c r="B720" s="23"/>
      <c r="C720" s="23"/>
      <c r="F720" s="23"/>
    </row>
    <row r="721" ht="15.75" customHeight="1">
      <c r="A721" s="23"/>
      <c r="B721" s="23"/>
      <c r="C721" s="23"/>
      <c r="F721" s="23"/>
    </row>
    <row r="722" ht="15.75" customHeight="1">
      <c r="A722" s="23"/>
      <c r="B722" s="23"/>
      <c r="C722" s="23"/>
      <c r="F722" s="23"/>
    </row>
    <row r="723" ht="15.75" customHeight="1">
      <c r="A723" s="23"/>
      <c r="B723" s="23"/>
      <c r="C723" s="23"/>
      <c r="F723" s="23"/>
    </row>
    <row r="724" ht="15.75" customHeight="1">
      <c r="A724" s="23"/>
      <c r="B724" s="23"/>
      <c r="C724" s="23"/>
      <c r="F724" s="23"/>
    </row>
    <row r="725" ht="15.75" customHeight="1">
      <c r="A725" s="23"/>
      <c r="B725" s="23"/>
      <c r="C725" s="23"/>
      <c r="F725" s="23"/>
    </row>
    <row r="726" ht="15.75" customHeight="1">
      <c r="A726" s="23"/>
      <c r="B726" s="23"/>
      <c r="C726" s="23"/>
      <c r="F726" s="23"/>
    </row>
    <row r="727" ht="15.75" customHeight="1">
      <c r="A727" s="23"/>
      <c r="B727" s="23"/>
      <c r="C727" s="23"/>
      <c r="F727" s="23"/>
    </row>
    <row r="728" ht="15.75" customHeight="1">
      <c r="A728" s="23"/>
      <c r="B728" s="23"/>
      <c r="C728" s="23"/>
      <c r="F728" s="23"/>
    </row>
    <row r="729" ht="15.75" customHeight="1">
      <c r="A729" s="23"/>
      <c r="B729" s="23"/>
      <c r="C729" s="23"/>
      <c r="F729" s="23"/>
    </row>
    <row r="730" ht="15.75" customHeight="1">
      <c r="A730" s="23"/>
      <c r="B730" s="23"/>
      <c r="C730" s="23"/>
      <c r="F730" s="23"/>
    </row>
    <row r="731" ht="15.75" customHeight="1">
      <c r="A731" s="23"/>
      <c r="B731" s="23"/>
      <c r="C731" s="23"/>
      <c r="F731" s="23"/>
    </row>
    <row r="732" ht="15.75" customHeight="1">
      <c r="A732" s="23"/>
      <c r="B732" s="23"/>
      <c r="C732" s="23"/>
      <c r="F732" s="23"/>
    </row>
    <row r="733" ht="15.75" customHeight="1">
      <c r="A733" s="23"/>
      <c r="B733" s="23"/>
      <c r="C733" s="23"/>
      <c r="F733" s="23"/>
    </row>
    <row r="734" ht="15.75" customHeight="1">
      <c r="A734" s="23"/>
      <c r="B734" s="23"/>
      <c r="C734" s="23"/>
      <c r="F734" s="23"/>
    </row>
    <row r="735" ht="15.75" customHeight="1">
      <c r="A735" s="23"/>
      <c r="B735" s="23"/>
      <c r="C735" s="23"/>
      <c r="F735" s="23"/>
    </row>
    <row r="736" ht="15.75" customHeight="1">
      <c r="A736" s="23"/>
      <c r="B736" s="23"/>
      <c r="C736" s="23"/>
      <c r="F736" s="23"/>
    </row>
    <row r="737" ht="15.75" customHeight="1">
      <c r="A737" s="23"/>
      <c r="B737" s="23"/>
      <c r="C737" s="23"/>
      <c r="F737" s="23"/>
    </row>
    <row r="738" ht="15.75" customHeight="1">
      <c r="A738" s="23"/>
      <c r="B738" s="23"/>
      <c r="C738" s="23"/>
      <c r="F738" s="23"/>
    </row>
    <row r="739" ht="15.75" customHeight="1">
      <c r="A739" s="23"/>
      <c r="B739" s="23"/>
      <c r="C739" s="23"/>
      <c r="F739" s="23"/>
    </row>
    <row r="740" ht="15.75" customHeight="1">
      <c r="A740" s="23"/>
      <c r="B740" s="23"/>
      <c r="C740" s="23"/>
      <c r="F740" s="23"/>
    </row>
    <row r="741" ht="15.75" customHeight="1">
      <c r="A741" s="23"/>
      <c r="B741" s="23"/>
      <c r="C741" s="23"/>
      <c r="F741" s="23"/>
    </row>
    <row r="742" ht="15.75" customHeight="1">
      <c r="A742" s="23"/>
      <c r="B742" s="23"/>
      <c r="C742" s="23"/>
      <c r="F742" s="23"/>
    </row>
    <row r="743" ht="15.75" customHeight="1">
      <c r="A743" s="23"/>
      <c r="B743" s="23"/>
      <c r="C743" s="23"/>
      <c r="F743" s="23"/>
    </row>
    <row r="744" ht="15.75" customHeight="1">
      <c r="A744" s="23"/>
      <c r="B744" s="23"/>
      <c r="C744" s="23"/>
      <c r="F744" s="23"/>
    </row>
    <row r="745" ht="15.75" customHeight="1">
      <c r="A745" s="23"/>
      <c r="B745" s="23"/>
      <c r="C745" s="23"/>
      <c r="F745" s="23"/>
    </row>
    <row r="746" ht="15.75" customHeight="1">
      <c r="A746" s="23"/>
      <c r="B746" s="23"/>
      <c r="C746" s="23"/>
      <c r="F746" s="23"/>
    </row>
    <row r="747" ht="15.75" customHeight="1">
      <c r="A747" s="23"/>
      <c r="B747" s="23"/>
      <c r="C747" s="23"/>
      <c r="F747" s="23"/>
    </row>
    <row r="748" ht="15.75" customHeight="1">
      <c r="A748" s="23"/>
      <c r="B748" s="23"/>
      <c r="C748" s="23"/>
      <c r="F748" s="23"/>
    </row>
    <row r="749" ht="15.75" customHeight="1">
      <c r="A749" s="23"/>
      <c r="B749" s="23"/>
      <c r="C749" s="23"/>
      <c r="F749" s="23"/>
    </row>
    <row r="750" ht="15.75" customHeight="1">
      <c r="A750" s="23"/>
      <c r="B750" s="23"/>
      <c r="C750" s="23"/>
      <c r="F750" s="23"/>
    </row>
    <row r="751" ht="15.75" customHeight="1">
      <c r="A751" s="23"/>
      <c r="B751" s="23"/>
      <c r="C751" s="23"/>
      <c r="F751" s="23"/>
    </row>
    <row r="752" ht="15.75" customHeight="1">
      <c r="A752" s="23"/>
      <c r="B752" s="23"/>
      <c r="C752" s="23"/>
      <c r="F752" s="23"/>
    </row>
    <row r="753" ht="15.75" customHeight="1">
      <c r="A753" s="23"/>
      <c r="B753" s="23"/>
      <c r="C753" s="23"/>
      <c r="F753" s="23"/>
    </row>
    <row r="754" ht="15.75" customHeight="1">
      <c r="A754" s="23"/>
      <c r="B754" s="23"/>
      <c r="C754" s="23"/>
      <c r="F754" s="23"/>
    </row>
    <row r="755" ht="15.75" customHeight="1">
      <c r="A755" s="23"/>
      <c r="B755" s="23"/>
      <c r="C755" s="23"/>
      <c r="F755" s="23"/>
    </row>
    <row r="756" ht="15.75" customHeight="1">
      <c r="A756" s="23"/>
      <c r="B756" s="23"/>
      <c r="C756" s="23"/>
      <c r="F756" s="23"/>
    </row>
    <row r="757" ht="15.75" customHeight="1">
      <c r="A757" s="23"/>
      <c r="B757" s="23"/>
      <c r="C757" s="23"/>
      <c r="F757" s="23"/>
    </row>
    <row r="758" ht="15.75" customHeight="1">
      <c r="A758" s="23"/>
      <c r="B758" s="23"/>
      <c r="C758" s="23"/>
      <c r="F758" s="23"/>
    </row>
    <row r="759" ht="15.75" customHeight="1">
      <c r="A759" s="23"/>
      <c r="B759" s="23"/>
      <c r="C759" s="23"/>
      <c r="F759" s="23"/>
    </row>
    <row r="760" ht="15.75" customHeight="1">
      <c r="A760" s="23"/>
      <c r="B760" s="23"/>
      <c r="C760" s="23"/>
      <c r="F760" s="23"/>
    </row>
    <row r="761" ht="15.75" customHeight="1">
      <c r="A761" s="23"/>
      <c r="B761" s="23"/>
      <c r="C761" s="23"/>
      <c r="F761" s="23"/>
    </row>
    <row r="762" ht="15.75" customHeight="1">
      <c r="A762" s="23"/>
      <c r="B762" s="23"/>
      <c r="C762" s="23"/>
      <c r="F762" s="23"/>
    </row>
    <row r="763" ht="15.75" customHeight="1">
      <c r="A763" s="23"/>
      <c r="B763" s="23"/>
      <c r="C763" s="23"/>
      <c r="F763" s="23"/>
    </row>
    <row r="764" ht="15.75" customHeight="1">
      <c r="A764" s="23"/>
      <c r="B764" s="23"/>
      <c r="C764" s="23"/>
      <c r="F764" s="23"/>
    </row>
    <row r="765" ht="15.75" customHeight="1">
      <c r="A765" s="23"/>
      <c r="B765" s="23"/>
      <c r="C765" s="23"/>
      <c r="F765" s="23"/>
    </row>
    <row r="766" ht="15.75" customHeight="1">
      <c r="A766" s="23"/>
      <c r="B766" s="23"/>
      <c r="C766" s="23"/>
      <c r="F766" s="23"/>
    </row>
    <row r="767" ht="15.75" customHeight="1">
      <c r="A767" s="23"/>
      <c r="B767" s="23"/>
      <c r="C767" s="23"/>
      <c r="F767" s="23"/>
    </row>
    <row r="768" ht="15.75" customHeight="1">
      <c r="A768" s="23"/>
      <c r="B768" s="23"/>
      <c r="C768" s="23"/>
      <c r="F768" s="23"/>
    </row>
    <row r="769" ht="15.75" customHeight="1">
      <c r="A769" s="23"/>
      <c r="B769" s="23"/>
      <c r="C769" s="23"/>
      <c r="F769" s="23"/>
    </row>
    <row r="770" ht="15.75" customHeight="1">
      <c r="A770" s="23"/>
      <c r="B770" s="23"/>
      <c r="C770" s="23"/>
      <c r="F770" s="23"/>
    </row>
    <row r="771" ht="15.75" customHeight="1">
      <c r="A771" s="23"/>
      <c r="B771" s="23"/>
      <c r="C771" s="23"/>
      <c r="F771" s="23"/>
    </row>
    <row r="772" ht="15.75" customHeight="1">
      <c r="A772" s="23"/>
      <c r="B772" s="23"/>
      <c r="C772" s="23"/>
      <c r="F772" s="23"/>
    </row>
    <row r="773" ht="15.75" customHeight="1">
      <c r="A773" s="23"/>
      <c r="B773" s="23"/>
      <c r="C773" s="23"/>
      <c r="F773" s="23"/>
    </row>
    <row r="774" ht="15.75" customHeight="1">
      <c r="A774" s="23"/>
      <c r="B774" s="23"/>
      <c r="C774" s="23"/>
      <c r="F774" s="23"/>
    </row>
    <row r="775" ht="15.75" customHeight="1">
      <c r="A775" s="23"/>
      <c r="B775" s="23"/>
      <c r="C775" s="23"/>
      <c r="F775" s="23"/>
    </row>
    <row r="776" ht="15.75" customHeight="1">
      <c r="A776" s="23"/>
      <c r="B776" s="23"/>
      <c r="C776" s="23"/>
      <c r="F776" s="23"/>
    </row>
    <row r="777" ht="15.75" customHeight="1">
      <c r="A777" s="23"/>
      <c r="B777" s="23"/>
      <c r="C777" s="23"/>
      <c r="F777" s="23"/>
    </row>
    <row r="778" ht="15.75" customHeight="1">
      <c r="A778" s="23"/>
      <c r="B778" s="23"/>
      <c r="C778" s="23"/>
      <c r="F778" s="23"/>
    </row>
    <row r="779" ht="15.75" customHeight="1">
      <c r="A779" s="23"/>
      <c r="B779" s="23"/>
      <c r="C779" s="23"/>
      <c r="F779" s="23"/>
    </row>
    <row r="780" ht="15.75" customHeight="1">
      <c r="A780" s="23"/>
      <c r="B780" s="23"/>
      <c r="C780" s="23"/>
      <c r="F780" s="23"/>
    </row>
    <row r="781" ht="15.75" customHeight="1">
      <c r="A781" s="23"/>
      <c r="B781" s="23"/>
      <c r="C781" s="23"/>
      <c r="F781" s="23"/>
    </row>
    <row r="782" ht="15.75" customHeight="1">
      <c r="A782" s="23"/>
      <c r="B782" s="23"/>
      <c r="C782" s="23"/>
      <c r="F782" s="23"/>
    </row>
    <row r="783" ht="15.75" customHeight="1">
      <c r="A783" s="23"/>
      <c r="B783" s="23"/>
      <c r="C783" s="23"/>
      <c r="F783" s="23"/>
    </row>
    <row r="784" ht="15.75" customHeight="1">
      <c r="A784" s="23"/>
      <c r="B784" s="23"/>
      <c r="C784" s="23"/>
      <c r="F784" s="23"/>
    </row>
    <row r="785" ht="15.75" customHeight="1">
      <c r="A785" s="23"/>
      <c r="B785" s="23"/>
      <c r="C785" s="23"/>
      <c r="F785" s="23"/>
    </row>
    <row r="786" ht="15.75" customHeight="1">
      <c r="A786" s="23"/>
      <c r="B786" s="23"/>
      <c r="C786" s="23"/>
      <c r="F786" s="23"/>
    </row>
    <row r="787" ht="15.75" customHeight="1">
      <c r="A787" s="23"/>
      <c r="B787" s="23"/>
      <c r="C787" s="23"/>
      <c r="F787" s="23"/>
    </row>
    <row r="788" ht="15.75" customHeight="1">
      <c r="A788" s="23"/>
      <c r="B788" s="23"/>
      <c r="C788" s="23"/>
      <c r="F788" s="23"/>
    </row>
    <row r="789" ht="15.75" customHeight="1">
      <c r="A789" s="23"/>
      <c r="B789" s="23"/>
      <c r="C789" s="23"/>
      <c r="F789" s="23"/>
    </row>
    <row r="790" ht="15.75" customHeight="1">
      <c r="A790" s="23"/>
      <c r="B790" s="23"/>
      <c r="C790" s="23"/>
      <c r="F790" s="23"/>
    </row>
    <row r="791" ht="15.75" customHeight="1">
      <c r="A791" s="23"/>
      <c r="B791" s="23"/>
      <c r="C791" s="23"/>
      <c r="F791" s="23"/>
    </row>
    <row r="792" ht="15.75" customHeight="1">
      <c r="A792" s="23"/>
      <c r="B792" s="23"/>
      <c r="C792" s="23"/>
      <c r="F792" s="23"/>
    </row>
    <row r="793" ht="15.75" customHeight="1">
      <c r="A793" s="23"/>
      <c r="B793" s="23"/>
      <c r="C793" s="23"/>
      <c r="F793" s="23"/>
    </row>
    <row r="794" ht="15.75" customHeight="1">
      <c r="A794" s="23"/>
      <c r="B794" s="23"/>
      <c r="C794" s="23"/>
      <c r="F794" s="23"/>
    </row>
    <row r="795" ht="15.75" customHeight="1">
      <c r="A795" s="23"/>
      <c r="B795" s="23"/>
      <c r="C795" s="23"/>
      <c r="F795" s="23"/>
    </row>
    <row r="796" ht="15.75" customHeight="1">
      <c r="A796" s="23"/>
      <c r="B796" s="23"/>
      <c r="C796" s="23"/>
      <c r="F796" s="23"/>
    </row>
    <row r="797" ht="15.75" customHeight="1">
      <c r="A797" s="23"/>
      <c r="B797" s="23"/>
      <c r="C797" s="23"/>
      <c r="F797" s="23"/>
    </row>
    <row r="798" ht="15.75" customHeight="1">
      <c r="A798" s="23"/>
      <c r="B798" s="23"/>
      <c r="C798" s="23"/>
      <c r="F798" s="23"/>
    </row>
    <row r="799" ht="15.75" customHeight="1">
      <c r="A799" s="23"/>
      <c r="B799" s="23"/>
      <c r="C799" s="23"/>
      <c r="F799" s="23"/>
    </row>
    <row r="800" ht="15.75" customHeight="1">
      <c r="A800" s="23"/>
      <c r="B800" s="23"/>
      <c r="C800" s="23"/>
      <c r="F800" s="23"/>
    </row>
    <row r="801" ht="15.75" customHeight="1">
      <c r="A801" s="23"/>
      <c r="B801" s="23"/>
      <c r="C801" s="23"/>
      <c r="F801" s="23"/>
    </row>
    <row r="802" ht="15.75" customHeight="1">
      <c r="A802" s="23"/>
      <c r="B802" s="23"/>
      <c r="C802" s="23"/>
      <c r="F802" s="23"/>
    </row>
    <row r="803" ht="15.75" customHeight="1">
      <c r="A803" s="23"/>
      <c r="B803" s="23"/>
      <c r="C803" s="23"/>
      <c r="F803" s="23"/>
    </row>
    <row r="804" ht="15.75" customHeight="1">
      <c r="A804" s="23"/>
      <c r="B804" s="23"/>
      <c r="C804" s="23"/>
      <c r="F804" s="23"/>
    </row>
    <row r="805" ht="15.75" customHeight="1">
      <c r="A805" s="23"/>
      <c r="B805" s="23"/>
      <c r="C805" s="23"/>
      <c r="F805" s="23"/>
    </row>
    <row r="806" ht="15.75" customHeight="1">
      <c r="A806" s="23"/>
      <c r="B806" s="23"/>
      <c r="C806" s="23"/>
      <c r="F806" s="23"/>
    </row>
    <row r="807" ht="15.75" customHeight="1">
      <c r="A807" s="23"/>
      <c r="B807" s="23"/>
      <c r="C807" s="23"/>
      <c r="F807" s="23"/>
    </row>
    <row r="808" ht="15.75" customHeight="1">
      <c r="A808" s="23"/>
      <c r="B808" s="23"/>
      <c r="C808" s="23"/>
      <c r="F808" s="23"/>
    </row>
    <row r="809" ht="15.75" customHeight="1">
      <c r="A809" s="23"/>
      <c r="B809" s="23"/>
      <c r="C809" s="23"/>
      <c r="F809" s="23"/>
    </row>
    <row r="810" ht="15.75" customHeight="1">
      <c r="A810" s="23"/>
      <c r="B810" s="23"/>
      <c r="C810" s="23"/>
      <c r="F810" s="23"/>
    </row>
    <row r="811" ht="15.75" customHeight="1">
      <c r="A811" s="23"/>
      <c r="B811" s="23"/>
      <c r="C811" s="23"/>
      <c r="F811" s="23"/>
    </row>
    <row r="812" ht="15.75" customHeight="1">
      <c r="A812" s="23"/>
      <c r="B812" s="23"/>
      <c r="C812" s="23"/>
      <c r="F812" s="23"/>
    </row>
    <row r="813" ht="15.75" customHeight="1">
      <c r="A813" s="23"/>
      <c r="B813" s="23"/>
      <c r="C813" s="23"/>
      <c r="F813" s="23"/>
    </row>
    <row r="814" ht="15.75" customHeight="1">
      <c r="A814" s="23"/>
      <c r="B814" s="23"/>
      <c r="C814" s="23"/>
      <c r="F814" s="23"/>
    </row>
    <row r="815" ht="15.75" customHeight="1">
      <c r="A815" s="23"/>
      <c r="B815" s="23"/>
      <c r="C815" s="23"/>
      <c r="F815" s="23"/>
    </row>
    <row r="816" ht="15.75" customHeight="1">
      <c r="A816" s="23"/>
      <c r="B816" s="23"/>
      <c r="C816" s="23"/>
      <c r="F816" s="23"/>
    </row>
    <row r="817" ht="15.75" customHeight="1">
      <c r="A817" s="23"/>
      <c r="B817" s="23"/>
      <c r="C817" s="23"/>
      <c r="F817" s="23"/>
    </row>
    <row r="818" ht="15.75" customHeight="1">
      <c r="A818" s="23"/>
      <c r="B818" s="23"/>
      <c r="C818" s="23"/>
      <c r="F818" s="23"/>
    </row>
    <row r="819" ht="15.75" customHeight="1">
      <c r="A819" s="23"/>
      <c r="B819" s="23"/>
      <c r="C819" s="23"/>
      <c r="F819" s="23"/>
    </row>
    <row r="820" ht="15.75" customHeight="1">
      <c r="A820" s="23"/>
      <c r="B820" s="23"/>
      <c r="C820" s="23"/>
      <c r="F820" s="23"/>
    </row>
    <row r="821" ht="15.75" customHeight="1">
      <c r="A821" s="23"/>
      <c r="B821" s="23"/>
      <c r="C821" s="23"/>
      <c r="F821" s="23"/>
    </row>
    <row r="822" ht="15.75" customHeight="1">
      <c r="A822" s="23"/>
      <c r="B822" s="23"/>
      <c r="C822" s="23"/>
      <c r="F822" s="23"/>
    </row>
    <row r="823" ht="15.75" customHeight="1">
      <c r="A823" s="23"/>
      <c r="B823" s="23"/>
      <c r="C823" s="23"/>
      <c r="F823" s="23"/>
    </row>
    <row r="824" ht="15.75" customHeight="1">
      <c r="A824" s="23"/>
      <c r="B824" s="23"/>
      <c r="C824" s="23"/>
      <c r="F824" s="23"/>
    </row>
    <row r="825" ht="15.75" customHeight="1">
      <c r="A825" s="23"/>
      <c r="B825" s="23"/>
      <c r="C825" s="23"/>
      <c r="F825" s="23"/>
    </row>
    <row r="826" ht="15.75" customHeight="1">
      <c r="A826" s="23"/>
      <c r="B826" s="23"/>
      <c r="C826" s="23"/>
      <c r="F826" s="23"/>
    </row>
    <row r="827" ht="15.75" customHeight="1">
      <c r="A827" s="23"/>
      <c r="B827" s="23"/>
      <c r="C827" s="23"/>
      <c r="F827" s="23"/>
    </row>
    <row r="828" ht="15.75" customHeight="1">
      <c r="A828" s="23"/>
      <c r="B828" s="23"/>
      <c r="C828" s="23"/>
      <c r="F828" s="23"/>
    </row>
    <row r="829" ht="15.75" customHeight="1">
      <c r="A829" s="23"/>
      <c r="B829" s="23"/>
      <c r="C829" s="23"/>
      <c r="F829" s="23"/>
    </row>
    <row r="830" ht="15.75" customHeight="1">
      <c r="A830" s="23"/>
      <c r="B830" s="23"/>
      <c r="C830" s="23"/>
      <c r="F830" s="23"/>
    </row>
    <row r="831" ht="15.75" customHeight="1">
      <c r="A831" s="23"/>
      <c r="B831" s="23"/>
      <c r="C831" s="23"/>
      <c r="F831" s="23"/>
    </row>
    <row r="832" ht="15.75" customHeight="1">
      <c r="A832" s="23"/>
      <c r="B832" s="23"/>
      <c r="C832" s="23"/>
      <c r="F832" s="23"/>
    </row>
    <row r="833" ht="15.75" customHeight="1">
      <c r="A833" s="23"/>
      <c r="B833" s="23"/>
      <c r="C833" s="23"/>
      <c r="F833" s="23"/>
    </row>
    <row r="834" ht="15.75" customHeight="1">
      <c r="A834" s="23"/>
      <c r="B834" s="23"/>
      <c r="C834" s="23"/>
      <c r="F834" s="23"/>
    </row>
    <row r="835" ht="15.75" customHeight="1">
      <c r="A835" s="23"/>
      <c r="B835" s="23"/>
      <c r="C835" s="23"/>
      <c r="F835" s="23"/>
    </row>
    <row r="836" ht="15.75" customHeight="1">
      <c r="A836" s="23"/>
      <c r="B836" s="23"/>
      <c r="C836" s="23"/>
      <c r="F836" s="23"/>
    </row>
    <row r="837" ht="15.75" customHeight="1">
      <c r="A837" s="23"/>
      <c r="B837" s="23"/>
      <c r="C837" s="23"/>
      <c r="F837" s="23"/>
    </row>
    <row r="838" ht="15.75" customHeight="1">
      <c r="A838" s="23"/>
      <c r="B838" s="23"/>
      <c r="C838" s="23"/>
      <c r="F838" s="23"/>
    </row>
    <row r="839" ht="15.75" customHeight="1">
      <c r="A839" s="23"/>
      <c r="B839" s="23"/>
      <c r="C839" s="23"/>
      <c r="F839" s="23"/>
    </row>
    <row r="840" ht="15.75" customHeight="1">
      <c r="A840" s="23"/>
      <c r="B840" s="23"/>
      <c r="C840" s="23"/>
      <c r="F840" s="23"/>
    </row>
    <row r="841" ht="15.75" customHeight="1">
      <c r="A841" s="23"/>
      <c r="B841" s="23"/>
      <c r="C841" s="23"/>
      <c r="F841" s="23"/>
    </row>
    <row r="842" ht="15.75" customHeight="1">
      <c r="A842" s="23"/>
      <c r="B842" s="23"/>
      <c r="C842" s="23"/>
      <c r="F842" s="23"/>
    </row>
    <row r="843" ht="15.75" customHeight="1">
      <c r="A843" s="23"/>
      <c r="B843" s="23"/>
      <c r="C843" s="23"/>
      <c r="F843" s="23"/>
    </row>
    <row r="844" ht="15.75" customHeight="1">
      <c r="A844" s="23"/>
      <c r="B844" s="23"/>
      <c r="C844" s="23"/>
      <c r="F844" s="23"/>
    </row>
    <row r="845" ht="15.75" customHeight="1">
      <c r="A845" s="23"/>
      <c r="B845" s="23"/>
      <c r="C845" s="23"/>
      <c r="F845" s="23"/>
    </row>
    <row r="846" ht="15.75" customHeight="1">
      <c r="A846" s="23"/>
      <c r="B846" s="23"/>
      <c r="C846" s="23"/>
      <c r="F846" s="23"/>
    </row>
    <row r="847" ht="15.75" customHeight="1">
      <c r="A847" s="23"/>
      <c r="B847" s="23"/>
      <c r="C847" s="23"/>
      <c r="F847" s="23"/>
    </row>
    <row r="848" ht="15.75" customHeight="1">
      <c r="A848" s="23"/>
      <c r="B848" s="23"/>
      <c r="C848" s="23"/>
      <c r="F848" s="23"/>
    </row>
    <row r="849" ht="15.75" customHeight="1">
      <c r="A849" s="23"/>
      <c r="B849" s="23"/>
      <c r="C849" s="23"/>
      <c r="F849" s="23"/>
    </row>
    <row r="850" ht="15.75" customHeight="1">
      <c r="A850" s="23"/>
      <c r="B850" s="23"/>
      <c r="C850" s="23"/>
      <c r="F850" s="23"/>
    </row>
    <row r="851" ht="15.75" customHeight="1">
      <c r="A851" s="23"/>
      <c r="B851" s="23"/>
      <c r="C851" s="23"/>
      <c r="F851" s="23"/>
    </row>
    <row r="852" ht="15.75" customHeight="1">
      <c r="A852" s="23"/>
      <c r="B852" s="23"/>
      <c r="C852" s="23"/>
      <c r="F852" s="23"/>
    </row>
    <row r="853" ht="15.75" customHeight="1">
      <c r="A853" s="23"/>
      <c r="B853" s="23"/>
      <c r="C853" s="23"/>
      <c r="F853" s="23"/>
    </row>
    <row r="854" ht="15.75" customHeight="1">
      <c r="A854" s="23"/>
      <c r="B854" s="23"/>
      <c r="C854" s="23"/>
      <c r="F854" s="23"/>
    </row>
    <row r="855" ht="15.75" customHeight="1">
      <c r="A855" s="23"/>
      <c r="B855" s="23"/>
      <c r="C855" s="23"/>
      <c r="F855" s="23"/>
    </row>
    <row r="856" ht="15.75" customHeight="1">
      <c r="A856" s="23"/>
      <c r="B856" s="23"/>
      <c r="C856" s="23"/>
      <c r="F856" s="23"/>
    </row>
    <row r="857" ht="15.75" customHeight="1">
      <c r="A857" s="23"/>
      <c r="B857" s="23"/>
      <c r="C857" s="23"/>
      <c r="F857" s="23"/>
    </row>
    <row r="858" ht="15.75" customHeight="1">
      <c r="A858" s="23"/>
      <c r="B858" s="23"/>
      <c r="C858" s="23"/>
      <c r="F858" s="23"/>
    </row>
    <row r="859" ht="15.75" customHeight="1">
      <c r="A859" s="23"/>
      <c r="B859" s="23"/>
      <c r="C859" s="23"/>
      <c r="F859" s="23"/>
    </row>
    <row r="860" ht="15.75" customHeight="1">
      <c r="A860" s="23"/>
      <c r="B860" s="23"/>
      <c r="C860" s="23"/>
      <c r="F860" s="23"/>
    </row>
    <row r="861" ht="15.75" customHeight="1">
      <c r="A861" s="23"/>
      <c r="B861" s="23"/>
      <c r="C861" s="23"/>
      <c r="F861" s="23"/>
    </row>
    <row r="862" ht="15.75" customHeight="1">
      <c r="A862" s="23"/>
      <c r="B862" s="23"/>
      <c r="C862" s="23"/>
      <c r="F862" s="23"/>
    </row>
    <row r="863" ht="15.75" customHeight="1">
      <c r="A863" s="23"/>
      <c r="B863" s="23"/>
      <c r="C863" s="23"/>
      <c r="F863" s="23"/>
    </row>
    <row r="864" ht="15.75" customHeight="1">
      <c r="A864" s="23"/>
      <c r="B864" s="23"/>
      <c r="C864" s="23"/>
      <c r="F864" s="23"/>
    </row>
    <row r="865" ht="15.75" customHeight="1">
      <c r="A865" s="23"/>
      <c r="B865" s="23"/>
      <c r="C865" s="23"/>
      <c r="F865" s="23"/>
    </row>
    <row r="866" ht="15.75" customHeight="1">
      <c r="A866" s="23"/>
      <c r="B866" s="23"/>
      <c r="C866" s="23"/>
      <c r="F866" s="23"/>
    </row>
    <row r="867" ht="15.75" customHeight="1">
      <c r="A867" s="23"/>
      <c r="B867" s="23"/>
      <c r="C867" s="23"/>
      <c r="F867" s="23"/>
    </row>
    <row r="868" ht="15.75" customHeight="1">
      <c r="A868" s="23"/>
      <c r="B868" s="23"/>
      <c r="C868" s="23"/>
      <c r="F868" s="23"/>
    </row>
    <row r="869" ht="15.75" customHeight="1">
      <c r="A869" s="23"/>
      <c r="B869" s="23"/>
      <c r="C869" s="23"/>
      <c r="F869" s="23"/>
    </row>
    <row r="870" ht="15.75" customHeight="1">
      <c r="A870" s="23"/>
      <c r="B870" s="23"/>
      <c r="C870" s="23"/>
      <c r="F870" s="23"/>
    </row>
    <row r="871" ht="15.75" customHeight="1">
      <c r="A871" s="23"/>
      <c r="B871" s="23"/>
      <c r="C871" s="23"/>
      <c r="F871" s="23"/>
    </row>
    <row r="872" ht="15.75" customHeight="1">
      <c r="A872" s="23"/>
      <c r="B872" s="23"/>
      <c r="C872" s="23"/>
      <c r="F872" s="23"/>
    </row>
    <row r="873" ht="15.75" customHeight="1">
      <c r="A873" s="23"/>
      <c r="B873" s="23"/>
      <c r="C873" s="23"/>
      <c r="F873" s="23"/>
    </row>
    <row r="874" ht="15.75" customHeight="1">
      <c r="A874" s="23"/>
      <c r="B874" s="23"/>
      <c r="C874" s="23"/>
      <c r="F874" s="23"/>
    </row>
    <row r="875" ht="15.75" customHeight="1">
      <c r="A875" s="23"/>
      <c r="B875" s="23"/>
      <c r="C875" s="23"/>
      <c r="F875" s="23"/>
    </row>
    <row r="876" ht="15.75" customHeight="1">
      <c r="A876" s="23"/>
      <c r="B876" s="23"/>
      <c r="C876" s="23"/>
      <c r="F876" s="23"/>
    </row>
    <row r="877" ht="15.75" customHeight="1">
      <c r="A877" s="23"/>
      <c r="B877" s="23"/>
      <c r="C877" s="23"/>
      <c r="F877" s="23"/>
    </row>
    <row r="878" ht="15.75" customHeight="1">
      <c r="A878" s="23"/>
      <c r="B878" s="23"/>
      <c r="C878" s="23"/>
      <c r="F878" s="23"/>
    </row>
    <row r="879" ht="15.75" customHeight="1">
      <c r="A879" s="23"/>
      <c r="B879" s="23"/>
      <c r="C879" s="23"/>
      <c r="F879" s="23"/>
    </row>
    <row r="880" ht="15.75" customHeight="1">
      <c r="A880" s="23"/>
      <c r="B880" s="23"/>
      <c r="C880" s="23"/>
      <c r="F880" s="23"/>
    </row>
    <row r="881" ht="15.75" customHeight="1">
      <c r="A881" s="23"/>
      <c r="B881" s="23"/>
      <c r="C881" s="23"/>
      <c r="F881" s="23"/>
    </row>
    <row r="882" ht="15.75" customHeight="1">
      <c r="A882" s="23"/>
      <c r="B882" s="23"/>
      <c r="C882" s="23"/>
      <c r="F882" s="23"/>
    </row>
    <row r="883" ht="15.75" customHeight="1">
      <c r="A883" s="23"/>
      <c r="B883" s="23"/>
      <c r="C883" s="23"/>
      <c r="F883" s="23"/>
    </row>
    <row r="884" ht="15.75" customHeight="1">
      <c r="A884" s="23"/>
      <c r="B884" s="23"/>
      <c r="C884" s="23"/>
      <c r="F884" s="23"/>
    </row>
    <row r="885" ht="15.75" customHeight="1">
      <c r="A885" s="23"/>
      <c r="B885" s="23"/>
      <c r="C885" s="23"/>
      <c r="F885" s="23"/>
    </row>
    <row r="886" ht="15.75" customHeight="1">
      <c r="A886" s="23"/>
      <c r="B886" s="23"/>
      <c r="C886" s="23"/>
      <c r="F886" s="23"/>
    </row>
    <row r="887" ht="15.75" customHeight="1">
      <c r="A887" s="23"/>
      <c r="B887" s="23"/>
      <c r="C887" s="23"/>
      <c r="F887" s="23"/>
    </row>
    <row r="888" ht="15.75" customHeight="1">
      <c r="A888" s="23"/>
      <c r="B888" s="23"/>
      <c r="C888" s="23"/>
      <c r="F888" s="23"/>
    </row>
    <row r="889" ht="15.75" customHeight="1">
      <c r="A889" s="23"/>
      <c r="B889" s="23"/>
      <c r="C889" s="23"/>
      <c r="F889" s="23"/>
    </row>
    <row r="890" ht="15.75" customHeight="1">
      <c r="A890" s="23"/>
      <c r="B890" s="23"/>
      <c r="C890" s="23"/>
      <c r="F890" s="23"/>
    </row>
    <row r="891" ht="15.75" customHeight="1">
      <c r="A891" s="23"/>
      <c r="B891" s="23"/>
      <c r="C891" s="23"/>
      <c r="F891" s="23"/>
    </row>
    <row r="892" ht="15.75" customHeight="1">
      <c r="A892" s="23"/>
      <c r="B892" s="23"/>
      <c r="C892" s="23"/>
      <c r="F892" s="23"/>
    </row>
    <row r="893" ht="15.75" customHeight="1">
      <c r="A893" s="23"/>
      <c r="B893" s="23"/>
      <c r="C893" s="23"/>
      <c r="F893" s="23"/>
    </row>
    <row r="894" ht="15.75" customHeight="1">
      <c r="A894" s="23"/>
      <c r="B894" s="23"/>
      <c r="C894" s="23"/>
      <c r="F894" s="23"/>
    </row>
    <row r="895" ht="15.75" customHeight="1">
      <c r="A895" s="23"/>
      <c r="B895" s="23"/>
      <c r="C895" s="23"/>
      <c r="F895" s="23"/>
    </row>
    <row r="896" ht="15.75" customHeight="1">
      <c r="A896" s="23"/>
      <c r="B896" s="23"/>
      <c r="C896" s="23"/>
      <c r="F896" s="23"/>
    </row>
    <row r="897" ht="15.75" customHeight="1">
      <c r="A897" s="23"/>
      <c r="B897" s="23"/>
      <c r="C897" s="23"/>
      <c r="F897" s="23"/>
    </row>
    <row r="898" ht="15.75" customHeight="1">
      <c r="A898" s="23"/>
      <c r="B898" s="23"/>
      <c r="C898" s="23"/>
      <c r="F898" s="23"/>
    </row>
    <row r="899" ht="15.75" customHeight="1">
      <c r="A899" s="23"/>
      <c r="B899" s="23"/>
      <c r="C899" s="23"/>
      <c r="F899" s="23"/>
    </row>
    <row r="900" ht="15.75" customHeight="1">
      <c r="A900" s="23"/>
      <c r="B900" s="23"/>
      <c r="C900" s="23"/>
      <c r="F900" s="23"/>
    </row>
    <row r="901" ht="15.75" customHeight="1">
      <c r="A901" s="23"/>
      <c r="B901" s="23"/>
      <c r="C901" s="23"/>
      <c r="F901" s="23"/>
    </row>
    <row r="902" ht="15.75" customHeight="1">
      <c r="A902" s="23"/>
      <c r="B902" s="23"/>
      <c r="C902" s="23"/>
      <c r="F902" s="23"/>
    </row>
    <row r="903" ht="15.75" customHeight="1">
      <c r="A903" s="23"/>
      <c r="B903" s="23"/>
      <c r="C903" s="23"/>
      <c r="F903" s="23"/>
    </row>
    <row r="904" ht="15.75" customHeight="1">
      <c r="A904" s="23"/>
      <c r="B904" s="23"/>
      <c r="C904" s="23"/>
      <c r="F904" s="23"/>
    </row>
    <row r="905" ht="15.75" customHeight="1">
      <c r="A905" s="23"/>
      <c r="B905" s="23"/>
      <c r="C905" s="23"/>
      <c r="F905" s="23"/>
    </row>
    <row r="906" ht="15.75" customHeight="1">
      <c r="A906" s="23"/>
      <c r="B906" s="23"/>
      <c r="C906" s="23"/>
      <c r="F906" s="23"/>
    </row>
    <row r="907" ht="15.75" customHeight="1">
      <c r="A907" s="23"/>
      <c r="B907" s="23"/>
      <c r="C907" s="23"/>
      <c r="F907" s="23"/>
    </row>
    <row r="908" ht="15.75" customHeight="1">
      <c r="A908" s="23"/>
      <c r="B908" s="23"/>
      <c r="C908" s="23"/>
      <c r="F908" s="23"/>
    </row>
    <row r="909" ht="15.75" customHeight="1">
      <c r="A909" s="23"/>
      <c r="B909" s="23"/>
      <c r="C909" s="23"/>
      <c r="F909" s="23"/>
    </row>
    <row r="910" ht="15.75" customHeight="1">
      <c r="A910" s="23"/>
      <c r="B910" s="23"/>
      <c r="C910" s="23"/>
      <c r="F910" s="23"/>
    </row>
    <row r="911" ht="15.75" customHeight="1">
      <c r="A911" s="23"/>
      <c r="B911" s="23"/>
      <c r="C911" s="23"/>
      <c r="F911" s="23"/>
    </row>
    <row r="912" ht="15.75" customHeight="1">
      <c r="A912" s="23"/>
      <c r="B912" s="23"/>
      <c r="C912" s="23"/>
      <c r="F912" s="23"/>
    </row>
    <row r="913" ht="15.75" customHeight="1">
      <c r="A913" s="23"/>
      <c r="B913" s="23"/>
      <c r="C913" s="23"/>
      <c r="F913" s="23"/>
    </row>
    <row r="914" ht="15.75" customHeight="1">
      <c r="A914" s="23"/>
      <c r="B914" s="23"/>
      <c r="C914" s="23"/>
      <c r="F914" s="23"/>
    </row>
    <row r="915" ht="15.75" customHeight="1">
      <c r="A915" s="23"/>
      <c r="B915" s="23"/>
      <c r="C915" s="23"/>
      <c r="F915" s="23"/>
    </row>
    <row r="916" ht="15.75" customHeight="1">
      <c r="A916" s="23"/>
      <c r="B916" s="23"/>
      <c r="C916" s="23"/>
      <c r="F916" s="23"/>
    </row>
    <row r="917" ht="15.75" customHeight="1">
      <c r="A917" s="23"/>
      <c r="B917" s="23"/>
      <c r="C917" s="23"/>
      <c r="F917" s="23"/>
    </row>
    <row r="918" ht="15.75" customHeight="1">
      <c r="A918" s="23"/>
      <c r="B918" s="23"/>
      <c r="C918" s="23"/>
      <c r="F918" s="23"/>
    </row>
    <row r="919" ht="15.75" customHeight="1">
      <c r="A919" s="23"/>
      <c r="B919" s="23"/>
      <c r="C919" s="23"/>
      <c r="F919" s="23"/>
    </row>
    <row r="920" ht="15.75" customHeight="1">
      <c r="A920" s="23"/>
      <c r="B920" s="23"/>
      <c r="C920" s="23"/>
      <c r="F920" s="23"/>
    </row>
    <row r="921" ht="15.75" customHeight="1">
      <c r="A921" s="23"/>
      <c r="B921" s="23"/>
      <c r="C921" s="23"/>
      <c r="F921" s="23"/>
    </row>
    <row r="922" ht="15.75" customHeight="1">
      <c r="A922" s="23"/>
      <c r="B922" s="23"/>
      <c r="C922" s="23"/>
      <c r="F922" s="23"/>
    </row>
    <row r="923" ht="15.75" customHeight="1">
      <c r="A923" s="23"/>
      <c r="B923" s="23"/>
      <c r="C923" s="23"/>
      <c r="F923" s="23"/>
    </row>
    <row r="924" ht="15.75" customHeight="1">
      <c r="A924" s="23"/>
      <c r="B924" s="23"/>
      <c r="C924" s="23"/>
      <c r="F924" s="23"/>
    </row>
    <row r="925" ht="15.75" customHeight="1">
      <c r="A925" s="23"/>
      <c r="B925" s="23"/>
      <c r="C925" s="23"/>
      <c r="F925" s="23"/>
    </row>
    <row r="926" ht="15.75" customHeight="1">
      <c r="A926" s="23"/>
      <c r="B926" s="23"/>
      <c r="C926" s="23"/>
      <c r="F926" s="23"/>
    </row>
    <row r="927" ht="15.75" customHeight="1">
      <c r="A927" s="23"/>
      <c r="B927" s="23"/>
      <c r="C927" s="23"/>
      <c r="F927" s="23"/>
    </row>
    <row r="928" ht="15.75" customHeight="1">
      <c r="A928" s="23"/>
      <c r="B928" s="23"/>
      <c r="C928" s="23"/>
      <c r="F928" s="23"/>
    </row>
    <row r="929" ht="15.75" customHeight="1">
      <c r="A929" s="23"/>
      <c r="B929" s="23"/>
      <c r="C929" s="23"/>
      <c r="F929" s="23"/>
    </row>
    <row r="930" ht="15.75" customHeight="1">
      <c r="A930" s="23"/>
      <c r="B930" s="23"/>
      <c r="C930" s="23"/>
      <c r="F930" s="23"/>
    </row>
    <row r="931" ht="15.75" customHeight="1">
      <c r="A931" s="23"/>
      <c r="B931" s="23"/>
      <c r="C931" s="23"/>
      <c r="F931" s="23"/>
    </row>
    <row r="932" ht="15.75" customHeight="1">
      <c r="A932" s="23"/>
      <c r="B932" s="23"/>
      <c r="C932" s="23"/>
      <c r="F932" s="23"/>
    </row>
    <row r="933" ht="15.75" customHeight="1">
      <c r="A933" s="23"/>
      <c r="B933" s="23"/>
      <c r="C933" s="23"/>
      <c r="F933" s="23"/>
    </row>
    <row r="934" ht="15.75" customHeight="1">
      <c r="A934" s="23"/>
      <c r="B934" s="23"/>
      <c r="C934" s="23"/>
      <c r="F934" s="23"/>
    </row>
    <row r="935" ht="15.75" customHeight="1">
      <c r="A935" s="23"/>
      <c r="B935" s="23"/>
      <c r="C935" s="23"/>
      <c r="F935" s="23"/>
    </row>
    <row r="936" ht="15.75" customHeight="1">
      <c r="A936" s="23"/>
      <c r="B936" s="23"/>
      <c r="C936" s="23"/>
      <c r="F936" s="23"/>
    </row>
    <row r="937" ht="15.75" customHeight="1">
      <c r="A937" s="23"/>
      <c r="B937" s="23"/>
      <c r="C937" s="23"/>
      <c r="F937" s="23"/>
    </row>
    <row r="938" ht="15.75" customHeight="1">
      <c r="A938" s="23"/>
      <c r="B938" s="23"/>
      <c r="C938" s="23"/>
      <c r="F938" s="23"/>
    </row>
    <row r="939" ht="15.75" customHeight="1">
      <c r="A939" s="23"/>
      <c r="B939" s="23"/>
      <c r="C939" s="23"/>
      <c r="F939" s="23"/>
    </row>
    <row r="940" ht="15.75" customHeight="1">
      <c r="A940" s="23"/>
      <c r="B940" s="23"/>
      <c r="C940" s="23"/>
      <c r="F940" s="23"/>
    </row>
    <row r="941" ht="15.75" customHeight="1">
      <c r="A941" s="23"/>
      <c r="B941" s="23"/>
      <c r="C941" s="23"/>
      <c r="F941" s="23"/>
    </row>
    <row r="942" ht="15.75" customHeight="1">
      <c r="A942" s="23"/>
      <c r="B942" s="23"/>
      <c r="C942" s="23"/>
      <c r="F942" s="23"/>
    </row>
    <row r="943" ht="15.75" customHeight="1">
      <c r="A943" s="23"/>
      <c r="B943" s="23"/>
      <c r="C943" s="23"/>
      <c r="F943" s="23"/>
    </row>
    <row r="944" ht="15.75" customHeight="1">
      <c r="A944" s="23"/>
      <c r="B944" s="23"/>
      <c r="C944" s="23"/>
      <c r="F944" s="23"/>
    </row>
    <row r="945" ht="15.75" customHeight="1">
      <c r="A945" s="23"/>
      <c r="B945" s="23"/>
      <c r="C945" s="23"/>
      <c r="F945" s="23"/>
    </row>
    <row r="946" ht="15.75" customHeight="1">
      <c r="A946" s="23"/>
      <c r="B946" s="23"/>
      <c r="C946" s="23"/>
      <c r="F946" s="23"/>
    </row>
    <row r="947" ht="15.75" customHeight="1">
      <c r="A947" s="23"/>
      <c r="B947" s="23"/>
      <c r="C947" s="23"/>
      <c r="F947" s="23"/>
    </row>
    <row r="948" ht="15.75" customHeight="1">
      <c r="A948" s="23"/>
      <c r="B948" s="23"/>
      <c r="C948" s="23"/>
      <c r="F948" s="23"/>
    </row>
    <row r="949" ht="15.75" customHeight="1">
      <c r="A949" s="23"/>
      <c r="B949" s="23"/>
      <c r="C949" s="23"/>
      <c r="F949" s="23"/>
    </row>
    <row r="950" ht="15.75" customHeight="1">
      <c r="A950" s="23"/>
      <c r="B950" s="23"/>
      <c r="C950" s="23"/>
      <c r="F950" s="23"/>
    </row>
    <row r="951" ht="15.75" customHeight="1">
      <c r="A951" s="23"/>
      <c r="B951" s="23"/>
      <c r="C951" s="23"/>
      <c r="F951" s="23"/>
    </row>
    <row r="952" ht="15.75" customHeight="1">
      <c r="A952" s="23"/>
      <c r="B952" s="23"/>
      <c r="C952" s="23"/>
      <c r="F952" s="23"/>
    </row>
    <row r="953" ht="15.75" customHeight="1">
      <c r="A953" s="23"/>
      <c r="B953" s="23"/>
      <c r="C953" s="23"/>
      <c r="F953" s="23"/>
    </row>
    <row r="954" ht="15.75" customHeight="1">
      <c r="A954" s="23"/>
      <c r="B954" s="23"/>
      <c r="C954" s="23"/>
      <c r="F954" s="23"/>
    </row>
    <row r="955" ht="15.75" customHeight="1">
      <c r="A955" s="23"/>
      <c r="B955" s="23"/>
      <c r="C955" s="23"/>
      <c r="F955" s="23"/>
    </row>
    <row r="956" ht="15.75" customHeight="1">
      <c r="A956" s="23"/>
      <c r="B956" s="23"/>
      <c r="C956" s="23"/>
      <c r="F956" s="23"/>
    </row>
    <row r="957" ht="15.75" customHeight="1">
      <c r="A957" s="23"/>
      <c r="B957" s="23"/>
      <c r="C957" s="23"/>
      <c r="F957" s="23"/>
    </row>
    <row r="958" ht="15.75" customHeight="1">
      <c r="A958" s="23"/>
      <c r="B958" s="23"/>
      <c r="C958" s="23"/>
      <c r="F958" s="23"/>
    </row>
    <row r="959" ht="15.75" customHeight="1">
      <c r="A959" s="23"/>
      <c r="B959" s="23"/>
      <c r="C959" s="23"/>
      <c r="F959" s="23"/>
    </row>
    <row r="960" ht="15.75" customHeight="1">
      <c r="A960" s="23"/>
      <c r="B960" s="23"/>
      <c r="C960" s="23"/>
      <c r="F960" s="23"/>
    </row>
    <row r="961" ht="15.75" customHeight="1">
      <c r="A961" s="23"/>
      <c r="B961" s="23"/>
      <c r="C961" s="23"/>
      <c r="F961" s="23"/>
    </row>
    <row r="962" ht="15.75" customHeight="1">
      <c r="A962" s="23"/>
      <c r="B962" s="23"/>
      <c r="C962" s="23"/>
      <c r="F962" s="23"/>
    </row>
    <row r="963" ht="15.75" customHeight="1">
      <c r="A963" s="23"/>
      <c r="B963" s="23"/>
      <c r="C963" s="23"/>
      <c r="F963" s="23"/>
    </row>
    <row r="964" ht="15.75" customHeight="1">
      <c r="A964" s="23"/>
      <c r="B964" s="23"/>
      <c r="C964" s="23"/>
      <c r="F964" s="23"/>
    </row>
    <row r="965" ht="15.75" customHeight="1">
      <c r="A965" s="23"/>
      <c r="B965" s="23"/>
      <c r="C965" s="23"/>
      <c r="F965" s="23"/>
    </row>
    <row r="966" ht="15.75" customHeight="1">
      <c r="A966" s="23"/>
      <c r="B966" s="23"/>
      <c r="C966" s="23"/>
      <c r="F966" s="23"/>
    </row>
    <row r="967" ht="15.75" customHeight="1">
      <c r="A967" s="23"/>
      <c r="B967" s="23"/>
      <c r="C967" s="23"/>
      <c r="F967" s="23"/>
    </row>
    <row r="968" ht="15.75" customHeight="1">
      <c r="A968" s="23"/>
      <c r="B968" s="23"/>
      <c r="C968" s="23"/>
      <c r="F968" s="23"/>
    </row>
    <row r="969" ht="15.75" customHeight="1">
      <c r="A969" s="23"/>
      <c r="B969" s="23"/>
      <c r="C969" s="23"/>
      <c r="F969" s="23"/>
    </row>
    <row r="970" ht="15.75" customHeight="1">
      <c r="A970" s="23"/>
      <c r="B970" s="23"/>
      <c r="C970" s="23"/>
      <c r="F970" s="23"/>
    </row>
    <row r="971" ht="15.75" customHeight="1">
      <c r="A971" s="23"/>
      <c r="B971" s="23"/>
      <c r="C971" s="23"/>
      <c r="F971" s="23"/>
    </row>
    <row r="972" ht="15.75" customHeight="1">
      <c r="A972" s="23"/>
      <c r="B972" s="23"/>
      <c r="C972" s="23"/>
      <c r="F972" s="23"/>
    </row>
    <row r="973" ht="15.75" customHeight="1">
      <c r="A973" s="23"/>
      <c r="B973" s="23"/>
      <c r="C973" s="23"/>
      <c r="F973" s="23"/>
    </row>
    <row r="974" ht="15.75" customHeight="1">
      <c r="A974" s="23"/>
      <c r="B974" s="23"/>
      <c r="C974" s="23"/>
      <c r="F974" s="23"/>
    </row>
    <row r="975" ht="15.75" customHeight="1">
      <c r="A975" s="23"/>
      <c r="B975" s="23"/>
      <c r="C975" s="23"/>
      <c r="F975" s="23"/>
    </row>
    <row r="976" ht="15.75" customHeight="1">
      <c r="A976" s="23"/>
      <c r="B976" s="23"/>
      <c r="C976" s="23"/>
      <c r="F976" s="23"/>
    </row>
    <row r="977" ht="15.75" customHeight="1">
      <c r="A977" s="23"/>
      <c r="B977" s="23"/>
      <c r="C977" s="23"/>
      <c r="F977" s="23"/>
    </row>
    <row r="978" ht="15.75" customHeight="1">
      <c r="A978" s="23"/>
      <c r="B978" s="23"/>
      <c r="C978" s="23"/>
      <c r="F978" s="23"/>
    </row>
    <row r="979" ht="15.75" customHeight="1">
      <c r="A979" s="23"/>
      <c r="B979" s="23"/>
      <c r="C979" s="23"/>
      <c r="F979" s="23"/>
    </row>
    <row r="980" ht="15.75" customHeight="1">
      <c r="A980" s="23"/>
      <c r="B980" s="23"/>
      <c r="C980" s="23"/>
      <c r="F980" s="23"/>
    </row>
    <row r="981" ht="15.75" customHeight="1">
      <c r="A981" s="23"/>
      <c r="B981" s="23"/>
      <c r="C981" s="23"/>
      <c r="F981" s="23"/>
    </row>
    <row r="982" ht="15.75" customHeight="1">
      <c r="A982" s="23"/>
      <c r="B982" s="23"/>
      <c r="C982" s="23"/>
      <c r="F982" s="23"/>
    </row>
    <row r="983" ht="15.75" customHeight="1">
      <c r="A983" s="23"/>
      <c r="B983" s="23"/>
      <c r="C983" s="23"/>
      <c r="F983" s="23"/>
    </row>
    <row r="984" ht="15.75" customHeight="1">
      <c r="A984" s="23"/>
      <c r="B984" s="23"/>
      <c r="C984" s="23"/>
      <c r="F984" s="23"/>
    </row>
    <row r="985" ht="15.75" customHeight="1">
      <c r="A985" s="23"/>
      <c r="B985" s="23"/>
      <c r="C985" s="23"/>
      <c r="F985" s="23"/>
    </row>
    <row r="986" ht="15.75" customHeight="1">
      <c r="A986" s="23"/>
      <c r="B986" s="23"/>
      <c r="C986" s="23"/>
      <c r="F986" s="23"/>
    </row>
    <row r="987" ht="15.75" customHeight="1">
      <c r="A987" s="23"/>
      <c r="B987" s="23"/>
      <c r="C987" s="23"/>
      <c r="F987" s="23"/>
    </row>
    <row r="988" ht="15.75" customHeight="1">
      <c r="A988" s="23"/>
      <c r="B988" s="23"/>
      <c r="C988" s="23"/>
      <c r="F988" s="23"/>
    </row>
    <row r="989" ht="15.75" customHeight="1">
      <c r="A989" s="23"/>
      <c r="B989" s="23"/>
      <c r="C989" s="23"/>
      <c r="F989" s="23"/>
    </row>
    <row r="990" ht="15.75" customHeight="1">
      <c r="A990" s="23"/>
      <c r="B990" s="23"/>
      <c r="C990" s="23"/>
      <c r="F990" s="23"/>
    </row>
    <row r="991" ht="15.75" customHeight="1">
      <c r="A991" s="23"/>
      <c r="B991" s="23"/>
      <c r="C991" s="23"/>
      <c r="F991" s="23"/>
    </row>
    <row r="992" ht="15.75" customHeight="1">
      <c r="A992" s="23"/>
      <c r="B992" s="23"/>
      <c r="C992" s="23"/>
      <c r="F992" s="23"/>
    </row>
    <row r="993" ht="15.75" customHeight="1">
      <c r="A993" s="23"/>
      <c r="B993" s="23"/>
      <c r="C993" s="23"/>
      <c r="F993" s="23"/>
    </row>
    <row r="994" ht="15.75" customHeight="1">
      <c r="A994" s="23"/>
      <c r="B994" s="23"/>
      <c r="C994" s="23"/>
      <c r="F994" s="23"/>
    </row>
    <row r="995" ht="15.75" customHeight="1">
      <c r="A995" s="23"/>
      <c r="B995" s="23"/>
      <c r="C995" s="23"/>
      <c r="F995" s="23"/>
    </row>
    <row r="996" ht="15.75" customHeight="1">
      <c r="A996" s="23"/>
      <c r="B996" s="23"/>
      <c r="C996" s="23"/>
      <c r="F996" s="23"/>
    </row>
    <row r="997" ht="15.75" customHeight="1">
      <c r="A997" s="23"/>
      <c r="B997" s="23"/>
      <c r="C997" s="23"/>
      <c r="F997" s="23"/>
    </row>
    <row r="998" ht="15.75" customHeight="1">
      <c r="A998" s="23"/>
      <c r="B998" s="23"/>
      <c r="C998" s="23"/>
      <c r="F998" s="23"/>
    </row>
    <row r="999" ht="15.75" customHeight="1">
      <c r="A999" s="23"/>
      <c r="B999" s="23"/>
      <c r="C999" s="23"/>
      <c r="F999" s="23"/>
    </row>
    <row r="1000" ht="15.75" customHeight="1">
      <c r="A1000" s="23"/>
      <c r="B1000" s="23"/>
      <c r="C1000" s="23"/>
      <c r="F1000" s="23"/>
    </row>
  </sheetData>
  <dataValidations>
    <dataValidation type="list" allowBlank="1" sqref="B3:B22">
      <formula1>"CEO,CTO,Engineer,Support,Customer success,Sales,Marketing,Not Applicable"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3.63"/>
    <col customWidth="1" min="3" max="14" width="10.88"/>
  </cols>
  <sheetData>
    <row r="1" ht="15.75" customHeight="1">
      <c r="A1" s="43"/>
      <c r="B1" s="43"/>
      <c r="C1" s="50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  <c r="O1" s="50" t="s">
        <v>1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2"/>
    </row>
    <row r="2" ht="15.75" customHeight="1">
      <c r="A2" s="43" t="s">
        <v>52</v>
      </c>
      <c r="B2" s="43"/>
      <c r="C2" s="53">
        <v>42736.0</v>
      </c>
      <c r="D2" s="54">
        <v>42767.0</v>
      </c>
      <c r="E2" s="54">
        <v>42795.0</v>
      </c>
      <c r="F2" s="54">
        <v>42826.0</v>
      </c>
      <c r="G2" s="54">
        <v>42856.0</v>
      </c>
      <c r="H2" s="54">
        <v>42887.0</v>
      </c>
      <c r="I2" s="54">
        <v>42917.0</v>
      </c>
      <c r="J2" s="54">
        <v>42948.0</v>
      </c>
      <c r="K2" s="54">
        <v>42979.0</v>
      </c>
      <c r="L2" s="54">
        <v>43009.0</v>
      </c>
      <c r="M2" s="54">
        <v>43040.0</v>
      </c>
      <c r="N2" s="55">
        <v>43070.0</v>
      </c>
      <c r="O2" s="53">
        <v>43101.0</v>
      </c>
      <c r="P2" s="54">
        <v>43132.0</v>
      </c>
      <c r="Q2" s="54">
        <v>43160.0</v>
      </c>
      <c r="R2" s="54">
        <v>43191.0</v>
      </c>
      <c r="S2" s="54">
        <v>43221.0</v>
      </c>
      <c r="T2" s="54">
        <v>43252.0</v>
      </c>
      <c r="U2" s="54">
        <v>43282.0</v>
      </c>
      <c r="V2" s="54">
        <v>43313.0</v>
      </c>
      <c r="W2" s="54">
        <v>43344.0</v>
      </c>
      <c r="X2" s="54">
        <v>43374.0</v>
      </c>
      <c r="Y2" s="54">
        <v>43405.0</v>
      </c>
      <c r="Z2" s="55">
        <v>43435.0</v>
      </c>
    </row>
    <row r="3" ht="15.75" customHeight="1">
      <c r="A3" s="43" t="s">
        <v>53</v>
      </c>
      <c r="B3" s="43"/>
      <c r="C3" s="56">
        <v>1.0</v>
      </c>
      <c r="D3" s="43">
        <v>2.0</v>
      </c>
      <c r="E3" s="43">
        <v>3.0</v>
      </c>
      <c r="F3" s="43">
        <v>4.0</v>
      </c>
      <c r="G3" s="43">
        <v>5.0</v>
      </c>
      <c r="H3" s="43">
        <v>6.0</v>
      </c>
      <c r="I3" s="43">
        <v>7.0</v>
      </c>
      <c r="J3" s="43">
        <v>8.0</v>
      </c>
      <c r="K3" s="43">
        <v>9.0</v>
      </c>
      <c r="L3" s="43">
        <v>10.0</v>
      </c>
      <c r="M3" s="43">
        <v>11.0</v>
      </c>
      <c r="N3" s="57">
        <v>12.0</v>
      </c>
      <c r="O3" s="56">
        <v>13.0</v>
      </c>
      <c r="P3" s="43">
        <v>14.0</v>
      </c>
      <c r="Q3" s="43">
        <v>15.0</v>
      </c>
      <c r="R3" s="43">
        <v>16.0</v>
      </c>
      <c r="S3" s="43">
        <v>17.0</v>
      </c>
      <c r="T3" s="43">
        <v>18.0</v>
      </c>
      <c r="U3" s="43">
        <v>19.0</v>
      </c>
      <c r="V3" s="43">
        <v>20.0</v>
      </c>
      <c r="W3" s="43">
        <v>21.0</v>
      </c>
      <c r="X3" s="43">
        <v>22.0</v>
      </c>
      <c r="Y3" s="43">
        <v>23.0</v>
      </c>
      <c r="Z3" s="57">
        <v>24.0</v>
      </c>
    </row>
    <row r="4" ht="15.75" customHeight="1">
      <c r="A4" s="58" t="s">
        <v>54</v>
      </c>
    </row>
    <row r="5" ht="9.0" customHeight="1">
      <c r="A5" s="42"/>
      <c r="B5" s="42"/>
      <c r="C5" s="56"/>
      <c r="D5" s="23"/>
      <c r="E5" s="23"/>
      <c r="F5" s="23"/>
      <c r="G5" s="23"/>
      <c r="H5" s="23"/>
      <c r="I5" s="23"/>
      <c r="J5" s="23"/>
      <c r="K5" s="23"/>
      <c r="L5" s="23"/>
      <c r="M5" s="23"/>
      <c r="N5" s="57"/>
      <c r="O5" s="56"/>
      <c r="Z5" s="57"/>
    </row>
    <row r="6" ht="15.75" customHeight="1">
      <c r="A6" s="42" t="s">
        <v>55</v>
      </c>
      <c r="B6" s="42"/>
      <c r="C6" s="56"/>
      <c r="D6" s="23"/>
      <c r="E6" s="23"/>
      <c r="F6" s="23"/>
      <c r="G6" s="23"/>
      <c r="H6" s="23"/>
      <c r="I6" s="23"/>
      <c r="J6" s="23"/>
      <c r="K6" s="23"/>
      <c r="L6" s="23"/>
      <c r="M6" s="23"/>
      <c r="N6" s="57"/>
      <c r="O6" s="56"/>
      <c r="Z6" s="57"/>
    </row>
    <row r="7" ht="15.75" customHeight="1">
      <c r="A7" s="43"/>
      <c r="B7" s="43" t="s">
        <v>56</v>
      </c>
      <c r="C7" s="59">
        <f>'Growth Hypotheses'!B3</f>
        <v>2500</v>
      </c>
      <c r="D7" s="60">
        <f>'Growth Hypotheses'!B3</f>
        <v>2500</v>
      </c>
      <c r="E7" s="60">
        <f>'Growth Hypotheses'!B3</f>
        <v>2500</v>
      </c>
      <c r="F7" s="60">
        <f>'Growth Hypotheses'!C3</f>
        <v>2500</v>
      </c>
      <c r="G7" s="60">
        <f>'Growth Hypotheses'!C3</f>
        <v>2500</v>
      </c>
      <c r="H7" s="60">
        <f>'Growth Hypotheses'!C3</f>
        <v>2500</v>
      </c>
      <c r="I7" s="60">
        <f>'Growth Hypotheses'!D3</f>
        <v>2500</v>
      </c>
      <c r="J7" s="60">
        <f>'Growth Hypotheses'!D3</f>
        <v>2500</v>
      </c>
      <c r="K7" s="60">
        <f>'Growth Hypotheses'!D3</f>
        <v>2500</v>
      </c>
      <c r="L7" s="60">
        <f>'Growth Hypotheses'!E3</f>
        <v>2500</v>
      </c>
      <c r="M7" s="60">
        <f>'Growth Hypotheses'!E3</f>
        <v>2500</v>
      </c>
      <c r="N7" s="61">
        <f>'Growth Hypotheses'!E3</f>
        <v>2500</v>
      </c>
      <c r="O7" s="59">
        <f>'Growth Hypotheses'!F3</f>
        <v>2900</v>
      </c>
      <c r="P7" s="60">
        <f>'Growth Hypotheses'!F3</f>
        <v>2900</v>
      </c>
      <c r="Q7" s="60">
        <f>'Growth Hypotheses'!F3</f>
        <v>2900</v>
      </c>
      <c r="R7" s="60">
        <f>'Growth Hypotheses'!G3</f>
        <v>2900</v>
      </c>
      <c r="S7" s="60">
        <f>'Growth Hypotheses'!G3</f>
        <v>2900</v>
      </c>
      <c r="T7" s="60">
        <f>'Growth Hypotheses'!G3</f>
        <v>2900</v>
      </c>
      <c r="U7" s="60">
        <f>'Growth Hypotheses'!H3</f>
        <v>2900</v>
      </c>
      <c r="V7" s="60">
        <f>'Growth Hypotheses'!H3</f>
        <v>2900</v>
      </c>
      <c r="W7" s="60">
        <f>'Growth Hypotheses'!H3</f>
        <v>2900</v>
      </c>
      <c r="X7" s="60">
        <f>'Growth Hypotheses'!I3</f>
        <v>2900</v>
      </c>
      <c r="Y7" s="60">
        <f>'Growth Hypotheses'!I3</f>
        <v>2900</v>
      </c>
      <c r="Z7" s="61">
        <f>'Growth Hypotheses'!I3</f>
        <v>2900</v>
      </c>
    </row>
    <row r="8" ht="15.75" customHeight="1">
      <c r="A8" s="62"/>
      <c r="B8" s="62" t="s">
        <v>57</v>
      </c>
      <c r="C8" s="63">
        <f>'Growth Hypotheses'!B8+('Growth Hypotheses'!B8*'Growth Hypotheses'!B4)</f>
        <v>1.15</v>
      </c>
      <c r="D8" s="62">
        <f>C8+(C8*'Growth Hypotheses'!B4)</f>
        <v>1.3225</v>
      </c>
      <c r="E8" s="62">
        <f>D8+(D8*'Growth Hypotheses'!B4)</f>
        <v>1.520875</v>
      </c>
      <c r="F8" s="62">
        <f>E8+(E8*'Growth Hypotheses'!C4)</f>
        <v>1.70338</v>
      </c>
      <c r="G8" s="62">
        <f>F8+(F8*'Growth Hypotheses'!C4)</f>
        <v>1.9077856</v>
      </c>
      <c r="H8" s="62">
        <f>G8+(G8*'Growth Hypotheses'!C4)</f>
        <v>2.136719872</v>
      </c>
      <c r="I8" s="62">
        <f>H8+(H8*'Growth Hypotheses'!D4)</f>
        <v>2.350391859</v>
      </c>
      <c r="J8" s="62">
        <f>I8+(I8*'Growth Hypotheses'!D4)</f>
        <v>2.585431045</v>
      </c>
      <c r="K8" s="62">
        <f>J8+(J8*'Growth Hypotheses'!D4)</f>
        <v>2.84397415</v>
      </c>
      <c r="L8" s="62">
        <f>K8+(K8*'Growth Hypotheses'!E4)</f>
        <v>3.071492082</v>
      </c>
      <c r="M8" s="62">
        <f>L8+(L8*'Growth Hypotheses'!E4)</f>
        <v>3.317211448</v>
      </c>
      <c r="N8" s="64">
        <f>M8+(M8*'Growth Hypotheses'!E4)</f>
        <v>3.582588364</v>
      </c>
      <c r="O8" s="63">
        <f>N8+(N8*'Growth Hypotheses'!F4)</f>
        <v>3.869195433</v>
      </c>
      <c r="P8" s="62">
        <f>O8+(O8*'Growth Hypotheses'!F4)</f>
        <v>4.178731068</v>
      </c>
      <c r="Q8" s="62">
        <f>P8+(P8*'Growth Hypotheses'!F4)</f>
        <v>4.513029553</v>
      </c>
      <c r="R8" s="62">
        <f>Q8+(Q8*'Growth Hypotheses'!G4)</f>
        <v>4.828941622</v>
      </c>
      <c r="S8" s="62">
        <f>R8+(R8*'Growth Hypotheses'!G4)</f>
        <v>5.166967535</v>
      </c>
      <c r="T8" s="62">
        <f>S8+(S8*'Growth Hypotheses'!G4)</f>
        <v>5.528655263</v>
      </c>
      <c r="U8" s="62">
        <f>T8+(T8*'Growth Hypotheses'!H4)</f>
        <v>5.860374579</v>
      </c>
      <c r="V8" s="62">
        <f>U8+(U8*'Growth Hypotheses'!H4)</f>
        <v>6.211997053</v>
      </c>
      <c r="W8" s="62">
        <f>V8+(V8*'Growth Hypotheses'!H4)</f>
        <v>6.584716877</v>
      </c>
      <c r="X8" s="62">
        <f>W8+(W8*'Growth Hypotheses'!I4)</f>
        <v>6.91395272</v>
      </c>
      <c r="Y8" s="62">
        <f>X8+(X8*'Growth Hypotheses'!I4)</f>
        <v>7.259650356</v>
      </c>
      <c r="Z8" s="64">
        <f>Y8+(Y8*'Growth Hypotheses'!I4)</f>
        <v>7.622632874</v>
      </c>
    </row>
    <row r="9" ht="15.75" customHeight="1">
      <c r="A9" s="43"/>
      <c r="B9" s="43" t="s">
        <v>58</v>
      </c>
      <c r="C9" s="65">
        <f>'Growth Hypotheses'!B5</f>
        <v>0.003</v>
      </c>
      <c r="D9" s="37">
        <f>'Growth Hypotheses'!B5</f>
        <v>0.003</v>
      </c>
      <c r="E9" s="37">
        <f>'Growth Hypotheses'!B5</f>
        <v>0.003</v>
      </c>
      <c r="F9" s="37">
        <f>'Growth Hypotheses'!C5</f>
        <v>0.003</v>
      </c>
      <c r="G9" s="37">
        <f>'Growth Hypotheses'!C5</f>
        <v>0.003</v>
      </c>
      <c r="H9" s="37">
        <f>'Growth Hypotheses'!C5</f>
        <v>0.003</v>
      </c>
      <c r="I9" s="37">
        <f>'Growth Hypotheses'!D5</f>
        <v>0.004</v>
      </c>
      <c r="J9" s="37">
        <f>'Growth Hypotheses'!D5</f>
        <v>0.004</v>
      </c>
      <c r="K9" s="37">
        <f>'Growth Hypotheses'!D5</f>
        <v>0.004</v>
      </c>
      <c r="L9" s="37">
        <f>'Growth Hypotheses'!E5</f>
        <v>0.004</v>
      </c>
      <c r="M9" s="37">
        <f>'Growth Hypotheses'!E5</f>
        <v>0.004</v>
      </c>
      <c r="N9" s="66">
        <f>'Growth Hypotheses'!E5</f>
        <v>0.004</v>
      </c>
      <c r="O9" s="65">
        <f>'Growth Hypotheses'!F5</f>
        <v>0.004</v>
      </c>
      <c r="P9" s="37">
        <f>'Growth Hypotheses'!F5</f>
        <v>0.004</v>
      </c>
      <c r="Q9" s="37">
        <f>'Growth Hypotheses'!F5</f>
        <v>0.004</v>
      </c>
      <c r="R9" s="37">
        <f>'Growth Hypotheses'!G5</f>
        <v>0.004</v>
      </c>
      <c r="S9" s="37">
        <f>'Growth Hypotheses'!G5</f>
        <v>0.004</v>
      </c>
      <c r="T9" s="37">
        <f>'Growth Hypotheses'!G5</f>
        <v>0.004</v>
      </c>
      <c r="U9" s="37">
        <f>'Growth Hypotheses'!H5</f>
        <v>0.004</v>
      </c>
      <c r="V9" s="37">
        <f>'Growth Hypotheses'!H5</f>
        <v>0.004</v>
      </c>
      <c r="W9" s="37">
        <f>'Growth Hypotheses'!H5</f>
        <v>0.004</v>
      </c>
      <c r="X9" s="37">
        <f>'Growth Hypotheses'!I5</f>
        <v>0.004</v>
      </c>
      <c r="Y9" s="37">
        <f>'Growth Hypotheses'!I5</f>
        <v>0.004</v>
      </c>
      <c r="Z9" s="66">
        <f>'Growth Hypotheses'!I5</f>
        <v>0.004</v>
      </c>
    </row>
    <row r="10" ht="15.75" customHeight="1">
      <c r="A10" s="42" t="s">
        <v>59</v>
      </c>
      <c r="B10" s="43"/>
      <c r="C10" s="67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9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9"/>
    </row>
    <row r="11" ht="15.75" customHeight="1">
      <c r="A11" s="60"/>
      <c r="B11" s="60" t="s">
        <v>60</v>
      </c>
      <c r="C11" s="70">
        <f t="shared" ref="C11:Z11" si="1">C8*C7</f>
        <v>2875</v>
      </c>
      <c r="D11" s="71">
        <f t="shared" si="1"/>
        <v>3306.25</v>
      </c>
      <c r="E11" s="71">
        <f t="shared" si="1"/>
        <v>3802.1875</v>
      </c>
      <c r="F11" s="71">
        <f t="shared" si="1"/>
        <v>4258.45</v>
      </c>
      <c r="G11" s="71">
        <f t="shared" si="1"/>
        <v>4769.464</v>
      </c>
      <c r="H11" s="71">
        <f t="shared" si="1"/>
        <v>5341.79968</v>
      </c>
      <c r="I11" s="71">
        <f t="shared" si="1"/>
        <v>5875.979648</v>
      </c>
      <c r="J11" s="71">
        <f t="shared" si="1"/>
        <v>6463.577613</v>
      </c>
      <c r="K11" s="71">
        <f t="shared" si="1"/>
        <v>7109.935374</v>
      </c>
      <c r="L11" s="71">
        <f t="shared" si="1"/>
        <v>7678.730204</v>
      </c>
      <c r="M11" s="71">
        <f t="shared" si="1"/>
        <v>8293.02862</v>
      </c>
      <c r="N11" s="72">
        <f t="shared" si="1"/>
        <v>8956.47091</v>
      </c>
      <c r="O11" s="70">
        <f t="shared" si="1"/>
        <v>11220.66676</v>
      </c>
      <c r="P11" s="71">
        <f t="shared" si="1"/>
        <v>12118.3201</v>
      </c>
      <c r="Q11" s="71">
        <f t="shared" si="1"/>
        <v>13087.7857</v>
      </c>
      <c r="R11" s="71">
        <f t="shared" si="1"/>
        <v>14003.9307</v>
      </c>
      <c r="S11" s="71">
        <f t="shared" si="1"/>
        <v>14984.20585</v>
      </c>
      <c r="T11" s="71">
        <f t="shared" si="1"/>
        <v>16033.10026</v>
      </c>
      <c r="U11" s="71">
        <f t="shared" si="1"/>
        <v>16995.08628</v>
      </c>
      <c r="V11" s="71">
        <f t="shared" si="1"/>
        <v>18014.79145</v>
      </c>
      <c r="W11" s="71">
        <f t="shared" si="1"/>
        <v>19095.67894</v>
      </c>
      <c r="X11" s="71">
        <f t="shared" si="1"/>
        <v>20050.46289</v>
      </c>
      <c r="Y11" s="71">
        <f t="shared" si="1"/>
        <v>21052.98603</v>
      </c>
      <c r="Z11" s="72">
        <f t="shared" si="1"/>
        <v>22105.63534</v>
      </c>
    </row>
    <row r="12" ht="15.75" customHeight="1">
      <c r="A12" s="60"/>
      <c r="B12" s="60" t="s">
        <v>61</v>
      </c>
      <c r="C12" s="73">
        <f t="shared" ref="C12:Z12" si="2">C13*C9</f>
        <v>7.5</v>
      </c>
      <c r="D12" s="74">
        <f t="shared" si="2"/>
        <v>16.1025</v>
      </c>
      <c r="E12" s="74">
        <f t="shared" si="2"/>
        <v>25.9729425</v>
      </c>
      <c r="F12" s="74">
        <f t="shared" si="2"/>
        <v>37.30158617</v>
      </c>
      <c r="G12" s="74">
        <f t="shared" si="2"/>
        <v>49.96503141</v>
      </c>
      <c r="H12" s="74">
        <f t="shared" si="2"/>
        <v>64.12352832</v>
      </c>
      <c r="I12" s="74">
        <f t="shared" si="2"/>
        <v>106.6087424</v>
      </c>
      <c r="J12" s="74">
        <f t="shared" si="2"/>
        <v>129.686226</v>
      </c>
      <c r="K12" s="74">
        <f t="shared" si="2"/>
        <v>155.0217915</v>
      </c>
      <c r="L12" s="74">
        <f t="shared" si="2"/>
        <v>182.8414459</v>
      </c>
      <c r="M12" s="74">
        <f t="shared" si="2"/>
        <v>212.8250009</v>
      </c>
      <c r="N12" s="75">
        <f t="shared" si="2"/>
        <v>245.1458154</v>
      </c>
      <c r="O12" s="73">
        <f t="shared" si="2"/>
        <v>279.9911158</v>
      </c>
      <c r="P12" s="74">
        <f t="shared" si="2"/>
        <v>323.7538183</v>
      </c>
      <c r="Q12" s="74">
        <f t="shared" si="2"/>
        <v>370.9320834</v>
      </c>
      <c r="R12" s="74">
        <f t="shared" si="2"/>
        <v>421.7994979</v>
      </c>
      <c r="S12" s="74">
        <f t="shared" si="2"/>
        <v>476.1280227</v>
      </c>
      <c r="T12" s="74">
        <f t="shared" si="2"/>
        <v>534.1603341</v>
      </c>
      <c r="U12" s="74">
        <f t="shared" si="2"/>
        <v>596.1560938</v>
      </c>
      <c r="V12" s="74">
        <f t="shared" si="2"/>
        <v>661.7518145</v>
      </c>
      <c r="W12" s="74">
        <f t="shared" si="2"/>
        <v>731.1639731</v>
      </c>
      <c r="X12" s="74">
        <f t="shared" si="2"/>
        <v>804.6220329</v>
      </c>
      <c r="Y12" s="74">
        <f t="shared" si="2"/>
        <v>881.6053964</v>
      </c>
      <c r="Z12" s="75">
        <f t="shared" si="2"/>
        <v>962.2909189</v>
      </c>
    </row>
    <row r="13" ht="15.75" customHeight="1">
      <c r="A13" s="60"/>
      <c r="B13" s="60" t="s">
        <v>62</v>
      </c>
      <c r="C13" s="59">
        <f>'Growth Hypotheses'!B9</f>
        <v>2500</v>
      </c>
      <c r="D13" s="60">
        <f t="shared" ref="D13:Z13" si="3">C14</f>
        <v>5367.5</v>
      </c>
      <c r="E13" s="60">
        <f t="shared" si="3"/>
        <v>8657.6475</v>
      </c>
      <c r="F13" s="60">
        <f t="shared" si="3"/>
        <v>12433.86206</v>
      </c>
      <c r="G13" s="60">
        <f t="shared" si="3"/>
        <v>16655.01047</v>
      </c>
      <c r="H13" s="60">
        <f t="shared" si="3"/>
        <v>21374.50944</v>
      </c>
      <c r="I13" s="60">
        <f t="shared" si="3"/>
        <v>26652.18559</v>
      </c>
      <c r="J13" s="60">
        <f t="shared" si="3"/>
        <v>32421.5565</v>
      </c>
      <c r="K13" s="60">
        <f t="shared" si="3"/>
        <v>38755.44788</v>
      </c>
      <c r="L13" s="60">
        <f t="shared" si="3"/>
        <v>45710.36147</v>
      </c>
      <c r="M13" s="60">
        <f t="shared" si="3"/>
        <v>53206.25022</v>
      </c>
      <c r="N13" s="61">
        <f t="shared" si="3"/>
        <v>61286.45384</v>
      </c>
      <c r="O13" s="59">
        <f t="shared" si="3"/>
        <v>69997.77894</v>
      </c>
      <c r="P13" s="60">
        <f t="shared" si="3"/>
        <v>80938.45458</v>
      </c>
      <c r="Q13" s="60">
        <f t="shared" si="3"/>
        <v>92733.02086</v>
      </c>
      <c r="R13" s="60">
        <f t="shared" si="3"/>
        <v>105449.8745</v>
      </c>
      <c r="S13" s="60">
        <f t="shared" si="3"/>
        <v>119032.0057</v>
      </c>
      <c r="T13" s="60">
        <f t="shared" si="3"/>
        <v>133540.0835</v>
      </c>
      <c r="U13" s="60">
        <f t="shared" si="3"/>
        <v>149039.0234</v>
      </c>
      <c r="V13" s="60">
        <f t="shared" si="3"/>
        <v>165437.9536</v>
      </c>
      <c r="W13" s="60">
        <f t="shared" si="3"/>
        <v>182790.9933</v>
      </c>
      <c r="X13" s="60">
        <f t="shared" si="3"/>
        <v>201155.5082</v>
      </c>
      <c r="Y13" s="60">
        <f t="shared" si="3"/>
        <v>220401.3491</v>
      </c>
      <c r="Z13" s="61">
        <f t="shared" si="3"/>
        <v>240572.7297</v>
      </c>
    </row>
    <row r="14" ht="15.75" customHeight="1">
      <c r="A14" s="76"/>
      <c r="B14" s="76" t="s">
        <v>63</v>
      </c>
      <c r="C14" s="77">
        <f t="shared" ref="C14:Z14" si="4">C13+C11-C12</f>
        <v>5367.5</v>
      </c>
      <c r="D14" s="76">
        <f t="shared" si="4"/>
        <v>8657.6475</v>
      </c>
      <c r="E14" s="76">
        <f t="shared" si="4"/>
        <v>12433.86206</v>
      </c>
      <c r="F14" s="76">
        <f t="shared" si="4"/>
        <v>16655.01047</v>
      </c>
      <c r="G14" s="76">
        <f t="shared" si="4"/>
        <v>21374.50944</v>
      </c>
      <c r="H14" s="76">
        <f t="shared" si="4"/>
        <v>26652.18559</v>
      </c>
      <c r="I14" s="76">
        <f t="shared" si="4"/>
        <v>32421.5565</v>
      </c>
      <c r="J14" s="76">
        <f t="shared" si="4"/>
        <v>38755.44788</v>
      </c>
      <c r="K14" s="76">
        <f t="shared" si="4"/>
        <v>45710.36147</v>
      </c>
      <c r="L14" s="76">
        <f t="shared" si="4"/>
        <v>53206.25022</v>
      </c>
      <c r="M14" s="76">
        <f t="shared" si="4"/>
        <v>61286.45384</v>
      </c>
      <c r="N14" s="78">
        <f t="shared" si="4"/>
        <v>69997.77894</v>
      </c>
      <c r="O14" s="77">
        <f t="shared" si="4"/>
        <v>80938.45458</v>
      </c>
      <c r="P14" s="76">
        <f t="shared" si="4"/>
        <v>92733.02086</v>
      </c>
      <c r="Q14" s="76">
        <f t="shared" si="4"/>
        <v>105449.8745</v>
      </c>
      <c r="R14" s="76">
        <f t="shared" si="4"/>
        <v>119032.0057</v>
      </c>
      <c r="S14" s="76">
        <f t="shared" si="4"/>
        <v>133540.0835</v>
      </c>
      <c r="T14" s="76">
        <f t="shared" si="4"/>
        <v>149039.0234</v>
      </c>
      <c r="U14" s="76">
        <f t="shared" si="4"/>
        <v>165437.9536</v>
      </c>
      <c r="V14" s="76">
        <f t="shared" si="4"/>
        <v>182790.9933</v>
      </c>
      <c r="W14" s="76">
        <f t="shared" si="4"/>
        <v>201155.5082</v>
      </c>
      <c r="X14" s="76">
        <f t="shared" si="4"/>
        <v>220401.3491</v>
      </c>
      <c r="Y14" s="76">
        <f t="shared" si="4"/>
        <v>240572.7297</v>
      </c>
      <c r="Z14" s="78">
        <f t="shared" si="4"/>
        <v>261716.0741</v>
      </c>
    </row>
    <row r="15" ht="15.75" customHeight="1">
      <c r="A15" s="79"/>
      <c r="B15" s="79" t="s">
        <v>64</v>
      </c>
      <c r="C15" s="80"/>
      <c r="D15" s="79">
        <f t="shared" ref="D15:Z15" si="5">(D14-C14)/C14</f>
        <v>0.6129757802</v>
      </c>
      <c r="E15" s="79">
        <f t="shared" si="5"/>
        <v>0.4361709757</v>
      </c>
      <c r="F15" s="79">
        <f t="shared" si="5"/>
        <v>0.3394881167</v>
      </c>
      <c r="G15" s="79">
        <f t="shared" si="5"/>
        <v>0.2833681178</v>
      </c>
      <c r="H15" s="79">
        <f t="shared" si="5"/>
        <v>0.2469144925</v>
      </c>
      <c r="I15" s="79">
        <f t="shared" si="5"/>
        <v>0.2164689603</v>
      </c>
      <c r="J15" s="79">
        <f t="shared" si="5"/>
        <v>0.1953604969</v>
      </c>
      <c r="K15" s="79">
        <f t="shared" si="5"/>
        <v>0.179456411</v>
      </c>
      <c r="L15" s="79">
        <f t="shared" si="5"/>
        <v>0.1639866437</v>
      </c>
      <c r="M15" s="79">
        <f t="shared" si="5"/>
        <v>0.1518656847</v>
      </c>
      <c r="N15" s="79">
        <f t="shared" si="5"/>
        <v>0.1421411184</v>
      </c>
      <c r="O15" s="80">
        <f t="shared" si="5"/>
        <v>0.1563003256</v>
      </c>
      <c r="P15" s="79">
        <f t="shared" si="5"/>
        <v>0.1457226523</v>
      </c>
      <c r="Q15" s="79">
        <f t="shared" si="5"/>
        <v>0.1371340382</v>
      </c>
      <c r="R15" s="79">
        <f t="shared" si="5"/>
        <v>0.1288017769</v>
      </c>
      <c r="S15" s="79">
        <f t="shared" si="5"/>
        <v>0.1218838391</v>
      </c>
      <c r="T15" s="79">
        <f t="shared" si="5"/>
        <v>0.1160620805</v>
      </c>
      <c r="U15" s="79">
        <f t="shared" si="5"/>
        <v>0.1100311167</v>
      </c>
      <c r="V15" s="79">
        <f t="shared" si="5"/>
        <v>0.1048915274</v>
      </c>
      <c r="W15" s="79">
        <f t="shared" si="5"/>
        <v>0.1004672858</v>
      </c>
      <c r="X15" s="79">
        <f t="shared" si="5"/>
        <v>0.09567642977</v>
      </c>
      <c r="Y15" s="79">
        <f t="shared" si="5"/>
        <v>0.09152113052</v>
      </c>
      <c r="Z15" s="81">
        <f t="shared" si="5"/>
        <v>0.08788753588</v>
      </c>
    </row>
    <row r="16" ht="15.75" customHeight="1">
      <c r="A16" s="79"/>
      <c r="B16" s="60" t="s">
        <v>65</v>
      </c>
      <c r="C16" s="82">
        <f>C14*'Costs Hypotheses'!$D$30</f>
        <v>161.025</v>
      </c>
      <c r="D16" s="83">
        <f>D14*'Costs Hypotheses'!$D$30</f>
        <v>259.729425</v>
      </c>
      <c r="E16" s="83">
        <f>E14*'Costs Hypotheses'!$D$30</f>
        <v>373.0158617</v>
      </c>
      <c r="F16" s="83">
        <f>F14*'Costs Hypotheses'!$D$30</f>
        <v>499.6503141</v>
      </c>
      <c r="G16" s="83">
        <f>G14*'Costs Hypotheses'!$D$30</f>
        <v>641.2352832</v>
      </c>
      <c r="H16" s="83">
        <f>H14*'Costs Hypotheses'!$D$30</f>
        <v>799.5655677</v>
      </c>
      <c r="I16" s="83">
        <f>I14*'Costs Hypotheses'!$D$30</f>
        <v>972.6466949</v>
      </c>
      <c r="J16" s="83">
        <f>J14*'Costs Hypotheses'!$D$30</f>
        <v>1162.663437</v>
      </c>
      <c r="K16" s="83">
        <f>K14*'Costs Hypotheses'!$D$30</f>
        <v>1371.310844</v>
      </c>
      <c r="L16" s="83">
        <f>L14*'Costs Hypotheses'!$D$30</f>
        <v>1596.187507</v>
      </c>
      <c r="M16" s="83">
        <f>M14*'Costs Hypotheses'!$D$30</f>
        <v>1838.593615</v>
      </c>
      <c r="N16" s="83">
        <f>N14*'Costs Hypotheses'!$D$30</f>
        <v>2099.933368</v>
      </c>
      <c r="O16" s="82">
        <f>O14*'Costs Hypotheses'!$D$30</f>
        <v>2428.153637</v>
      </c>
      <c r="P16" s="83">
        <f>P14*'Costs Hypotheses'!$D$30</f>
        <v>2781.990626</v>
      </c>
      <c r="Q16" s="83">
        <f>Q14*'Costs Hypotheses'!$D$30</f>
        <v>3163.496234</v>
      </c>
      <c r="R16" s="83">
        <f>R14*'Costs Hypotheses'!$D$30</f>
        <v>3570.960171</v>
      </c>
      <c r="S16" s="83">
        <f>S14*'Costs Hypotheses'!$D$30</f>
        <v>4006.202505</v>
      </c>
      <c r="T16" s="83">
        <f>T14*'Costs Hypotheses'!$D$30</f>
        <v>4471.170703</v>
      </c>
      <c r="U16" s="83">
        <f>U14*'Costs Hypotheses'!$D$30</f>
        <v>4963.138609</v>
      </c>
      <c r="V16" s="83">
        <f>V14*'Costs Hypotheses'!$D$30</f>
        <v>5483.729798</v>
      </c>
      <c r="W16" s="83">
        <f>W14*'Costs Hypotheses'!$D$30</f>
        <v>6034.665247</v>
      </c>
      <c r="X16" s="83">
        <f>X14*'Costs Hypotheses'!$D$30</f>
        <v>6612.040473</v>
      </c>
      <c r="Y16" s="83">
        <f>Y14*'Costs Hypotheses'!$D$30</f>
        <v>7217.181892</v>
      </c>
      <c r="Z16" s="84">
        <f>Z14*'Costs Hypotheses'!$D$30</f>
        <v>7851.482224</v>
      </c>
    </row>
    <row r="17" ht="15.75" customHeight="1">
      <c r="A17" s="85"/>
      <c r="B17" s="85" t="s">
        <v>66</v>
      </c>
      <c r="C17" s="86">
        <f t="shared" ref="C17:Z17" si="6">C14-C16</f>
        <v>5206.475</v>
      </c>
      <c r="D17" s="85">
        <f t="shared" si="6"/>
        <v>8397.918075</v>
      </c>
      <c r="E17" s="85">
        <f t="shared" si="6"/>
        <v>12060.8462</v>
      </c>
      <c r="F17" s="85">
        <f t="shared" si="6"/>
        <v>16155.36016</v>
      </c>
      <c r="G17" s="85">
        <f t="shared" si="6"/>
        <v>20733.27416</v>
      </c>
      <c r="H17" s="85">
        <f t="shared" si="6"/>
        <v>25852.62002</v>
      </c>
      <c r="I17" s="85">
        <f t="shared" si="6"/>
        <v>31448.9098</v>
      </c>
      <c r="J17" s="85">
        <f t="shared" si="6"/>
        <v>37592.78445</v>
      </c>
      <c r="K17" s="85">
        <f t="shared" si="6"/>
        <v>44339.05062</v>
      </c>
      <c r="L17" s="85">
        <f t="shared" si="6"/>
        <v>51610.06272</v>
      </c>
      <c r="M17" s="85">
        <f t="shared" si="6"/>
        <v>59447.86023</v>
      </c>
      <c r="N17" s="85">
        <f t="shared" si="6"/>
        <v>67897.84557</v>
      </c>
      <c r="O17" s="86">
        <f t="shared" si="6"/>
        <v>78510.30094</v>
      </c>
      <c r="P17" s="85">
        <f t="shared" si="6"/>
        <v>89951.03023</v>
      </c>
      <c r="Q17" s="85">
        <f t="shared" si="6"/>
        <v>102286.3782</v>
      </c>
      <c r="R17" s="85">
        <f t="shared" si="6"/>
        <v>115461.0455</v>
      </c>
      <c r="S17" s="85">
        <f t="shared" si="6"/>
        <v>129533.881</v>
      </c>
      <c r="T17" s="85">
        <f t="shared" si="6"/>
        <v>144567.8527</v>
      </c>
      <c r="U17" s="85">
        <f t="shared" si="6"/>
        <v>160474.815</v>
      </c>
      <c r="V17" s="85">
        <f t="shared" si="6"/>
        <v>177307.2635</v>
      </c>
      <c r="W17" s="85">
        <f t="shared" si="6"/>
        <v>195120.843</v>
      </c>
      <c r="X17" s="85">
        <f t="shared" si="6"/>
        <v>213789.3086</v>
      </c>
      <c r="Y17" s="85">
        <f t="shared" si="6"/>
        <v>233355.5478</v>
      </c>
      <c r="Z17" s="87">
        <f t="shared" si="6"/>
        <v>253864.5919</v>
      </c>
    </row>
    <row r="18" ht="15.75" customHeight="1">
      <c r="A18" s="23"/>
      <c r="B18" s="23"/>
      <c r="C18" s="56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57"/>
      <c r="O18" s="56"/>
      <c r="Z18" s="57"/>
    </row>
    <row r="19" ht="15.75" customHeight="1">
      <c r="A19" s="58" t="s">
        <v>67</v>
      </c>
    </row>
    <row r="20" ht="9.75" customHeight="1">
      <c r="A20" s="23"/>
      <c r="B20" s="23"/>
      <c r="C20" s="56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57"/>
      <c r="O20" s="56"/>
      <c r="Z20" s="57"/>
    </row>
    <row r="21" ht="15.75" customHeight="1">
      <c r="A21" s="42" t="s">
        <v>24</v>
      </c>
      <c r="B21" s="23"/>
      <c r="C21" s="56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57"/>
      <c r="O21" s="56"/>
      <c r="Z21" s="57"/>
    </row>
    <row r="22" ht="15.75" customHeight="1">
      <c r="A22" s="23"/>
      <c r="B22" s="44" t="str">
        <f>+CONCATENATE('Costs Hypotheses'!B3," - ",'Costs Hypotheses'!C3)</f>
        <v>CEO - David Youssef</v>
      </c>
      <c r="C22" s="88">
        <f>if('Costs Hypotheses'!$E3&lt;=C$3,('Costs Hypotheses'!$D3/12),0)</f>
        <v>10000</v>
      </c>
      <c r="D22" s="49">
        <f>if('Costs Hypotheses'!$E3&lt;=D$3,('Costs Hypotheses'!$D3/12),0)</f>
        <v>10000</v>
      </c>
      <c r="E22" s="49">
        <f>if('Costs Hypotheses'!$E3&lt;=E$3,('Costs Hypotheses'!$D3/12),0)</f>
        <v>10000</v>
      </c>
      <c r="F22" s="49">
        <f>if('Costs Hypotheses'!$E3&lt;=F$3,('Costs Hypotheses'!$D3/12),0)</f>
        <v>10000</v>
      </c>
      <c r="G22" s="49">
        <f>if('Costs Hypotheses'!$E3&lt;=G$3,('Costs Hypotheses'!$D3/12),0)</f>
        <v>10000</v>
      </c>
      <c r="H22" s="49">
        <f>if('Costs Hypotheses'!$E3&lt;=H$3,('Costs Hypotheses'!$D3/12),0)</f>
        <v>10000</v>
      </c>
      <c r="I22" s="49">
        <f>if('Costs Hypotheses'!$E3&lt;=I$3,('Costs Hypotheses'!$D3/12),0)</f>
        <v>10000</v>
      </c>
      <c r="J22" s="49">
        <f>if('Costs Hypotheses'!$E3&lt;=J$3,('Costs Hypotheses'!$D3/12),0)</f>
        <v>10000</v>
      </c>
      <c r="K22" s="49">
        <f>if('Costs Hypotheses'!$E3&lt;=K$3,('Costs Hypotheses'!$D3/12),0)</f>
        <v>10000</v>
      </c>
      <c r="L22" s="49">
        <f>if('Costs Hypotheses'!$E3&lt;=L$3,('Costs Hypotheses'!$D3/12),0)</f>
        <v>10000</v>
      </c>
      <c r="M22" s="49">
        <f>if('Costs Hypotheses'!$E3&lt;=M$3,('Costs Hypotheses'!$D3/12),0)</f>
        <v>10000</v>
      </c>
      <c r="N22" s="49">
        <f>if('Costs Hypotheses'!$E3&lt;=N$3,('Costs Hypotheses'!$D3/12),0)</f>
        <v>10000</v>
      </c>
      <c r="O22" s="88">
        <f>if('Costs Hypotheses'!$E3&lt;=O$3,('Costs Hypotheses'!$D3/12),0)</f>
        <v>10000</v>
      </c>
      <c r="P22" s="49">
        <f>if('Costs Hypotheses'!$E3&lt;=P$3,('Costs Hypotheses'!$D3/12),0)</f>
        <v>10000</v>
      </c>
      <c r="Q22" s="49">
        <f>if('Costs Hypotheses'!$E3&lt;=Q$3,('Costs Hypotheses'!$D3/12),0)</f>
        <v>10000</v>
      </c>
      <c r="R22" s="49">
        <f>if('Costs Hypotheses'!$E3&lt;=R$3,('Costs Hypotheses'!$D3/12),0)</f>
        <v>10000</v>
      </c>
      <c r="S22" s="49">
        <f>if('Costs Hypotheses'!$E3&lt;=S$3,('Costs Hypotheses'!$D3/12),0)</f>
        <v>10000</v>
      </c>
      <c r="T22" s="49">
        <f>if('Costs Hypotheses'!$E3&lt;=T$3,('Costs Hypotheses'!$D3/12),0)</f>
        <v>10000</v>
      </c>
      <c r="U22" s="49">
        <f>if('Costs Hypotheses'!$E3&lt;=U$3,('Costs Hypotheses'!$D3/12),0)</f>
        <v>10000</v>
      </c>
      <c r="V22" s="49">
        <f>if('Costs Hypotheses'!$E3&lt;=V$3,('Costs Hypotheses'!$D3/12),0)</f>
        <v>10000</v>
      </c>
      <c r="W22" s="49">
        <f>if('Costs Hypotheses'!$E3&lt;=W$3,('Costs Hypotheses'!$D3/12),0)</f>
        <v>10000</v>
      </c>
      <c r="X22" s="49">
        <f>if('Costs Hypotheses'!$E3&lt;=X$3,('Costs Hypotheses'!$D3/12),0)</f>
        <v>10000</v>
      </c>
      <c r="Y22" s="49">
        <f>if('Costs Hypotheses'!$E3&lt;=Y$3,('Costs Hypotheses'!$D3/12),0)</f>
        <v>10000</v>
      </c>
      <c r="Z22" s="89">
        <f>if('Costs Hypotheses'!$E3&lt;=Z$3,('Costs Hypotheses'!$D3/12),0)</f>
        <v>10000</v>
      </c>
    </row>
    <row r="23" ht="15.75" customHeight="1">
      <c r="A23" s="23"/>
      <c r="B23" s="44" t="str">
        <f>+CONCATENATE('Costs Hypotheses'!B4," - ",'Costs Hypotheses'!C4)</f>
        <v>Engineer - Igor Malovitsa (CTO)</v>
      </c>
      <c r="C23" s="88">
        <f>if('Costs Hypotheses'!$E4&lt;=C$3,('Costs Hypotheses'!$D4/12),0)</f>
        <v>10000</v>
      </c>
      <c r="D23" s="49">
        <f>if('Costs Hypotheses'!$E4&lt;=D$3,('Costs Hypotheses'!$D4/12),0)</f>
        <v>10000</v>
      </c>
      <c r="E23" s="49">
        <f>if('Costs Hypotheses'!$E4&lt;=E$3,('Costs Hypotheses'!$D4/12),0)</f>
        <v>10000</v>
      </c>
      <c r="F23" s="49">
        <f>if('Costs Hypotheses'!$E4&lt;=F$3,('Costs Hypotheses'!$D4/12),0)</f>
        <v>10000</v>
      </c>
      <c r="G23" s="49">
        <f>if('Costs Hypotheses'!$E4&lt;=G$3,('Costs Hypotheses'!$D4/12),0)</f>
        <v>10000</v>
      </c>
      <c r="H23" s="49">
        <f>if('Costs Hypotheses'!$E4&lt;=H$3,('Costs Hypotheses'!$D4/12),0)</f>
        <v>10000</v>
      </c>
      <c r="I23" s="49">
        <f>if('Costs Hypotheses'!$E4&lt;=I$3,('Costs Hypotheses'!$D4/12),0)</f>
        <v>10000</v>
      </c>
      <c r="J23" s="49">
        <f>if('Costs Hypotheses'!$E4&lt;=J$3,('Costs Hypotheses'!$D4/12),0)</f>
        <v>10000</v>
      </c>
      <c r="K23" s="49">
        <f>if('Costs Hypotheses'!$E4&lt;=K$3,('Costs Hypotheses'!$D4/12),0)</f>
        <v>10000</v>
      </c>
      <c r="L23" s="49">
        <f>if('Costs Hypotheses'!$E4&lt;=L$3,('Costs Hypotheses'!$D4/12),0)</f>
        <v>10000</v>
      </c>
      <c r="M23" s="49">
        <f>if('Costs Hypotheses'!$E4&lt;=M$3,('Costs Hypotheses'!$D4/12),0)</f>
        <v>10000</v>
      </c>
      <c r="N23" s="49">
        <f>if('Costs Hypotheses'!$E4&lt;=N$3,('Costs Hypotheses'!$D4/12),0)</f>
        <v>10000</v>
      </c>
      <c r="O23" s="88">
        <f>if('Costs Hypotheses'!$E4&lt;=O$3,('Costs Hypotheses'!$D4/12),0)</f>
        <v>10000</v>
      </c>
      <c r="P23" s="49">
        <f>if('Costs Hypotheses'!$E4&lt;=P$3,('Costs Hypotheses'!$D4/12),0)</f>
        <v>10000</v>
      </c>
      <c r="Q23" s="49">
        <f>if('Costs Hypotheses'!$E4&lt;=Q$3,('Costs Hypotheses'!$D4/12),0)</f>
        <v>10000</v>
      </c>
      <c r="R23" s="49">
        <f>if('Costs Hypotheses'!$E4&lt;=R$3,('Costs Hypotheses'!$D4/12),0)</f>
        <v>10000</v>
      </c>
      <c r="S23" s="49">
        <f>if('Costs Hypotheses'!$E4&lt;=S$3,('Costs Hypotheses'!$D4/12),0)</f>
        <v>10000</v>
      </c>
      <c r="T23" s="49">
        <f>if('Costs Hypotheses'!$E4&lt;=T$3,('Costs Hypotheses'!$D4/12),0)</f>
        <v>10000</v>
      </c>
      <c r="U23" s="49">
        <f>if('Costs Hypotheses'!$E4&lt;=U$3,('Costs Hypotheses'!$D4/12),0)</f>
        <v>10000</v>
      </c>
      <c r="V23" s="49">
        <f>if('Costs Hypotheses'!$E4&lt;=V$3,('Costs Hypotheses'!$D4/12),0)</f>
        <v>10000</v>
      </c>
      <c r="W23" s="49">
        <f>if('Costs Hypotheses'!$E4&lt;=W$3,('Costs Hypotheses'!$D4/12),0)</f>
        <v>10000</v>
      </c>
      <c r="X23" s="49">
        <f>if('Costs Hypotheses'!$E4&lt;=X$3,('Costs Hypotheses'!$D4/12),0)</f>
        <v>10000</v>
      </c>
      <c r="Y23" s="49">
        <f>if('Costs Hypotheses'!$E4&lt;=Y$3,('Costs Hypotheses'!$D4/12),0)</f>
        <v>10000</v>
      </c>
      <c r="Z23" s="89">
        <f>if('Costs Hypotheses'!$E4&lt;=Z$3,('Costs Hypotheses'!$D4/12),0)</f>
        <v>10000</v>
      </c>
    </row>
    <row r="24" ht="15.75" customHeight="1">
      <c r="A24" s="23"/>
      <c r="B24" s="44" t="str">
        <f>+CONCATENATE('Costs Hypotheses'!B5," - ",'Costs Hypotheses'!C5)</f>
        <v>Engineer - Eng Hire #1</v>
      </c>
      <c r="C24" s="88">
        <f>if('Costs Hypotheses'!$E5&lt;=C$3,('Costs Hypotheses'!$D5/12),0)</f>
        <v>0</v>
      </c>
      <c r="D24" s="49">
        <f>if('Costs Hypotheses'!$E5&lt;=D$3,('Costs Hypotheses'!$D5/12),0)</f>
        <v>0</v>
      </c>
      <c r="E24" s="49">
        <f>if('Costs Hypotheses'!$E5&lt;=E$3,('Costs Hypotheses'!$D5/12),0)</f>
        <v>0</v>
      </c>
      <c r="F24" s="49">
        <f>if('Costs Hypotheses'!$E5&lt;=F$3,('Costs Hypotheses'!$D5/12),0)</f>
        <v>10000</v>
      </c>
      <c r="G24" s="49">
        <f>if('Costs Hypotheses'!$E5&lt;=G$3,('Costs Hypotheses'!$D5/12),0)</f>
        <v>10000</v>
      </c>
      <c r="H24" s="49">
        <f>if('Costs Hypotheses'!$E5&lt;=H$3,('Costs Hypotheses'!$D5/12),0)</f>
        <v>10000</v>
      </c>
      <c r="I24" s="49">
        <f>if('Costs Hypotheses'!$E5&lt;=I$3,('Costs Hypotheses'!$D5/12),0)</f>
        <v>10000</v>
      </c>
      <c r="J24" s="49">
        <f>if('Costs Hypotheses'!$E5&lt;=J$3,('Costs Hypotheses'!$D5/12),0)</f>
        <v>10000</v>
      </c>
      <c r="K24" s="49">
        <f>if('Costs Hypotheses'!$E5&lt;=K$3,('Costs Hypotheses'!$D5/12),0)</f>
        <v>10000</v>
      </c>
      <c r="L24" s="49">
        <f>if('Costs Hypotheses'!$E5&lt;=L$3,('Costs Hypotheses'!$D5/12),0)</f>
        <v>10000</v>
      </c>
      <c r="M24" s="49">
        <f>if('Costs Hypotheses'!$E5&lt;=M$3,('Costs Hypotheses'!$D5/12),0)</f>
        <v>10000</v>
      </c>
      <c r="N24" s="49">
        <f>if('Costs Hypotheses'!$E5&lt;=N$3,('Costs Hypotheses'!$D5/12),0)</f>
        <v>10000</v>
      </c>
      <c r="O24" s="88">
        <f>if('Costs Hypotheses'!$E5&lt;=O$3,('Costs Hypotheses'!$D5/12),0)</f>
        <v>10000</v>
      </c>
      <c r="P24" s="49">
        <f>if('Costs Hypotheses'!$E5&lt;=P$3,('Costs Hypotheses'!$D5/12),0)</f>
        <v>10000</v>
      </c>
      <c r="Q24" s="49">
        <f>if('Costs Hypotheses'!$E5&lt;=Q$3,('Costs Hypotheses'!$D5/12),0)</f>
        <v>10000</v>
      </c>
      <c r="R24" s="49">
        <f>if('Costs Hypotheses'!$E5&lt;=R$3,('Costs Hypotheses'!$D5/12),0)</f>
        <v>10000</v>
      </c>
      <c r="S24" s="49">
        <f>if('Costs Hypotheses'!$E5&lt;=S$3,('Costs Hypotheses'!$D5/12),0)</f>
        <v>10000</v>
      </c>
      <c r="T24" s="49">
        <f>if('Costs Hypotheses'!$E5&lt;=T$3,('Costs Hypotheses'!$D5/12),0)</f>
        <v>10000</v>
      </c>
      <c r="U24" s="49">
        <f>if('Costs Hypotheses'!$E5&lt;=U$3,('Costs Hypotheses'!$D5/12),0)</f>
        <v>10000</v>
      </c>
      <c r="V24" s="49">
        <f>if('Costs Hypotheses'!$E5&lt;=V$3,('Costs Hypotheses'!$D5/12),0)</f>
        <v>10000</v>
      </c>
      <c r="W24" s="49">
        <f>if('Costs Hypotheses'!$E5&lt;=W$3,('Costs Hypotheses'!$D5/12),0)</f>
        <v>10000</v>
      </c>
      <c r="X24" s="49">
        <f>if('Costs Hypotheses'!$E5&lt;=X$3,('Costs Hypotheses'!$D5/12),0)</f>
        <v>10000</v>
      </c>
      <c r="Y24" s="49">
        <f>if('Costs Hypotheses'!$E5&lt;=Y$3,('Costs Hypotheses'!$D5/12),0)</f>
        <v>10000</v>
      </c>
      <c r="Z24" s="89">
        <f>if('Costs Hypotheses'!$E5&lt;=Z$3,('Costs Hypotheses'!$D5/12),0)</f>
        <v>10000</v>
      </c>
    </row>
    <row r="25" ht="15.75" customHeight="1">
      <c r="A25" s="23"/>
      <c r="B25" s="44" t="str">
        <f>+CONCATENATE('Costs Hypotheses'!B6," - ",'Costs Hypotheses'!C6)</f>
        <v>Engineer - Eng Hire #2</v>
      </c>
      <c r="C25" s="88">
        <f>if('Costs Hypotheses'!$E6&lt;=C$3,('Costs Hypotheses'!$D6/12),0)</f>
        <v>0</v>
      </c>
      <c r="D25" s="49">
        <f>if('Costs Hypotheses'!$E6&lt;=D$3,('Costs Hypotheses'!$D6/12),0)</f>
        <v>0</v>
      </c>
      <c r="E25" s="49">
        <f>if('Costs Hypotheses'!$E6&lt;=E$3,('Costs Hypotheses'!$D6/12),0)</f>
        <v>0</v>
      </c>
      <c r="F25" s="49">
        <f>if('Costs Hypotheses'!$E6&lt;=F$3,('Costs Hypotheses'!$D6/12),0)</f>
        <v>0</v>
      </c>
      <c r="G25" s="49">
        <f>if('Costs Hypotheses'!$E6&lt;=G$3,('Costs Hypotheses'!$D6/12),0)</f>
        <v>0</v>
      </c>
      <c r="H25" s="49">
        <f>if('Costs Hypotheses'!$E6&lt;=H$3,('Costs Hypotheses'!$D6/12),0)</f>
        <v>0</v>
      </c>
      <c r="I25" s="49">
        <f>if('Costs Hypotheses'!$E6&lt;=I$3,('Costs Hypotheses'!$D6/12),0)</f>
        <v>0</v>
      </c>
      <c r="J25" s="49">
        <f>if('Costs Hypotheses'!$E6&lt;=J$3,('Costs Hypotheses'!$D6/12),0)</f>
        <v>0</v>
      </c>
      <c r="K25" s="49">
        <f>if('Costs Hypotheses'!$E6&lt;=K$3,('Costs Hypotheses'!$D6/12),0)</f>
        <v>0</v>
      </c>
      <c r="L25" s="49">
        <f>if('Costs Hypotheses'!$E6&lt;=L$3,('Costs Hypotheses'!$D6/12),0)</f>
        <v>10000</v>
      </c>
      <c r="M25" s="49">
        <f>if('Costs Hypotheses'!$E6&lt;=M$3,('Costs Hypotheses'!$D6/12),0)</f>
        <v>10000</v>
      </c>
      <c r="N25" s="49">
        <f>if('Costs Hypotheses'!$E6&lt;=N$3,('Costs Hypotheses'!$D6/12),0)</f>
        <v>10000</v>
      </c>
      <c r="O25" s="88">
        <f>if('Costs Hypotheses'!$E6&lt;=O$3,('Costs Hypotheses'!$D6/12),0)</f>
        <v>10000</v>
      </c>
      <c r="P25" s="49">
        <f>if('Costs Hypotheses'!$E6&lt;=P$3,('Costs Hypotheses'!$D6/12),0)</f>
        <v>10000</v>
      </c>
      <c r="Q25" s="49">
        <f>if('Costs Hypotheses'!$E6&lt;=Q$3,('Costs Hypotheses'!$D6/12),0)</f>
        <v>10000</v>
      </c>
      <c r="R25" s="49">
        <f>if('Costs Hypotheses'!$E6&lt;=R$3,('Costs Hypotheses'!$D6/12),0)</f>
        <v>10000</v>
      </c>
      <c r="S25" s="49">
        <f>if('Costs Hypotheses'!$E6&lt;=S$3,('Costs Hypotheses'!$D6/12),0)</f>
        <v>10000</v>
      </c>
      <c r="T25" s="49">
        <f>if('Costs Hypotheses'!$E6&lt;=T$3,('Costs Hypotheses'!$D6/12),0)</f>
        <v>10000</v>
      </c>
      <c r="U25" s="49">
        <f>if('Costs Hypotheses'!$E6&lt;=U$3,('Costs Hypotheses'!$D6/12),0)</f>
        <v>10000</v>
      </c>
      <c r="V25" s="49">
        <f>if('Costs Hypotheses'!$E6&lt;=V$3,('Costs Hypotheses'!$D6/12),0)</f>
        <v>10000</v>
      </c>
      <c r="W25" s="49">
        <f>if('Costs Hypotheses'!$E6&lt;=W$3,('Costs Hypotheses'!$D6/12),0)</f>
        <v>10000</v>
      </c>
      <c r="X25" s="49">
        <f>if('Costs Hypotheses'!$E6&lt;=X$3,('Costs Hypotheses'!$D6/12),0)</f>
        <v>10000</v>
      </c>
      <c r="Y25" s="49">
        <f>if('Costs Hypotheses'!$E6&lt;=Y$3,('Costs Hypotheses'!$D6/12),0)</f>
        <v>10000</v>
      </c>
      <c r="Z25" s="89">
        <f>if('Costs Hypotheses'!$E6&lt;=Z$3,('Costs Hypotheses'!$D6/12),0)</f>
        <v>10000</v>
      </c>
    </row>
    <row r="26" ht="15.75" customHeight="1">
      <c r="A26" s="23"/>
      <c r="B26" s="44" t="str">
        <f>+CONCATENATE('Costs Hypotheses'!B7," - ",'Costs Hypotheses'!C7)</f>
        <v> - </v>
      </c>
      <c r="C26" s="56">
        <f>if('Costs Hypotheses'!$E7&lt;=C$3,('Costs Hypotheses'!$D7/12),0)</f>
        <v>0</v>
      </c>
      <c r="D26" s="44">
        <f>if('Costs Hypotheses'!$E7&lt;=D$3,('Costs Hypotheses'!$D7/12),0)</f>
        <v>0</v>
      </c>
      <c r="E26" s="44">
        <f>if('Costs Hypotheses'!$E7&lt;=E$3,('Costs Hypotheses'!$D7/12),0)</f>
        <v>0</v>
      </c>
      <c r="F26" s="44">
        <f>if('Costs Hypotheses'!$E7&lt;=F$3,('Costs Hypotheses'!$D7/12),0)</f>
        <v>0</v>
      </c>
      <c r="G26" s="49">
        <f>if('Costs Hypotheses'!$E7&lt;=G$3,('Costs Hypotheses'!$D7/12),0)</f>
        <v>0</v>
      </c>
      <c r="H26" s="49">
        <f>if('Costs Hypotheses'!$E7&lt;=H$3,('Costs Hypotheses'!$D7/12),0)</f>
        <v>0</v>
      </c>
      <c r="I26" s="49">
        <f>if('Costs Hypotheses'!$E7&lt;=I$3,('Costs Hypotheses'!$D7/12),0)</f>
        <v>0</v>
      </c>
      <c r="J26" s="49">
        <f>if('Costs Hypotheses'!$E7&lt;=J$3,('Costs Hypotheses'!$D7/12),0)</f>
        <v>0</v>
      </c>
      <c r="K26" s="49">
        <f>if('Costs Hypotheses'!$E7&lt;=K$3,('Costs Hypotheses'!$D7/12),0)</f>
        <v>0</v>
      </c>
      <c r="L26" s="49">
        <f>if('Costs Hypotheses'!$E7&lt;=L$3,('Costs Hypotheses'!$D7/12),0)</f>
        <v>0</v>
      </c>
      <c r="M26" s="49">
        <f>if('Costs Hypotheses'!$E7&lt;=M$3,('Costs Hypotheses'!$D7/12),0)</f>
        <v>0</v>
      </c>
      <c r="N26" s="49">
        <f>if('Costs Hypotheses'!$E7&lt;=N$3,('Costs Hypotheses'!$D7/12),0)</f>
        <v>0</v>
      </c>
      <c r="O26" s="88">
        <f>if('Costs Hypotheses'!$E7&lt;=O$3,('Costs Hypotheses'!$D7/12),0)</f>
        <v>0</v>
      </c>
      <c r="P26" s="49">
        <f>if('Costs Hypotheses'!$E7&lt;=P$3,('Costs Hypotheses'!$D7/12),0)</f>
        <v>0</v>
      </c>
      <c r="Q26" s="49">
        <f>if('Costs Hypotheses'!$E7&lt;=Q$3,('Costs Hypotheses'!$D7/12),0)</f>
        <v>0</v>
      </c>
      <c r="R26" s="49">
        <f>if('Costs Hypotheses'!$E7&lt;=R$3,('Costs Hypotheses'!$D7/12),0)</f>
        <v>0</v>
      </c>
      <c r="S26" s="49">
        <f>if('Costs Hypotheses'!$E7&lt;=S$3,('Costs Hypotheses'!$D7/12),0)</f>
        <v>0</v>
      </c>
      <c r="T26" s="49">
        <f>if('Costs Hypotheses'!$E7&lt;=T$3,('Costs Hypotheses'!$D7/12),0)</f>
        <v>0</v>
      </c>
      <c r="U26" s="49">
        <f>if('Costs Hypotheses'!$E7&lt;=U$3,('Costs Hypotheses'!$D7/12),0)</f>
        <v>0</v>
      </c>
      <c r="V26" s="49">
        <f>if('Costs Hypotheses'!$E7&lt;=V$3,('Costs Hypotheses'!$D7/12),0)</f>
        <v>0</v>
      </c>
      <c r="W26" s="49">
        <f>if('Costs Hypotheses'!$E7&lt;=W$3,('Costs Hypotheses'!$D7/12),0)</f>
        <v>0</v>
      </c>
      <c r="X26" s="49">
        <f>if('Costs Hypotheses'!$E7&lt;=X$3,('Costs Hypotheses'!$D7/12),0)</f>
        <v>0</v>
      </c>
      <c r="Y26" s="49">
        <f>if('Costs Hypotheses'!$E7&lt;=Y$3,('Costs Hypotheses'!$D7/12),0)</f>
        <v>0</v>
      </c>
      <c r="Z26" s="89">
        <f>if('Costs Hypotheses'!$E7&lt;=Z$3,('Costs Hypotheses'!$D7/12),0)</f>
        <v>0</v>
      </c>
    </row>
    <row r="27" ht="15.75" customHeight="1">
      <c r="A27" s="23"/>
      <c r="B27" s="44" t="str">
        <f>+CONCATENATE('Costs Hypotheses'!B8," - ",'Costs Hypotheses'!C8)</f>
        <v> - </v>
      </c>
      <c r="C27" s="56">
        <f>if('Costs Hypotheses'!$E8&lt;=C$3,('Costs Hypotheses'!$D8/12),0)</f>
        <v>0</v>
      </c>
      <c r="D27" s="44">
        <f>if('Costs Hypotheses'!$E8&lt;=D$3,('Costs Hypotheses'!$D8/12),0)</f>
        <v>0</v>
      </c>
      <c r="E27" s="44">
        <f>if('Costs Hypotheses'!$E8&lt;=E$3,('Costs Hypotheses'!$D8/12),0)</f>
        <v>0</v>
      </c>
      <c r="F27" s="44">
        <f>if('Costs Hypotheses'!$E8&lt;=F$3,('Costs Hypotheses'!$D8/12),0)</f>
        <v>0</v>
      </c>
      <c r="G27" s="49">
        <f>if('Costs Hypotheses'!$E8&lt;=G$3,('Costs Hypotheses'!$D8/12),0)</f>
        <v>0</v>
      </c>
      <c r="H27" s="49">
        <f>if('Costs Hypotheses'!$E8&lt;=H$3,('Costs Hypotheses'!$D8/12),0)</f>
        <v>0</v>
      </c>
      <c r="I27" s="49">
        <f>if('Costs Hypotheses'!$E8&lt;=I$3,('Costs Hypotheses'!$D8/12),0)</f>
        <v>0</v>
      </c>
      <c r="J27" s="49">
        <f>if('Costs Hypotheses'!$E8&lt;=J$3,('Costs Hypotheses'!$D8/12),0)</f>
        <v>0</v>
      </c>
      <c r="K27" s="49">
        <f>if('Costs Hypotheses'!$E8&lt;=K$3,('Costs Hypotheses'!$D8/12),0)</f>
        <v>0</v>
      </c>
      <c r="L27" s="49">
        <f>if('Costs Hypotheses'!$E8&lt;=L$3,('Costs Hypotheses'!$D8/12),0)</f>
        <v>0</v>
      </c>
      <c r="M27" s="49">
        <f>if('Costs Hypotheses'!$E8&lt;=M$3,('Costs Hypotheses'!$D8/12),0)</f>
        <v>0</v>
      </c>
      <c r="N27" s="49">
        <f>if('Costs Hypotheses'!$E8&lt;=N$3,('Costs Hypotheses'!$D8/12),0)</f>
        <v>0</v>
      </c>
      <c r="O27" s="88">
        <f>if('Costs Hypotheses'!$E8&lt;=O$3,('Costs Hypotheses'!$D8/12),0)</f>
        <v>0</v>
      </c>
      <c r="P27" s="49">
        <f>if('Costs Hypotheses'!$E8&lt;=P$3,('Costs Hypotheses'!$D8/12),0)</f>
        <v>0</v>
      </c>
      <c r="Q27" s="49">
        <f>if('Costs Hypotheses'!$E8&lt;=Q$3,('Costs Hypotheses'!$D8/12),0)</f>
        <v>0</v>
      </c>
      <c r="R27" s="49">
        <f>if('Costs Hypotheses'!$E8&lt;=R$3,('Costs Hypotheses'!$D8/12),0)</f>
        <v>0</v>
      </c>
      <c r="S27" s="49">
        <f>if('Costs Hypotheses'!$E8&lt;=S$3,('Costs Hypotheses'!$D8/12),0)</f>
        <v>0</v>
      </c>
      <c r="T27" s="49">
        <f>if('Costs Hypotheses'!$E8&lt;=T$3,('Costs Hypotheses'!$D8/12),0)</f>
        <v>0</v>
      </c>
      <c r="U27" s="49">
        <f>if('Costs Hypotheses'!$E8&lt;=U$3,('Costs Hypotheses'!$D8/12),0)</f>
        <v>0</v>
      </c>
      <c r="V27" s="49">
        <f>if('Costs Hypotheses'!$E8&lt;=V$3,('Costs Hypotheses'!$D8/12),0)</f>
        <v>0</v>
      </c>
      <c r="W27" s="49">
        <f>if('Costs Hypotheses'!$E8&lt;=W$3,('Costs Hypotheses'!$D8/12),0)</f>
        <v>0</v>
      </c>
      <c r="X27" s="49">
        <f>if('Costs Hypotheses'!$E8&lt;=X$3,('Costs Hypotheses'!$D8/12),0)</f>
        <v>0</v>
      </c>
      <c r="Y27" s="49">
        <f>if('Costs Hypotheses'!$E8&lt;=Y$3,('Costs Hypotheses'!$D8/12),0)</f>
        <v>0</v>
      </c>
      <c r="Z27" s="89">
        <f>if('Costs Hypotheses'!$E8&lt;=Z$3,('Costs Hypotheses'!$D8/12),0)</f>
        <v>0</v>
      </c>
    </row>
    <row r="28" ht="15.75" customHeight="1">
      <c r="A28" s="23"/>
      <c r="B28" s="44" t="str">
        <f>+CONCATENATE('Costs Hypotheses'!B9," - ",'Costs Hypotheses'!C9)</f>
        <v> - </v>
      </c>
      <c r="C28" s="56">
        <f>if('Costs Hypotheses'!$E9&lt;=C$3,('Costs Hypotheses'!$D9/12),0)</f>
        <v>0</v>
      </c>
      <c r="D28" s="44">
        <f>if('Costs Hypotheses'!$E9&lt;=D$3,('Costs Hypotheses'!$D9/12),0)</f>
        <v>0</v>
      </c>
      <c r="E28" s="44">
        <f>if('Costs Hypotheses'!$E9&lt;=E$3,('Costs Hypotheses'!$D9/12),0)</f>
        <v>0</v>
      </c>
      <c r="F28" s="44">
        <f>if('Costs Hypotheses'!$E9&lt;=F$3,('Costs Hypotheses'!$D9/12),0)</f>
        <v>0</v>
      </c>
      <c r="G28" s="44">
        <f>if('Costs Hypotheses'!$E9&lt;=G$3,('Costs Hypotheses'!$D9/12),0)</f>
        <v>0</v>
      </c>
      <c r="H28" s="44">
        <f>if('Costs Hypotheses'!$E9&lt;=H$3,('Costs Hypotheses'!$D9/12),0)</f>
        <v>0</v>
      </c>
      <c r="I28" s="44">
        <f>if('Costs Hypotheses'!$E9&lt;=I$3,('Costs Hypotheses'!$D9/12),0)</f>
        <v>0</v>
      </c>
      <c r="J28" s="44">
        <f>if('Costs Hypotheses'!$E9&lt;=J$3,('Costs Hypotheses'!$D9/12),0)</f>
        <v>0</v>
      </c>
      <c r="K28" s="44">
        <f>if('Costs Hypotheses'!$E9&lt;=K$3,('Costs Hypotheses'!$D9/12),0)</f>
        <v>0</v>
      </c>
      <c r="L28" s="44">
        <f>if('Costs Hypotheses'!$E9&lt;=L$3,('Costs Hypotheses'!$D9/12),0)</f>
        <v>0</v>
      </c>
      <c r="M28" s="44">
        <f>if('Costs Hypotheses'!$E9&lt;=M$3,('Costs Hypotheses'!$D9/12),0)</f>
        <v>0</v>
      </c>
      <c r="N28" s="44">
        <f>if('Costs Hypotheses'!$E9&lt;=N$3,('Costs Hypotheses'!$D9/12),0)</f>
        <v>0</v>
      </c>
      <c r="O28" s="88">
        <f>if('Costs Hypotheses'!$E9&lt;=O$3,('Costs Hypotheses'!$D9/12),0)</f>
        <v>0</v>
      </c>
      <c r="P28" s="49">
        <f>if('Costs Hypotheses'!$E9&lt;=P$3,('Costs Hypotheses'!$D9/12),0)</f>
        <v>0</v>
      </c>
      <c r="Q28" s="49">
        <f>if('Costs Hypotheses'!$E9&lt;=Q$3,('Costs Hypotheses'!$D9/12),0)</f>
        <v>0</v>
      </c>
      <c r="R28" s="49">
        <f>if('Costs Hypotheses'!$E9&lt;=R$3,('Costs Hypotheses'!$D9/12),0)</f>
        <v>0</v>
      </c>
      <c r="S28" s="49">
        <f>if('Costs Hypotheses'!$E9&lt;=S$3,('Costs Hypotheses'!$D9/12),0)</f>
        <v>0</v>
      </c>
      <c r="T28" s="49">
        <f>if('Costs Hypotheses'!$E9&lt;=T$3,('Costs Hypotheses'!$D9/12),0)</f>
        <v>0</v>
      </c>
      <c r="U28" s="49">
        <f>if('Costs Hypotheses'!$E9&lt;=U$3,('Costs Hypotheses'!$D9/12),0)</f>
        <v>0</v>
      </c>
      <c r="V28" s="49">
        <f>if('Costs Hypotheses'!$E9&lt;=V$3,('Costs Hypotheses'!$D9/12),0)</f>
        <v>0</v>
      </c>
      <c r="W28" s="49">
        <f>if('Costs Hypotheses'!$E9&lt;=W$3,('Costs Hypotheses'!$D9/12),0)</f>
        <v>0</v>
      </c>
      <c r="X28" s="49">
        <f>if('Costs Hypotheses'!$E9&lt;=X$3,('Costs Hypotheses'!$D9/12),0)</f>
        <v>0</v>
      </c>
      <c r="Y28" s="49">
        <f>if('Costs Hypotheses'!$E9&lt;=Y$3,('Costs Hypotheses'!$D9/12),0)</f>
        <v>0</v>
      </c>
      <c r="Z28" s="89">
        <f>if('Costs Hypotheses'!$E9&lt;=Z$3,('Costs Hypotheses'!$D9/12),0)</f>
        <v>0</v>
      </c>
    </row>
    <row r="29" ht="15.75" customHeight="1">
      <c r="A29" s="23"/>
      <c r="B29" s="44" t="str">
        <f>+CONCATENATE('Costs Hypotheses'!B10," - ",'Costs Hypotheses'!C10)</f>
        <v> - </v>
      </c>
      <c r="C29" s="56">
        <f>if('Costs Hypotheses'!$E10&lt;=C$3,('Costs Hypotheses'!$D10/12),0)</f>
        <v>0</v>
      </c>
      <c r="D29" s="44">
        <f>if('Costs Hypotheses'!$E10&lt;=D$3,('Costs Hypotheses'!$D10/12),0)</f>
        <v>0</v>
      </c>
      <c r="E29" s="44">
        <f>if('Costs Hypotheses'!$E10&lt;=E$3,('Costs Hypotheses'!$D10/12),0)</f>
        <v>0</v>
      </c>
      <c r="F29" s="44">
        <f>if('Costs Hypotheses'!$E10&lt;=F$3,('Costs Hypotheses'!$D10/12),0)</f>
        <v>0</v>
      </c>
      <c r="G29" s="44">
        <f>if('Costs Hypotheses'!$E10&lt;=G$3,('Costs Hypotheses'!$D10/12),0)</f>
        <v>0</v>
      </c>
      <c r="H29" s="44">
        <f>if('Costs Hypotheses'!$E10&lt;=H$3,('Costs Hypotheses'!$D10/12),0)</f>
        <v>0</v>
      </c>
      <c r="I29" s="44">
        <f>if('Costs Hypotheses'!$E10&lt;=I$3,('Costs Hypotheses'!$D10/12),0)</f>
        <v>0</v>
      </c>
      <c r="J29" s="44">
        <f>if('Costs Hypotheses'!$E10&lt;=J$3,('Costs Hypotheses'!$D10/12),0)</f>
        <v>0</v>
      </c>
      <c r="K29" s="44">
        <f>if('Costs Hypotheses'!$E10&lt;=K$3,('Costs Hypotheses'!$D10/12),0)</f>
        <v>0</v>
      </c>
      <c r="L29" s="44">
        <f>if('Costs Hypotheses'!$E10&lt;=L$3,('Costs Hypotheses'!$D10/12),0)</f>
        <v>0</v>
      </c>
      <c r="M29" s="44">
        <f>if('Costs Hypotheses'!$E10&lt;=M$3,('Costs Hypotheses'!$D10/12),0)</f>
        <v>0</v>
      </c>
      <c r="N29" s="44">
        <f>if('Costs Hypotheses'!$E10&lt;=N$3,('Costs Hypotheses'!$D10/12),0)</f>
        <v>0</v>
      </c>
      <c r="O29" s="56">
        <f>if('Costs Hypotheses'!$E10&lt;=O$3,('Costs Hypotheses'!$D10/12),0)</f>
        <v>0</v>
      </c>
      <c r="P29" s="44">
        <f>if('Costs Hypotheses'!$E10&lt;=P$3,('Costs Hypotheses'!$D10/12),0)</f>
        <v>0</v>
      </c>
      <c r="Q29" s="49">
        <f>if('Costs Hypotheses'!$E10&lt;=Q$3,('Costs Hypotheses'!$D10/12),0)</f>
        <v>0</v>
      </c>
      <c r="R29" s="49">
        <f>if('Costs Hypotheses'!$E10&lt;=R$3,('Costs Hypotheses'!$D10/12),0)</f>
        <v>0</v>
      </c>
      <c r="S29" s="49">
        <f>if('Costs Hypotheses'!$E10&lt;=S$3,('Costs Hypotheses'!$D10/12),0)</f>
        <v>0</v>
      </c>
      <c r="T29" s="49">
        <f>if('Costs Hypotheses'!$E10&lt;=T$3,('Costs Hypotheses'!$D10/12),0)</f>
        <v>0</v>
      </c>
      <c r="U29" s="49">
        <f>if('Costs Hypotheses'!$E10&lt;=U$3,('Costs Hypotheses'!$D10/12),0)</f>
        <v>0</v>
      </c>
      <c r="V29" s="49">
        <f>if('Costs Hypotheses'!$E10&lt;=V$3,('Costs Hypotheses'!$D10/12),0)</f>
        <v>0</v>
      </c>
      <c r="W29" s="49">
        <f>if('Costs Hypotheses'!$E10&lt;=W$3,('Costs Hypotheses'!$D10/12),0)</f>
        <v>0</v>
      </c>
      <c r="X29" s="49">
        <f>if('Costs Hypotheses'!$E10&lt;=X$3,('Costs Hypotheses'!$D10/12),0)</f>
        <v>0</v>
      </c>
      <c r="Y29" s="49">
        <f>if('Costs Hypotheses'!$E10&lt;=Y$3,('Costs Hypotheses'!$D10/12),0)</f>
        <v>0</v>
      </c>
      <c r="Z29" s="89">
        <f>if('Costs Hypotheses'!$E10&lt;=Z$3,('Costs Hypotheses'!$D10/12),0)</f>
        <v>0</v>
      </c>
    </row>
    <row r="30" ht="15.75" customHeight="1">
      <c r="A30" s="23"/>
      <c r="B30" s="44" t="str">
        <f>+CONCATENATE('Costs Hypotheses'!B11," - ",'Costs Hypotheses'!C11)</f>
        <v> - </v>
      </c>
      <c r="C30" s="56">
        <f>if('Costs Hypotheses'!$E11&lt;=C$3,('Costs Hypotheses'!$D11/12),0)</f>
        <v>0</v>
      </c>
      <c r="D30" s="44">
        <f>if('Costs Hypotheses'!$E11&lt;=D$3,('Costs Hypotheses'!$D11/12),0)</f>
        <v>0</v>
      </c>
      <c r="E30" s="49">
        <f>if('Costs Hypotheses'!$E11&lt;=E$3,('Costs Hypotheses'!$D11/12),0)</f>
        <v>0</v>
      </c>
      <c r="F30" s="49">
        <f>if('Costs Hypotheses'!$E11&lt;=F$3,('Costs Hypotheses'!$D11/12),0)</f>
        <v>0</v>
      </c>
      <c r="G30" s="49">
        <f>if('Costs Hypotheses'!$E11&lt;=G$3,('Costs Hypotheses'!$D11/12),0)</f>
        <v>0</v>
      </c>
      <c r="H30" s="49">
        <f>if('Costs Hypotheses'!$E11&lt;=H$3,('Costs Hypotheses'!$D11/12),0)</f>
        <v>0</v>
      </c>
      <c r="I30" s="49">
        <f>if('Costs Hypotheses'!$E11&lt;=I$3,('Costs Hypotheses'!$D11/12),0)</f>
        <v>0</v>
      </c>
      <c r="J30" s="49">
        <f>if('Costs Hypotheses'!$E11&lt;=J$3,('Costs Hypotheses'!$D11/12),0)</f>
        <v>0</v>
      </c>
      <c r="K30" s="49">
        <f>if('Costs Hypotheses'!$E11&lt;=K$3,('Costs Hypotheses'!$D11/12),0)</f>
        <v>0</v>
      </c>
      <c r="L30" s="49">
        <f>if('Costs Hypotheses'!$E11&lt;=L$3,('Costs Hypotheses'!$D11/12),0)</f>
        <v>0</v>
      </c>
      <c r="M30" s="49">
        <f>if('Costs Hypotheses'!$E11&lt;=M$3,('Costs Hypotheses'!$D11/12),0)</f>
        <v>0</v>
      </c>
      <c r="N30" s="49">
        <f>if('Costs Hypotheses'!$E11&lt;=N$3,('Costs Hypotheses'!$D11/12),0)</f>
        <v>0</v>
      </c>
      <c r="O30" s="88">
        <f>if('Costs Hypotheses'!$E11&lt;=O$3,('Costs Hypotheses'!$D11/12),0)</f>
        <v>0</v>
      </c>
      <c r="P30" s="49">
        <f>if('Costs Hypotheses'!$E11&lt;=P$3,('Costs Hypotheses'!$D11/12),0)</f>
        <v>0</v>
      </c>
      <c r="Q30" s="49">
        <f>if('Costs Hypotheses'!$E11&lt;=Q$3,('Costs Hypotheses'!$D11/12),0)</f>
        <v>0</v>
      </c>
      <c r="R30" s="49">
        <f>if('Costs Hypotheses'!$E11&lt;=R$3,('Costs Hypotheses'!$D11/12),0)</f>
        <v>0</v>
      </c>
      <c r="S30" s="49">
        <f>if('Costs Hypotheses'!$E11&lt;=S$3,('Costs Hypotheses'!$D11/12),0)</f>
        <v>0</v>
      </c>
      <c r="T30" s="49">
        <f>if('Costs Hypotheses'!$E11&lt;=T$3,('Costs Hypotheses'!$D11/12),0)</f>
        <v>0</v>
      </c>
      <c r="U30" s="49">
        <f>if('Costs Hypotheses'!$E11&lt;=U$3,('Costs Hypotheses'!$D11/12),0)</f>
        <v>0</v>
      </c>
      <c r="V30" s="49">
        <f>if('Costs Hypotheses'!$E11&lt;=V$3,('Costs Hypotheses'!$D11/12),0)</f>
        <v>0</v>
      </c>
      <c r="W30" s="49">
        <f>if('Costs Hypotheses'!$E11&lt;=W$3,('Costs Hypotheses'!$D11/12),0)</f>
        <v>0</v>
      </c>
      <c r="X30" s="49">
        <f>if('Costs Hypotheses'!$E11&lt;=X$3,('Costs Hypotheses'!$D11/12),0)</f>
        <v>0</v>
      </c>
      <c r="Y30" s="49">
        <f>if('Costs Hypotheses'!$E11&lt;=Y$3,('Costs Hypotheses'!$D11/12),0)</f>
        <v>0</v>
      </c>
      <c r="Z30" s="89">
        <f>if('Costs Hypotheses'!$E11&lt;=Z$3,('Costs Hypotheses'!$D11/12),0)</f>
        <v>0</v>
      </c>
    </row>
    <row r="31" ht="15.75" customHeight="1">
      <c r="A31" s="23"/>
      <c r="B31" s="44" t="str">
        <f>+CONCATENATE('Costs Hypotheses'!B12," - ",'Costs Hypotheses'!C12)</f>
        <v> - </v>
      </c>
      <c r="C31" s="56">
        <f>if('Costs Hypotheses'!$E12&lt;=C$3,('Costs Hypotheses'!$D12/12),0)</f>
        <v>0</v>
      </c>
      <c r="D31" s="44">
        <f>if('Costs Hypotheses'!$E12&lt;=D$3,('Costs Hypotheses'!$D12/12),0)</f>
        <v>0</v>
      </c>
      <c r="E31" s="44">
        <f>if('Costs Hypotheses'!$E12&lt;=E$3,('Costs Hypotheses'!$D12/12),0)</f>
        <v>0</v>
      </c>
      <c r="F31" s="44">
        <f>if('Costs Hypotheses'!$E12&lt;=F$3,('Costs Hypotheses'!$D12/12),0)</f>
        <v>0</v>
      </c>
      <c r="G31" s="44">
        <f>if('Costs Hypotheses'!$E12&lt;=G$3,('Costs Hypotheses'!$D12/12),0)</f>
        <v>0</v>
      </c>
      <c r="H31" s="44">
        <f>if('Costs Hypotheses'!$E12&lt;=H$3,('Costs Hypotheses'!$D12/12),0)</f>
        <v>0</v>
      </c>
      <c r="I31" s="49">
        <f>if('Costs Hypotheses'!$E12&lt;=I$3,('Costs Hypotheses'!$D12/12),0)</f>
        <v>0</v>
      </c>
      <c r="J31" s="49">
        <f>if('Costs Hypotheses'!$E12&lt;=J$3,('Costs Hypotheses'!$D12/12),0)</f>
        <v>0</v>
      </c>
      <c r="K31" s="49">
        <f>if('Costs Hypotheses'!$E12&lt;=K$3,('Costs Hypotheses'!$D12/12),0)</f>
        <v>0</v>
      </c>
      <c r="L31" s="49">
        <f>if('Costs Hypotheses'!$E12&lt;=L$3,('Costs Hypotheses'!$D12/12),0)</f>
        <v>0</v>
      </c>
      <c r="M31" s="49">
        <f>if('Costs Hypotheses'!$E12&lt;=M$3,('Costs Hypotheses'!$D12/12),0)</f>
        <v>0</v>
      </c>
      <c r="N31" s="49">
        <f>if('Costs Hypotheses'!$E12&lt;=N$3,('Costs Hypotheses'!$D12/12),0)</f>
        <v>0</v>
      </c>
      <c r="O31" s="88">
        <f>if('Costs Hypotheses'!$E12&lt;=O$3,('Costs Hypotheses'!$D12/12),0)</f>
        <v>0</v>
      </c>
      <c r="P31" s="49">
        <f>if('Costs Hypotheses'!$E12&lt;=P$3,('Costs Hypotheses'!$D12/12),0)</f>
        <v>0</v>
      </c>
      <c r="Q31" s="49">
        <f>if('Costs Hypotheses'!$E12&lt;=Q$3,('Costs Hypotheses'!$D12/12),0)</f>
        <v>0</v>
      </c>
      <c r="R31" s="49">
        <f>if('Costs Hypotheses'!$E12&lt;=R$3,('Costs Hypotheses'!$D12/12),0)</f>
        <v>0</v>
      </c>
      <c r="S31" s="49">
        <f>if('Costs Hypotheses'!$E12&lt;=S$3,('Costs Hypotheses'!$D12/12),0)</f>
        <v>0</v>
      </c>
      <c r="T31" s="49">
        <f>if('Costs Hypotheses'!$E12&lt;=T$3,('Costs Hypotheses'!$D12/12),0)</f>
        <v>0</v>
      </c>
      <c r="U31" s="49">
        <f>if('Costs Hypotheses'!$E12&lt;=U$3,('Costs Hypotheses'!$D12/12),0)</f>
        <v>0</v>
      </c>
      <c r="V31" s="49">
        <f>if('Costs Hypotheses'!$E12&lt;=V$3,('Costs Hypotheses'!$D12/12),0)</f>
        <v>0</v>
      </c>
      <c r="W31" s="49">
        <f>if('Costs Hypotheses'!$E12&lt;=W$3,('Costs Hypotheses'!$D12/12),0)</f>
        <v>0</v>
      </c>
      <c r="X31" s="49">
        <f>if('Costs Hypotheses'!$E12&lt;=X$3,('Costs Hypotheses'!$D12/12),0)</f>
        <v>0</v>
      </c>
      <c r="Y31" s="49">
        <f>if('Costs Hypotheses'!$E12&lt;=Y$3,('Costs Hypotheses'!$D12/12),0)</f>
        <v>0</v>
      </c>
      <c r="Z31" s="89">
        <f>if('Costs Hypotheses'!$E12&lt;=Z$3,('Costs Hypotheses'!$D12/12),0)</f>
        <v>0</v>
      </c>
    </row>
    <row r="32" ht="15.75" customHeight="1">
      <c r="A32" s="23"/>
      <c r="B32" s="44" t="str">
        <f>+CONCATENATE('Costs Hypotheses'!B13," - ",'Costs Hypotheses'!C13)</f>
        <v> - </v>
      </c>
      <c r="C32" s="56">
        <f>if('Costs Hypotheses'!$E13&lt;=C$3,('Costs Hypotheses'!$D13/12),0)</f>
        <v>0</v>
      </c>
      <c r="D32" s="44">
        <f>if('Costs Hypotheses'!$E13&lt;=D$3,('Costs Hypotheses'!$D13/12),0)</f>
        <v>0</v>
      </c>
      <c r="E32" s="44">
        <f>if('Costs Hypotheses'!$E13&lt;=E$3,('Costs Hypotheses'!$D13/12),0)</f>
        <v>0</v>
      </c>
      <c r="F32" s="44">
        <f>if('Costs Hypotheses'!$E13&lt;=F$3,('Costs Hypotheses'!$D13/12),0)</f>
        <v>0</v>
      </c>
      <c r="G32" s="44">
        <f>if('Costs Hypotheses'!$E13&lt;=G$3,('Costs Hypotheses'!$D13/12),0)</f>
        <v>0</v>
      </c>
      <c r="H32" s="44">
        <f>if('Costs Hypotheses'!$E13&lt;=H$3,('Costs Hypotheses'!$D13/12),0)</f>
        <v>0</v>
      </c>
      <c r="I32" s="44">
        <f>if('Costs Hypotheses'!$E13&lt;=I$3,('Costs Hypotheses'!$D13/12),0)</f>
        <v>0</v>
      </c>
      <c r="J32" s="49">
        <f>if('Costs Hypotheses'!$E13&lt;=J$3,('Costs Hypotheses'!$D13/12),0)</f>
        <v>0</v>
      </c>
      <c r="K32" s="49">
        <f>if('Costs Hypotheses'!$E13&lt;=K$3,('Costs Hypotheses'!$D13/12),0)</f>
        <v>0</v>
      </c>
      <c r="L32" s="49">
        <f>if('Costs Hypotheses'!$E13&lt;=L$3,('Costs Hypotheses'!$D13/12),0)</f>
        <v>0</v>
      </c>
      <c r="M32" s="49">
        <f>if('Costs Hypotheses'!$E13&lt;=M$3,('Costs Hypotheses'!$D13/12),0)</f>
        <v>0</v>
      </c>
      <c r="N32" s="49">
        <f>if('Costs Hypotheses'!$E13&lt;=N$3,('Costs Hypotheses'!$D13/12),0)</f>
        <v>0</v>
      </c>
      <c r="O32" s="88">
        <f>if('Costs Hypotheses'!$E13&lt;=O$3,('Costs Hypotheses'!$D13/12),0)</f>
        <v>0</v>
      </c>
      <c r="P32" s="49">
        <f>if('Costs Hypotheses'!$E13&lt;=P$3,('Costs Hypotheses'!$D13/12),0)</f>
        <v>0</v>
      </c>
      <c r="Q32" s="49">
        <f>if('Costs Hypotheses'!$E13&lt;=Q$3,('Costs Hypotheses'!$D13/12),0)</f>
        <v>0</v>
      </c>
      <c r="R32" s="49">
        <f>if('Costs Hypotheses'!$E13&lt;=R$3,('Costs Hypotheses'!$D13/12),0)</f>
        <v>0</v>
      </c>
      <c r="S32" s="49">
        <f>if('Costs Hypotheses'!$E13&lt;=S$3,('Costs Hypotheses'!$D13/12),0)</f>
        <v>0</v>
      </c>
      <c r="T32" s="49">
        <f>if('Costs Hypotheses'!$E13&lt;=T$3,('Costs Hypotheses'!$D13/12),0)</f>
        <v>0</v>
      </c>
      <c r="U32" s="49">
        <f>if('Costs Hypotheses'!$E13&lt;=U$3,('Costs Hypotheses'!$D13/12),0)</f>
        <v>0</v>
      </c>
      <c r="V32" s="49">
        <f>if('Costs Hypotheses'!$E13&lt;=V$3,('Costs Hypotheses'!$D13/12),0)</f>
        <v>0</v>
      </c>
      <c r="W32" s="49">
        <f>if('Costs Hypotheses'!$E13&lt;=W$3,('Costs Hypotheses'!$D13/12),0)</f>
        <v>0</v>
      </c>
      <c r="X32" s="49">
        <f>if('Costs Hypotheses'!$E13&lt;=X$3,('Costs Hypotheses'!$D13/12),0)</f>
        <v>0</v>
      </c>
      <c r="Y32" s="49">
        <f>if('Costs Hypotheses'!$E13&lt;=Y$3,('Costs Hypotheses'!$D13/12),0)</f>
        <v>0</v>
      </c>
      <c r="Z32" s="89">
        <f>if('Costs Hypotheses'!$E13&lt;=Z$3,('Costs Hypotheses'!$D13/12),0)</f>
        <v>0</v>
      </c>
    </row>
    <row r="33" ht="15.75" customHeight="1">
      <c r="A33" s="23"/>
      <c r="B33" s="44" t="str">
        <f>+CONCATENATE('Costs Hypotheses'!B14," - ",'Costs Hypotheses'!C14)</f>
        <v> - </v>
      </c>
      <c r="C33" s="56">
        <f>if('Costs Hypotheses'!$E14&lt;=C$3,('Costs Hypotheses'!$D14/12),0)</f>
        <v>0</v>
      </c>
      <c r="D33" s="44">
        <f>if('Costs Hypotheses'!$E14&lt;=D$3,('Costs Hypotheses'!$D14/12),0)</f>
        <v>0</v>
      </c>
      <c r="E33" s="44">
        <f>if('Costs Hypotheses'!$E14&lt;=E$3,('Costs Hypotheses'!$D14/12),0)</f>
        <v>0</v>
      </c>
      <c r="F33" s="44">
        <f>if('Costs Hypotheses'!$E14&lt;=F$3,('Costs Hypotheses'!$D14/12),0)</f>
        <v>0</v>
      </c>
      <c r="G33" s="49">
        <f>if('Costs Hypotheses'!$E14&lt;=G$3,('Costs Hypotheses'!$D14/12),0)</f>
        <v>0</v>
      </c>
      <c r="H33" s="49">
        <f>if('Costs Hypotheses'!$E14&lt;=H$3,('Costs Hypotheses'!$D14/12),0)</f>
        <v>0</v>
      </c>
      <c r="I33" s="49">
        <f>if('Costs Hypotheses'!$E14&lt;=I$3,('Costs Hypotheses'!$D14/12),0)</f>
        <v>0</v>
      </c>
      <c r="J33" s="49">
        <f>if('Costs Hypotheses'!$E14&lt;=J$3,('Costs Hypotheses'!$D14/12),0)</f>
        <v>0</v>
      </c>
      <c r="K33" s="49">
        <f>if('Costs Hypotheses'!$E14&lt;=K$3,('Costs Hypotheses'!$D14/12),0)</f>
        <v>0</v>
      </c>
      <c r="L33" s="49">
        <f>if('Costs Hypotheses'!$E14&lt;=L$3,('Costs Hypotheses'!$D14/12),0)</f>
        <v>0</v>
      </c>
      <c r="M33" s="49">
        <f>if('Costs Hypotheses'!$E14&lt;=M$3,('Costs Hypotheses'!$D14/12),0)</f>
        <v>0</v>
      </c>
      <c r="N33" s="49">
        <f>if('Costs Hypotheses'!$E14&lt;=N$3,('Costs Hypotheses'!$D14/12),0)</f>
        <v>0</v>
      </c>
      <c r="O33" s="88">
        <f>if('Costs Hypotheses'!$E14&lt;=O$3,('Costs Hypotheses'!$D14/12),0)</f>
        <v>0</v>
      </c>
      <c r="P33" s="49">
        <f>if('Costs Hypotheses'!$E14&lt;=P$3,('Costs Hypotheses'!$D14/12),0)</f>
        <v>0</v>
      </c>
      <c r="Q33" s="49">
        <f>if('Costs Hypotheses'!$E14&lt;=Q$3,('Costs Hypotheses'!$D14/12),0)</f>
        <v>0</v>
      </c>
      <c r="R33" s="49">
        <f>if('Costs Hypotheses'!$E14&lt;=R$3,('Costs Hypotheses'!$D14/12),0)</f>
        <v>0</v>
      </c>
      <c r="S33" s="49">
        <f>if('Costs Hypotheses'!$E14&lt;=S$3,('Costs Hypotheses'!$D14/12),0)</f>
        <v>0</v>
      </c>
      <c r="T33" s="49">
        <f>if('Costs Hypotheses'!$E14&lt;=T$3,('Costs Hypotheses'!$D14/12),0)</f>
        <v>0</v>
      </c>
      <c r="U33" s="49">
        <f>if('Costs Hypotheses'!$E14&lt;=U$3,('Costs Hypotheses'!$D14/12),0)</f>
        <v>0</v>
      </c>
      <c r="V33" s="49">
        <f>if('Costs Hypotheses'!$E14&lt;=V$3,('Costs Hypotheses'!$D14/12),0)</f>
        <v>0</v>
      </c>
      <c r="W33" s="49">
        <f>if('Costs Hypotheses'!$E14&lt;=W$3,('Costs Hypotheses'!$D14/12),0)</f>
        <v>0</v>
      </c>
      <c r="X33" s="49">
        <f>if('Costs Hypotheses'!$E14&lt;=X$3,('Costs Hypotheses'!$D14/12),0)</f>
        <v>0</v>
      </c>
      <c r="Y33" s="49">
        <f>if('Costs Hypotheses'!$E14&lt;=Y$3,('Costs Hypotheses'!$D14/12),0)</f>
        <v>0</v>
      </c>
      <c r="Z33" s="89">
        <f>if('Costs Hypotheses'!$E14&lt;=Z$3,('Costs Hypotheses'!$D14/12),0)</f>
        <v>0</v>
      </c>
    </row>
    <row r="34" ht="15.75" customHeight="1">
      <c r="A34" s="23"/>
      <c r="B34" s="44" t="str">
        <f>+CONCATENATE('Costs Hypotheses'!B15," - ",'Costs Hypotheses'!C15)</f>
        <v> - </v>
      </c>
      <c r="C34" s="56">
        <f>if('Costs Hypotheses'!$E15&lt;=C$3,('Costs Hypotheses'!$D15/12),0)</f>
        <v>0</v>
      </c>
      <c r="D34" s="44">
        <f>if('Costs Hypotheses'!$E15&lt;=D$3,('Costs Hypotheses'!$D15/12),0)</f>
        <v>0</v>
      </c>
      <c r="E34" s="44">
        <f>if('Costs Hypotheses'!$E15&lt;=E$3,('Costs Hypotheses'!$D15/12),0)</f>
        <v>0</v>
      </c>
      <c r="F34" s="44">
        <f>if('Costs Hypotheses'!$E15&lt;=F$3,('Costs Hypotheses'!$D15/12),0)</f>
        <v>0</v>
      </c>
      <c r="G34" s="49">
        <f>if('Costs Hypotheses'!$E15&lt;=G$3,('Costs Hypotheses'!$D15/12),0)</f>
        <v>0</v>
      </c>
      <c r="H34" s="49">
        <f>if('Costs Hypotheses'!$E15&lt;=H$3,('Costs Hypotheses'!$D15/12),0)</f>
        <v>0</v>
      </c>
      <c r="I34" s="49">
        <f>if('Costs Hypotheses'!$E15&lt;=I$3,('Costs Hypotheses'!$D15/12),0)</f>
        <v>0</v>
      </c>
      <c r="J34" s="49">
        <f>if('Costs Hypotheses'!$E15&lt;=J$3,('Costs Hypotheses'!$D15/12),0)</f>
        <v>0</v>
      </c>
      <c r="K34" s="49">
        <f>if('Costs Hypotheses'!$E15&lt;=K$3,('Costs Hypotheses'!$D15/12),0)</f>
        <v>0</v>
      </c>
      <c r="L34" s="49">
        <f>if('Costs Hypotheses'!$E15&lt;=L$3,('Costs Hypotheses'!$D15/12),0)</f>
        <v>0</v>
      </c>
      <c r="M34" s="49">
        <f>if('Costs Hypotheses'!$E15&lt;=M$3,('Costs Hypotheses'!$D15/12),0)</f>
        <v>0</v>
      </c>
      <c r="N34" s="49">
        <f>if('Costs Hypotheses'!$E15&lt;=N$3,('Costs Hypotheses'!$D15/12),0)</f>
        <v>0</v>
      </c>
      <c r="O34" s="88">
        <f>if('Costs Hypotheses'!$E15&lt;=O$3,('Costs Hypotheses'!$D15/12),0)</f>
        <v>0</v>
      </c>
      <c r="P34" s="49">
        <f>if('Costs Hypotheses'!$E15&lt;=P$3,('Costs Hypotheses'!$D15/12),0)</f>
        <v>0</v>
      </c>
      <c r="Q34" s="49">
        <f>if('Costs Hypotheses'!$E15&lt;=Q$3,('Costs Hypotheses'!$D15/12),0)</f>
        <v>0</v>
      </c>
      <c r="R34" s="49">
        <f>if('Costs Hypotheses'!$E15&lt;=R$3,('Costs Hypotheses'!$D15/12),0)</f>
        <v>0</v>
      </c>
      <c r="S34" s="49">
        <f>if('Costs Hypotheses'!$E15&lt;=S$3,('Costs Hypotheses'!$D15/12),0)</f>
        <v>0</v>
      </c>
      <c r="T34" s="49">
        <f>if('Costs Hypotheses'!$E15&lt;=T$3,('Costs Hypotheses'!$D15/12),0)</f>
        <v>0</v>
      </c>
      <c r="U34" s="49">
        <f>if('Costs Hypotheses'!$E15&lt;=U$3,('Costs Hypotheses'!$D15/12),0)</f>
        <v>0</v>
      </c>
      <c r="V34" s="49">
        <f>if('Costs Hypotheses'!$E15&lt;=V$3,('Costs Hypotheses'!$D15/12),0)</f>
        <v>0</v>
      </c>
      <c r="W34" s="49">
        <f>if('Costs Hypotheses'!$E15&lt;=W$3,('Costs Hypotheses'!$D15/12),0)</f>
        <v>0</v>
      </c>
      <c r="X34" s="49">
        <f>if('Costs Hypotheses'!$E15&lt;=X$3,('Costs Hypotheses'!$D15/12),0)</f>
        <v>0</v>
      </c>
      <c r="Y34" s="49">
        <f>if('Costs Hypotheses'!$E15&lt;=Y$3,('Costs Hypotheses'!$D15/12),0)</f>
        <v>0</v>
      </c>
      <c r="Z34" s="89">
        <f>if('Costs Hypotheses'!$E15&lt;=Z$3,('Costs Hypotheses'!$D15/12),0)</f>
        <v>0</v>
      </c>
    </row>
    <row r="35" ht="15.75" customHeight="1">
      <c r="A35" s="23"/>
      <c r="B35" s="44" t="str">
        <f>+CONCATENATE('Costs Hypotheses'!B16," - ",'Costs Hypotheses'!C16)</f>
        <v> - </v>
      </c>
      <c r="C35" s="56">
        <f>if('Costs Hypotheses'!$E16&lt;=C$3,('Costs Hypotheses'!$D16/12),0)</f>
        <v>0</v>
      </c>
      <c r="D35" s="44">
        <f>if('Costs Hypotheses'!$E16&lt;=D$3,('Costs Hypotheses'!$D16/12),0)</f>
        <v>0</v>
      </c>
      <c r="E35" s="44">
        <f>if('Costs Hypotheses'!$E16&lt;=E$3,('Costs Hypotheses'!$D16/12),0)</f>
        <v>0</v>
      </c>
      <c r="F35" s="44">
        <f>if('Costs Hypotheses'!$E16&lt;=F$3,('Costs Hypotheses'!$D16/12),0)</f>
        <v>0</v>
      </c>
      <c r="G35" s="44">
        <f>if('Costs Hypotheses'!$E16&lt;=G$3,('Costs Hypotheses'!$D16/12),0)</f>
        <v>0</v>
      </c>
      <c r="H35" s="44">
        <f>if('Costs Hypotheses'!$E16&lt;=H$3,('Costs Hypotheses'!$D16/12),0)</f>
        <v>0</v>
      </c>
      <c r="I35" s="44">
        <f>if('Costs Hypotheses'!$E16&lt;=I$3,('Costs Hypotheses'!$D16/12),0)</f>
        <v>0</v>
      </c>
      <c r="J35" s="44">
        <f>if('Costs Hypotheses'!$E16&lt;=J$3,('Costs Hypotheses'!$D16/12),0)</f>
        <v>0</v>
      </c>
      <c r="K35" s="44">
        <f>if('Costs Hypotheses'!$E16&lt;=K$3,('Costs Hypotheses'!$D16/12),0)</f>
        <v>0</v>
      </c>
      <c r="L35" s="49">
        <f>if('Costs Hypotheses'!$E16&lt;=L$3,('Costs Hypotheses'!$D16/12),0)</f>
        <v>0</v>
      </c>
      <c r="M35" s="49">
        <f>if('Costs Hypotheses'!$E16&lt;=M$3,('Costs Hypotheses'!$D16/12),0)</f>
        <v>0</v>
      </c>
      <c r="N35" s="49">
        <f>if('Costs Hypotheses'!$E16&lt;=N$3,('Costs Hypotheses'!$D16/12),0)</f>
        <v>0</v>
      </c>
      <c r="O35" s="88">
        <f>if('Costs Hypotheses'!$E16&lt;=O$3,('Costs Hypotheses'!$D16/12),0)</f>
        <v>0</v>
      </c>
      <c r="P35" s="49">
        <f>if('Costs Hypotheses'!$E16&lt;=P$3,('Costs Hypotheses'!$D16/12),0)</f>
        <v>0</v>
      </c>
      <c r="Q35" s="49">
        <f>if('Costs Hypotheses'!$E16&lt;=Q$3,('Costs Hypotheses'!$D16/12),0)</f>
        <v>0</v>
      </c>
      <c r="R35" s="49">
        <f>if('Costs Hypotheses'!$E16&lt;=R$3,('Costs Hypotheses'!$D16/12),0)</f>
        <v>0</v>
      </c>
      <c r="S35" s="49">
        <f>if('Costs Hypotheses'!$E16&lt;=S$3,('Costs Hypotheses'!$D16/12),0)</f>
        <v>0</v>
      </c>
      <c r="T35" s="49">
        <f>if('Costs Hypotheses'!$E16&lt;=T$3,('Costs Hypotheses'!$D16/12),0)</f>
        <v>0</v>
      </c>
      <c r="U35" s="49">
        <f>if('Costs Hypotheses'!$E16&lt;=U$3,('Costs Hypotheses'!$D16/12),0)</f>
        <v>0</v>
      </c>
      <c r="V35" s="49">
        <f>if('Costs Hypotheses'!$E16&lt;=V$3,('Costs Hypotheses'!$D16/12),0)</f>
        <v>0</v>
      </c>
      <c r="W35" s="49">
        <f>if('Costs Hypotheses'!$E16&lt;=W$3,('Costs Hypotheses'!$D16/12),0)</f>
        <v>0</v>
      </c>
      <c r="X35" s="49">
        <f>if('Costs Hypotheses'!$E16&lt;=X$3,('Costs Hypotheses'!$D16/12),0)</f>
        <v>0</v>
      </c>
      <c r="Y35" s="49">
        <f>if('Costs Hypotheses'!$E16&lt;=Y$3,('Costs Hypotheses'!$D16/12),0)</f>
        <v>0</v>
      </c>
      <c r="Z35" s="89">
        <f>if('Costs Hypotheses'!$E16&lt;=Z$3,('Costs Hypotheses'!$D16/12),0)</f>
        <v>0</v>
      </c>
    </row>
    <row r="36" ht="15.75" customHeight="1">
      <c r="A36" s="23"/>
      <c r="B36" s="44" t="str">
        <f>+CONCATENATE('Costs Hypotheses'!B17," - ",'Costs Hypotheses'!C17)</f>
        <v> - </v>
      </c>
      <c r="C36" s="56">
        <f>if('Costs Hypotheses'!$E17&lt;=C$3,('Costs Hypotheses'!$D17/12),0)</f>
        <v>0</v>
      </c>
      <c r="D36" s="44">
        <f>if('Costs Hypotheses'!$E17&lt;=D$3,('Costs Hypotheses'!$D17/12),0)</f>
        <v>0</v>
      </c>
      <c r="E36" s="44">
        <f>if('Costs Hypotheses'!$E17&lt;=E$3,('Costs Hypotheses'!$D17/12),0)</f>
        <v>0</v>
      </c>
      <c r="F36" s="44">
        <f>if('Costs Hypotheses'!$E17&lt;=F$3,('Costs Hypotheses'!$D17/12),0)</f>
        <v>0</v>
      </c>
      <c r="G36" s="44">
        <f>if('Costs Hypotheses'!$E17&lt;=G$3,('Costs Hypotheses'!$D17/12),0)</f>
        <v>0</v>
      </c>
      <c r="H36" s="44">
        <f>if('Costs Hypotheses'!$E17&lt;=H$3,('Costs Hypotheses'!$D17/12),0)</f>
        <v>0</v>
      </c>
      <c r="I36" s="44">
        <f>if('Costs Hypotheses'!$E17&lt;=I$3,('Costs Hypotheses'!$D17/12),0)</f>
        <v>0</v>
      </c>
      <c r="J36" s="44">
        <f>if('Costs Hypotheses'!$E17&lt;=J$3,('Costs Hypotheses'!$D17/12),0)</f>
        <v>0</v>
      </c>
      <c r="K36" s="44">
        <f>if('Costs Hypotheses'!$E17&lt;=K$3,('Costs Hypotheses'!$D17/12),0)</f>
        <v>0</v>
      </c>
      <c r="L36" s="44">
        <f>if('Costs Hypotheses'!$E17&lt;=L$3,('Costs Hypotheses'!$D17/12),0)</f>
        <v>0</v>
      </c>
      <c r="M36" s="44">
        <f>if('Costs Hypotheses'!$E17&lt;=M$3,('Costs Hypotheses'!$D17/12),0)</f>
        <v>0</v>
      </c>
      <c r="N36" s="44">
        <f>if('Costs Hypotheses'!$E17&lt;=N$3,('Costs Hypotheses'!$D17/12),0)</f>
        <v>0</v>
      </c>
      <c r="O36" s="56">
        <f>if('Costs Hypotheses'!$E17&lt;=O$3,('Costs Hypotheses'!$D17/12),0)</f>
        <v>0</v>
      </c>
      <c r="P36" s="44">
        <f>if('Costs Hypotheses'!$E17&lt;=P$3,('Costs Hypotheses'!$D17/12),0)</f>
        <v>0</v>
      </c>
      <c r="Q36" s="49">
        <f>if('Costs Hypotheses'!$E17&lt;=Q$3,('Costs Hypotheses'!$D17/12),0)</f>
        <v>0</v>
      </c>
      <c r="R36" s="49">
        <f>if('Costs Hypotheses'!$E17&lt;=R$3,('Costs Hypotheses'!$D17/12),0)</f>
        <v>0</v>
      </c>
      <c r="S36" s="49">
        <f>if('Costs Hypotheses'!$E17&lt;=S$3,('Costs Hypotheses'!$D17/12),0)</f>
        <v>0</v>
      </c>
      <c r="T36" s="49">
        <f>if('Costs Hypotheses'!$E17&lt;=T$3,('Costs Hypotheses'!$D17/12),0)</f>
        <v>0</v>
      </c>
      <c r="U36" s="49">
        <f>if('Costs Hypotheses'!$E17&lt;=U$3,('Costs Hypotheses'!$D17/12),0)</f>
        <v>0</v>
      </c>
      <c r="V36" s="49">
        <f>if('Costs Hypotheses'!$E17&lt;=V$3,('Costs Hypotheses'!$D17/12),0)</f>
        <v>0</v>
      </c>
      <c r="W36" s="49">
        <f>if('Costs Hypotheses'!$E17&lt;=W$3,('Costs Hypotheses'!$D17/12),0)</f>
        <v>0</v>
      </c>
      <c r="X36" s="49">
        <f>if('Costs Hypotheses'!$E17&lt;=X$3,('Costs Hypotheses'!$D17/12),0)</f>
        <v>0</v>
      </c>
      <c r="Y36" s="49">
        <f>if('Costs Hypotheses'!$E17&lt;=Y$3,('Costs Hypotheses'!$D17/12),0)</f>
        <v>0</v>
      </c>
      <c r="Z36" s="89">
        <f>if('Costs Hypotheses'!$E17&lt;=Z$3,('Costs Hypotheses'!$D17/12),0)</f>
        <v>0</v>
      </c>
    </row>
    <row r="37" ht="15.75" customHeight="1">
      <c r="A37" s="23"/>
      <c r="B37" s="44" t="str">
        <f>+CONCATENATE('Costs Hypotheses'!B18," - ",'Costs Hypotheses'!C18)</f>
        <v> - </v>
      </c>
      <c r="C37" s="56">
        <f>if('Costs Hypotheses'!$E18&lt;=C$3,('Costs Hypotheses'!$D18/12),0)</f>
        <v>0</v>
      </c>
      <c r="D37" s="44">
        <f>if('Costs Hypotheses'!$E18&lt;=D$3,('Costs Hypotheses'!$D18/12),0)</f>
        <v>0</v>
      </c>
      <c r="E37" s="49">
        <f>if('Costs Hypotheses'!$E18&lt;=E$3,('Costs Hypotheses'!$D18/12),0)</f>
        <v>0</v>
      </c>
      <c r="F37" s="49">
        <f>if('Costs Hypotheses'!$E18&lt;=F$3,('Costs Hypotheses'!$D18/12),0)</f>
        <v>0</v>
      </c>
      <c r="G37" s="49">
        <f>if('Costs Hypotheses'!$E18&lt;=G$3,('Costs Hypotheses'!$D18/12),0)</f>
        <v>0</v>
      </c>
      <c r="H37" s="49">
        <f>if('Costs Hypotheses'!$E18&lt;=H$3,('Costs Hypotheses'!$D18/12),0)</f>
        <v>0</v>
      </c>
      <c r="I37" s="49">
        <f>if('Costs Hypotheses'!$E18&lt;=I$3,('Costs Hypotheses'!$D18/12),0)</f>
        <v>0</v>
      </c>
      <c r="J37" s="49">
        <f>if('Costs Hypotheses'!$E18&lt;=J$3,('Costs Hypotheses'!$D18/12),0)</f>
        <v>0</v>
      </c>
      <c r="K37" s="49">
        <f>if('Costs Hypotheses'!$E18&lt;=K$3,('Costs Hypotheses'!$D18/12),0)</f>
        <v>0</v>
      </c>
      <c r="L37" s="49">
        <f>if('Costs Hypotheses'!$E18&lt;=L$3,('Costs Hypotheses'!$D18/12),0)</f>
        <v>0</v>
      </c>
      <c r="M37" s="49">
        <f>if('Costs Hypotheses'!$E18&lt;=M$3,('Costs Hypotheses'!$D18/12),0)</f>
        <v>0</v>
      </c>
      <c r="N37" s="49">
        <f>if('Costs Hypotheses'!$E18&lt;=N$3,('Costs Hypotheses'!$D18/12),0)</f>
        <v>0</v>
      </c>
      <c r="O37" s="88">
        <f>if('Costs Hypotheses'!$E18&lt;=O$3,('Costs Hypotheses'!$D18/12),0)</f>
        <v>0</v>
      </c>
      <c r="P37" s="49">
        <f>if('Costs Hypotheses'!$E18&lt;=P$3,('Costs Hypotheses'!$D18/12),0)</f>
        <v>0</v>
      </c>
      <c r="Q37" s="49">
        <f>if('Costs Hypotheses'!$E18&lt;=Q$3,('Costs Hypotheses'!$D18/12),0)</f>
        <v>0</v>
      </c>
      <c r="R37" s="49">
        <f>if('Costs Hypotheses'!$E18&lt;=R$3,('Costs Hypotheses'!$D18/12),0)</f>
        <v>0</v>
      </c>
      <c r="S37" s="49">
        <f>if('Costs Hypotheses'!$E18&lt;=S$3,('Costs Hypotheses'!$D18/12),0)</f>
        <v>0</v>
      </c>
      <c r="T37" s="49">
        <f>if('Costs Hypotheses'!$E18&lt;=T$3,('Costs Hypotheses'!$D18/12),0)</f>
        <v>0</v>
      </c>
      <c r="U37" s="49">
        <f>if('Costs Hypotheses'!$E18&lt;=U$3,('Costs Hypotheses'!$D18/12),0)</f>
        <v>0</v>
      </c>
      <c r="V37" s="49">
        <f>if('Costs Hypotheses'!$E18&lt;=V$3,('Costs Hypotheses'!$D18/12),0)</f>
        <v>0</v>
      </c>
      <c r="W37" s="49">
        <f>if('Costs Hypotheses'!$E18&lt;=W$3,('Costs Hypotheses'!$D18/12),0)</f>
        <v>0</v>
      </c>
      <c r="X37" s="49">
        <f>if('Costs Hypotheses'!$E18&lt;=X$3,('Costs Hypotheses'!$D18/12),0)</f>
        <v>0</v>
      </c>
      <c r="Y37" s="49">
        <f>if('Costs Hypotheses'!$E18&lt;=Y$3,('Costs Hypotheses'!$D18/12),0)</f>
        <v>0</v>
      </c>
      <c r="Z37" s="89">
        <f>if('Costs Hypotheses'!$E18&lt;=Z$3,('Costs Hypotheses'!$D18/12),0)</f>
        <v>0</v>
      </c>
    </row>
    <row r="38" ht="15.75" customHeight="1">
      <c r="A38" s="23"/>
      <c r="B38" s="44" t="str">
        <f>+CONCATENATE('Costs Hypotheses'!B19," - ",'Costs Hypotheses'!C19)</f>
        <v> - </v>
      </c>
      <c r="C38" s="56">
        <f>if('Costs Hypotheses'!$E19&lt;=C$3,('Costs Hypotheses'!$D19/12),0)</f>
        <v>0</v>
      </c>
      <c r="D38" s="44">
        <f>if('Costs Hypotheses'!$E19&lt;=D$3,('Costs Hypotheses'!$D19/12),0)</f>
        <v>0</v>
      </c>
      <c r="E38" s="44">
        <f>if('Costs Hypotheses'!$E19&lt;=E$3,('Costs Hypotheses'!$D19/12),0)</f>
        <v>0</v>
      </c>
      <c r="F38" s="44">
        <f>if('Costs Hypotheses'!$E19&lt;=F$3,('Costs Hypotheses'!$D19/12),0)</f>
        <v>0</v>
      </c>
      <c r="G38" s="44">
        <f>if('Costs Hypotheses'!$E19&lt;=G$3,('Costs Hypotheses'!$D19/12),0)</f>
        <v>0</v>
      </c>
      <c r="H38" s="44">
        <f>if('Costs Hypotheses'!$E19&lt;=H$3,('Costs Hypotheses'!$D19/12),0)</f>
        <v>0</v>
      </c>
      <c r="I38" s="44">
        <f>if('Costs Hypotheses'!$E19&lt;=I$3,('Costs Hypotheses'!$D19/12),0)</f>
        <v>0</v>
      </c>
      <c r="J38" s="49">
        <f>if('Costs Hypotheses'!$E19&lt;=J$3,('Costs Hypotheses'!$D19/12),0)</f>
        <v>0</v>
      </c>
      <c r="K38" s="49">
        <f>if('Costs Hypotheses'!$E19&lt;=K$3,('Costs Hypotheses'!$D19/12),0)</f>
        <v>0</v>
      </c>
      <c r="L38" s="49">
        <f>if('Costs Hypotheses'!$E19&lt;=L$3,('Costs Hypotheses'!$D19/12),0)</f>
        <v>0</v>
      </c>
      <c r="M38" s="49">
        <f>if('Costs Hypotheses'!$E19&lt;=M$3,('Costs Hypotheses'!$D19/12),0)</f>
        <v>0</v>
      </c>
      <c r="N38" s="49">
        <f>if('Costs Hypotheses'!$E19&lt;=N$3,('Costs Hypotheses'!$D19/12),0)</f>
        <v>0</v>
      </c>
      <c r="O38" s="88">
        <f>if('Costs Hypotheses'!$E19&lt;=O$3,('Costs Hypotheses'!$D19/12),0)</f>
        <v>0</v>
      </c>
      <c r="P38" s="49">
        <f>if('Costs Hypotheses'!$E19&lt;=P$3,('Costs Hypotheses'!$D19/12),0)</f>
        <v>0</v>
      </c>
      <c r="Q38" s="49">
        <f>if('Costs Hypotheses'!$E19&lt;=Q$3,('Costs Hypotheses'!$D19/12),0)</f>
        <v>0</v>
      </c>
      <c r="R38" s="49">
        <f>if('Costs Hypotheses'!$E19&lt;=R$3,('Costs Hypotheses'!$D19/12),0)</f>
        <v>0</v>
      </c>
      <c r="S38" s="49">
        <f>if('Costs Hypotheses'!$E19&lt;=S$3,('Costs Hypotheses'!$D19/12),0)</f>
        <v>0</v>
      </c>
      <c r="T38" s="49">
        <f>if('Costs Hypotheses'!$E19&lt;=T$3,('Costs Hypotheses'!$D19/12),0)</f>
        <v>0</v>
      </c>
      <c r="U38" s="49">
        <f>if('Costs Hypotheses'!$E19&lt;=U$3,('Costs Hypotheses'!$D19/12),0)</f>
        <v>0</v>
      </c>
      <c r="V38" s="49">
        <f>if('Costs Hypotheses'!$E19&lt;=V$3,('Costs Hypotheses'!$D19/12),0)</f>
        <v>0</v>
      </c>
      <c r="W38" s="49">
        <f>if('Costs Hypotheses'!$E19&lt;=W$3,('Costs Hypotheses'!$D19/12),0)</f>
        <v>0</v>
      </c>
      <c r="X38" s="49">
        <f>if('Costs Hypotheses'!$E19&lt;=X$3,('Costs Hypotheses'!$D19/12),0)</f>
        <v>0</v>
      </c>
      <c r="Y38" s="49">
        <f>if('Costs Hypotheses'!$E19&lt;=Y$3,('Costs Hypotheses'!$D19/12),0)</f>
        <v>0</v>
      </c>
      <c r="Z38" s="89">
        <f>if('Costs Hypotheses'!$E19&lt;=Z$3,('Costs Hypotheses'!$D19/12),0)</f>
        <v>0</v>
      </c>
    </row>
    <row r="39" ht="15.75" customHeight="1">
      <c r="A39" s="23"/>
      <c r="B39" s="44" t="str">
        <f>+CONCATENATE('Costs Hypotheses'!B20," - ",'Costs Hypotheses'!C20)</f>
        <v> - </v>
      </c>
      <c r="C39" s="56">
        <f>if('Costs Hypotheses'!$E20&lt;=C$3,('Costs Hypotheses'!$D20/12),0)</f>
        <v>0</v>
      </c>
      <c r="D39" s="44">
        <f>if('Costs Hypotheses'!$E20&lt;=D$3,('Costs Hypotheses'!$D20/12),0)</f>
        <v>0</v>
      </c>
      <c r="E39" s="44">
        <f>if('Costs Hypotheses'!$E20&lt;=E$3,('Costs Hypotheses'!$D20/12),0)</f>
        <v>0</v>
      </c>
      <c r="F39" s="44">
        <f>if('Costs Hypotheses'!$E20&lt;=F$3,('Costs Hypotheses'!$D20/12),0)</f>
        <v>0</v>
      </c>
      <c r="G39" s="44">
        <f>if('Costs Hypotheses'!$E20&lt;=G$3,('Costs Hypotheses'!$D20/12),0)</f>
        <v>0</v>
      </c>
      <c r="H39" s="44">
        <f>if('Costs Hypotheses'!$E20&lt;=H$3,('Costs Hypotheses'!$D20/12),0)</f>
        <v>0</v>
      </c>
      <c r="I39" s="44">
        <f>if('Costs Hypotheses'!$E20&lt;=I$3,('Costs Hypotheses'!$D20/12),0)</f>
        <v>0</v>
      </c>
      <c r="J39" s="44">
        <f>if('Costs Hypotheses'!$E20&lt;=J$3,('Costs Hypotheses'!$D20/12),0)</f>
        <v>0</v>
      </c>
      <c r="K39" s="44">
        <f>if('Costs Hypotheses'!$E20&lt;=K$3,('Costs Hypotheses'!$D20/12),0)</f>
        <v>0</v>
      </c>
      <c r="L39" s="44">
        <f>if('Costs Hypotheses'!$E20&lt;=L$3,('Costs Hypotheses'!$D20/12),0)</f>
        <v>0</v>
      </c>
      <c r="M39" s="44">
        <f>if('Costs Hypotheses'!$E20&lt;=M$3,('Costs Hypotheses'!$D20/12),0)</f>
        <v>0</v>
      </c>
      <c r="N39" s="49">
        <f>if('Costs Hypotheses'!$E20&lt;=N$3,('Costs Hypotheses'!$D20/12),0)</f>
        <v>0</v>
      </c>
      <c r="O39" s="88">
        <f>if('Costs Hypotheses'!$E20&lt;=O$3,('Costs Hypotheses'!$D20/12),0)</f>
        <v>0</v>
      </c>
      <c r="P39" s="49">
        <f>if('Costs Hypotheses'!$E20&lt;=P$3,('Costs Hypotheses'!$D20/12),0)</f>
        <v>0</v>
      </c>
      <c r="Q39" s="49">
        <f>if('Costs Hypotheses'!$E20&lt;=Q$3,('Costs Hypotheses'!$D20/12),0)</f>
        <v>0</v>
      </c>
      <c r="R39" s="49">
        <f>if('Costs Hypotheses'!$E20&lt;=R$3,('Costs Hypotheses'!$D20/12),0)</f>
        <v>0</v>
      </c>
      <c r="S39" s="49">
        <f>if('Costs Hypotheses'!$E20&lt;=S$3,('Costs Hypotheses'!$D20/12),0)</f>
        <v>0</v>
      </c>
      <c r="T39" s="49">
        <f>if('Costs Hypotheses'!$E20&lt;=T$3,('Costs Hypotheses'!$D20/12),0)</f>
        <v>0</v>
      </c>
      <c r="U39" s="49">
        <f>if('Costs Hypotheses'!$E20&lt;=U$3,('Costs Hypotheses'!$D20/12),0)</f>
        <v>0</v>
      </c>
      <c r="V39" s="49">
        <f>if('Costs Hypotheses'!$E20&lt;=V$3,('Costs Hypotheses'!$D20/12),0)</f>
        <v>0</v>
      </c>
      <c r="W39" s="49">
        <f>if('Costs Hypotheses'!$E20&lt;=W$3,('Costs Hypotheses'!$D20/12),0)</f>
        <v>0</v>
      </c>
      <c r="X39" s="49">
        <f>if('Costs Hypotheses'!$E20&lt;=X$3,('Costs Hypotheses'!$D20/12),0)</f>
        <v>0</v>
      </c>
      <c r="Y39" s="49">
        <f>if('Costs Hypotheses'!$E20&lt;=Y$3,('Costs Hypotheses'!$D20/12),0)</f>
        <v>0</v>
      </c>
      <c r="Z39" s="89">
        <f>if('Costs Hypotheses'!$E20&lt;=Z$3,('Costs Hypotheses'!$D20/12),0)</f>
        <v>0</v>
      </c>
    </row>
    <row r="40" ht="15.75" customHeight="1">
      <c r="A40" s="23"/>
      <c r="B40" s="44" t="str">
        <f>+CONCATENATE('Costs Hypotheses'!B21," - ",'Costs Hypotheses'!C21)</f>
        <v> - </v>
      </c>
      <c r="C40" s="56">
        <f>if('Costs Hypotheses'!$E21&lt;=C$3,('Costs Hypotheses'!$D21/12),0)</f>
        <v>0</v>
      </c>
      <c r="D40" s="44">
        <f>if('Costs Hypotheses'!$E21&lt;=D$3,('Costs Hypotheses'!$D21/12),0)</f>
        <v>0</v>
      </c>
      <c r="E40" s="44">
        <f>if('Costs Hypotheses'!$E21&lt;=E$3,('Costs Hypotheses'!$D21/12),0)</f>
        <v>0</v>
      </c>
      <c r="F40" s="44">
        <f>if('Costs Hypotheses'!$E21&lt;=F$3,('Costs Hypotheses'!$D21/12),0)</f>
        <v>0</v>
      </c>
      <c r="G40" s="44">
        <f>if('Costs Hypotheses'!$E21&lt;=G$3,('Costs Hypotheses'!$D21/12),0)</f>
        <v>0</v>
      </c>
      <c r="H40" s="44">
        <f>if('Costs Hypotheses'!$E21&lt;=H$3,('Costs Hypotheses'!$D21/12),0)</f>
        <v>0</v>
      </c>
      <c r="I40" s="44">
        <f>if('Costs Hypotheses'!$E21&lt;=I$3,('Costs Hypotheses'!$D21/12),0)</f>
        <v>0</v>
      </c>
      <c r="J40" s="44">
        <f>if('Costs Hypotheses'!$E21&lt;=J$3,('Costs Hypotheses'!$D21/12),0)</f>
        <v>0</v>
      </c>
      <c r="K40" s="44">
        <f>if('Costs Hypotheses'!$E21&lt;=K$3,('Costs Hypotheses'!$D21/12),0)</f>
        <v>0</v>
      </c>
      <c r="L40" s="44">
        <f>if('Costs Hypotheses'!$E21&lt;=L$3,('Costs Hypotheses'!$D21/12),0)</f>
        <v>0</v>
      </c>
      <c r="M40" s="44">
        <f>if('Costs Hypotheses'!$E21&lt;=M$3,('Costs Hypotheses'!$D21/12),0)</f>
        <v>0</v>
      </c>
      <c r="N40" s="44">
        <f>if('Costs Hypotheses'!$E21&lt;=N$3,('Costs Hypotheses'!$D21/12),0)</f>
        <v>0</v>
      </c>
      <c r="O40" s="56">
        <f>if('Costs Hypotheses'!$E21&lt;=O$3,('Costs Hypotheses'!$D21/12),0)</f>
        <v>0</v>
      </c>
      <c r="P40" s="44">
        <f>if('Costs Hypotheses'!$E21&lt;=P$3,('Costs Hypotheses'!$D21/12),0)</f>
        <v>0</v>
      </c>
      <c r="Q40" s="49">
        <f>if('Costs Hypotheses'!$E21&lt;=Q$3,('Costs Hypotheses'!$D21/12),0)</f>
        <v>0</v>
      </c>
      <c r="R40" s="49">
        <f>if('Costs Hypotheses'!$E21&lt;=R$3,('Costs Hypotheses'!$D21/12),0)</f>
        <v>0</v>
      </c>
      <c r="S40" s="49">
        <f>if('Costs Hypotheses'!$E21&lt;=S$3,('Costs Hypotheses'!$D21/12),0)</f>
        <v>0</v>
      </c>
      <c r="T40" s="49">
        <f>if('Costs Hypotheses'!$E21&lt;=T$3,('Costs Hypotheses'!$D21/12),0)</f>
        <v>0</v>
      </c>
      <c r="U40" s="49">
        <f>if('Costs Hypotheses'!$E21&lt;=U$3,('Costs Hypotheses'!$D21/12),0)</f>
        <v>0</v>
      </c>
      <c r="V40" s="49">
        <f>if('Costs Hypotheses'!$E21&lt;=V$3,('Costs Hypotheses'!$D21/12),0)</f>
        <v>0</v>
      </c>
      <c r="W40" s="49">
        <f>if('Costs Hypotheses'!$E21&lt;=W$3,('Costs Hypotheses'!$D21/12),0)</f>
        <v>0</v>
      </c>
      <c r="X40" s="49">
        <f>if('Costs Hypotheses'!$E21&lt;=X$3,('Costs Hypotheses'!$D21/12),0)</f>
        <v>0</v>
      </c>
      <c r="Y40" s="49">
        <f>if('Costs Hypotheses'!$E21&lt;=Y$3,('Costs Hypotheses'!$D21/12),0)</f>
        <v>0</v>
      </c>
      <c r="Z40" s="89">
        <f>if('Costs Hypotheses'!$E21&lt;=Z$3,('Costs Hypotheses'!$D21/12),0)</f>
        <v>0</v>
      </c>
    </row>
    <row r="41" ht="15.75" customHeight="1">
      <c r="A41" s="23"/>
      <c r="B41" s="44" t="str">
        <f>+CONCATENATE('Costs Hypotheses'!B22," - ",'Costs Hypotheses'!C22)</f>
        <v> - </v>
      </c>
      <c r="C41" s="56">
        <f>if('Costs Hypotheses'!$E22&lt;=C$3,('Costs Hypotheses'!$D22/12),0)</f>
        <v>0</v>
      </c>
      <c r="D41" s="44">
        <f>if('Costs Hypotheses'!$E22&lt;=D$3,('Costs Hypotheses'!$D22/12),0)</f>
        <v>0</v>
      </c>
      <c r="E41" s="44">
        <f>if('Costs Hypotheses'!$E22&lt;=E$3,('Costs Hypotheses'!$D22/12),0)</f>
        <v>0</v>
      </c>
      <c r="F41" s="44">
        <f>if('Costs Hypotheses'!$E22&lt;=F$3,('Costs Hypotheses'!$D22/12),0)</f>
        <v>0</v>
      </c>
      <c r="G41" s="44">
        <f>if('Costs Hypotheses'!$E22&lt;=G$3,('Costs Hypotheses'!$D22/12),0)</f>
        <v>0</v>
      </c>
      <c r="H41" s="44">
        <f>if('Costs Hypotheses'!$E22&lt;=H$3,('Costs Hypotheses'!$D22/12),0)</f>
        <v>0</v>
      </c>
      <c r="I41" s="44">
        <f>if('Costs Hypotheses'!$E22&lt;=I$3,('Costs Hypotheses'!$D22/12),0)</f>
        <v>0</v>
      </c>
      <c r="J41" s="44">
        <f>if('Costs Hypotheses'!$E22&lt;=J$3,('Costs Hypotheses'!$D22/12),0)</f>
        <v>0</v>
      </c>
      <c r="K41" s="44">
        <f>if('Costs Hypotheses'!$E22&lt;=K$3,('Costs Hypotheses'!$D22/12),0)</f>
        <v>0</v>
      </c>
      <c r="L41" s="44">
        <f>if('Costs Hypotheses'!$E22&lt;=L$3,('Costs Hypotheses'!$D22/12),0)</f>
        <v>0</v>
      </c>
      <c r="M41" s="44">
        <f>if('Costs Hypotheses'!$E22&lt;=M$3,('Costs Hypotheses'!$D22/12),0)</f>
        <v>0</v>
      </c>
      <c r="N41" s="44">
        <f>if('Costs Hypotheses'!$E22&lt;=N$3,('Costs Hypotheses'!$D22/12),0)</f>
        <v>0</v>
      </c>
      <c r="O41" s="56">
        <f>if('Costs Hypotheses'!$E22&lt;=O$3,('Costs Hypotheses'!$D22/12),0)</f>
        <v>0</v>
      </c>
      <c r="P41" s="44">
        <f>if('Costs Hypotheses'!$E22&lt;=P$3,('Costs Hypotheses'!$D22/12),0)</f>
        <v>0</v>
      </c>
      <c r="Q41" s="44">
        <f>if('Costs Hypotheses'!$E22&lt;=Q$3,('Costs Hypotheses'!$D22/12),0)</f>
        <v>0</v>
      </c>
      <c r="R41" s="44">
        <f>if('Costs Hypotheses'!$E22&lt;=R$3,('Costs Hypotheses'!$D22/12),0)</f>
        <v>0</v>
      </c>
      <c r="S41" s="44">
        <f>if('Costs Hypotheses'!$E22&lt;=S$3,('Costs Hypotheses'!$D22/12),0)</f>
        <v>0</v>
      </c>
      <c r="T41" s="49">
        <f>if('Costs Hypotheses'!$E22&lt;=T$3,('Costs Hypotheses'!$D22/12),0)</f>
        <v>0</v>
      </c>
      <c r="U41" s="49">
        <f>if('Costs Hypotheses'!$E22&lt;=U$3,('Costs Hypotheses'!$D22/12),0)</f>
        <v>0</v>
      </c>
      <c r="V41" s="49">
        <f>if('Costs Hypotheses'!$E22&lt;=V$3,('Costs Hypotheses'!$D22/12),0)</f>
        <v>0</v>
      </c>
      <c r="W41" s="49">
        <f>if('Costs Hypotheses'!$E22&lt;=W$3,('Costs Hypotheses'!$D22/12),0)</f>
        <v>0</v>
      </c>
      <c r="X41" s="49">
        <f>if('Costs Hypotheses'!$E22&lt;=X$3,('Costs Hypotheses'!$D22/12),0)</f>
        <v>0</v>
      </c>
      <c r="Y41" s="49">
        <f>if('Costs Hypotheses'!$E22&lt;=Y$3,('Costs Hypotheses'!$D22/12),0)</f>
        <v>0</v>
      </c>
      <c r="Z41" s="89">
        <f>if('Costs Hypotheses'!$E22&lt;=Z$3,('Costs Hypotheses'!$D22/12),0)</f>
        <v>0</v>
      </c>
    </row>
    <row r="42" ht="15.75" customHeight="1">
      <c r="A42" s="85"/>
      <c r="B42" s="85" t="s">
        <v>68</v>
      </c>
      <c r="C42" s="86">
        <f t="shared" ref="C42:Z42" si="7">sum(C22:C41)</f>
        <v>20000</v>
      </c>
      <c r="D42" s="85">
        <f t="shared" si="7"/>
        <v>20000</v>
      </c>
      <c r="E42" s="85">
        <f t="shared" si="7"/>
        <v>20000</v>
      </c>
      <c r="F42" s="85">
        <f t="shared" si="7"/>
        <v>30000</v>
      </c>
      <c r="G42" s="85">
        <f t="shared" si="7"/>
        <v>30000</v>
      </c>
      <c r="H42" s="85">
        <f t="shared" si="7"/>
        <v>30000</v>
      </c>
      <c r="I42" s="85">
        <f t="shared" si="7"/>
        <v>30000</v>
      </c>
      <c r="J42" s="85">
        <f t="shared" si="7"/>
        <v>30000</v>
      </c>
      <c r="K42" s="85">
        <f t="shared" si="7"/>
        <v>30000</v>
      </c>
      <c r="L42" s="85">
        <f t="shared" si="7"/>
        <v>40000</v>
      </c>
      <c r="M42" s="85">
        <f t="shared" si="7"/>
        <v>40000</v>
      </c>
      <c r="N42" s="85">
        <f t="shared" si="7"/>
        <v>40000</v>
      </c>
      <c r="O42" s="86">
        <f t="shared" si="7"/>
        <v>40000</v>
      </c>
      <c r="P42" s="85">
        <f t="shared" si="7"/>
        <v>40000</v>
      </c>
      <c r="Q42" s="85">
        <f t="shared" si="7"/>
        <v>40000</v>
      </c>
      <c r="R42" s="85">
        <f t="shared" si="7"/>
        <v>40000</v>
      </c>
      <c r="S42" s="85">
        <f t="shared" si="7"/>
        <v>40000</v>
      </c>
      <c r="T42" s="85">
        <f t="shared" si="7"/>
        <v>40000</v>
      </c>
      <c r="U42" s="85">
        <f t="shared" si="7"/>
        <v>40000</v>
      </c>
      <c r="V42" s="85">
        <f t="shared" si="7"/>
        <v>40000</v>
      </c>
      <c r="W42" s="85">
        <f t="shared" si="7"/>
        <v>40000</v>
      </c>
      <c r="X42" s="85">
        <f t="shared" si="7"/>
        <v>40000</v>
      </c>
      <c r="Y42" s="85">
        <f t="shared" si="7"/>
        <v>40000</v>
      </c>
      <c r="Z42" s="87">
        <f t="shared" si="7"/>
        <v>40000</v>
      </c>
    </row>
    <row r="43" ht="15.75" customHeight="1">
      <c r="A43" s="43"/>
      <c r="B43" s="23"/>
      <c r="C43" s="56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56"/>
      <c r="Z43" s="57"/>
    </row>
    <row r="44" ht="15.75" customHeight="1">
      <c r="A44" s="42" t="s">
        <v>69</v>
      </c>
      <c r="B44" s="23"/>
      <c r="C44" s="56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56"/>
      <c r="Z44" s="57"/>
    </row>
    <row r="45" ht="15.75" customHeight="1">
      <c r="A45" s="23"/>
      <c r="B45" s="44" t="str">
        <f>'Costs Hypotheses'!B26</f>
        <v>Adwords</v>
      </c>
      <c r="C45" s="59">
        <f>'Costs Hypotheses'!$D26*C14</f>
        <v>107.35</v>
      </c>
      <c r="D45" s="60">
        <f>'Costs Hypotheses'!$D26*D14</f>
        <v>173.15295</v>
      </c>
      <c r="E45" s="60">
        <f>'Costs Hypotheses'!$D26*E14</f>
        <v>248.6772412</v>
      </c>
      <c r="F45" s="60">
        <f>'Costs Hypotheses'!$D26*F14</f>
        <v>333.1002094</v>
      </c>
      <c r="G45" s="60">
        <f>'Costs Hypotheses'!$D26*G14</f>
        <v>427.4901888</v>
      </c>
      <c r="H45" s="60">
        <f>'Costs Hypotheses'!$D26*H14</f>
        <v>533.0437118</v>
      </c>
      <c r="I45" s="60">
        <f>'Costs Hypotheses'!$D26*I14</f>
        <v>648.4311299</v>
      </c>
      <c r="J45" s="60">
        <f>'Costs Hypotheses'!$D26*J14</f>
        <v>775.1089577</v>
      </c>
      <c r="K45" s="60">
        <f>'Costs Hypotheses'!$D26*K14</f>
        <v>914.2072293</v>
      </c>
      <c r="L45" s="60">
        <f>'Costs Hypotheses'!$D26*L14</f>
        <v>1064.125004</v>
      </c>
      <c r="M45" s="60">
        <f>'Costs Hypotheses'!$D26*M14</f>
        <v>1225.729077</v>
      </c>
      <c r="N45" s="60">
        <f>'Costs Hypotheses'!$D26*N14</f>
        <v>1399.955579</v>
      </c>
      <c r="O45" s="59">
        <f>'Costs Hypotheses'!$D26*O14</f>
        <v>1618.769092</v>
      </c>
      <c r="P45" s="60">
        <f>'Costs Hypotheses'!$D26*P14</f>
        <v>1854.660417</v>
      </c>
      <c r="Q45" s="60">
        <f>'Costs Hypotheses'!$D26*Q14</f>
        <v>2108.99749</v>
      </c>
      <c r="R45" s="60">
        <f>'Costs Hypotheses'!$D26*R14</f>
        <v>2380.640114</v>
      </c>
      <c r="S45" s="60">
        <f>'Costs Hypotheses'!$D26*S14</f>
        <v>2670.80167</v>
      </c>
      <c r="T45" s="60">
        <f>'Costs Hypotheses'!$D26*T14</f>
        <v>2980.780469</v>
      </c>
      <c r="U45" s="60">
        <f>'Costs Hypotheses'!$D26*U14</f>
        <v>3308.759073</v>
      </c>
      <c r="V45" s="60">
        <f>'Costs Hypotheses'!$D26*V14</f>
        <v>3655.819865</v>
      </c>
      <c r="W45" s="60">
        <f>'Costs Hypotheses'!$D26*W14</f>
        <v>4023.110165</v>
      </c>
      <c r="X45" s="60">
        <f>'Costs Hypotheses'!$D26*X14</f>
        <v>4408.026982</v>
      </c>
      <c r="Y45" s="60">
        <f>'Costs Hypotheses'!$D26*Y14</f>
        <v>4811.454595</v>
      </c>
      <c r="Z45" s="61">
        <f>'Costs Hypotheses'!$D26*Z14</f>
        <v>5234.321483</v>
      </c>
    </row>
    <row r="46" ht="15.75" customHeight="1">
      <c r="A46" s="23"/>
      <c r="B46" s="44" t="str">
        <f>'Costs Hypotheses'!B27</f>
        <v>Social / display ads</v>
      </c>
      <c r="C46" s="59">
        <f>'Costs Hypotheses'!$D27*C14</f>
        <v>53.675</v>
      </c>
      <c r="D46" s="60">
        <f>'Costs Hypotheses'!$D27*D14</f>
        <v>86.576475</v>
      </c>
      <c r="E46" s="60">
        <f>'Costs Hypotheses'!$D27*E14</f>
        <v>124.3386206</v>
      </c>
      <c r="F46" s="60">
        <f>'Costs Hypotheses'!$D27*F14</f>
        <v>166.5501047</v>
      </c>
      <c r="G46" s="60">
        <f>'Costs Hypotheses'!$D27*G14</f>
        <v>213.7450944</v>
      </c>
      <c r="H46" s="60">
        <f>'Costs Hypotheses'!$D27*H14</f>
        <v>266.5218559</v>
      </c>
      <c r="I46" s="60">
        <f>'Costs Hypotheses'!$D27*I14</f>
        <v>324.215565</v>
      </c>
      <c r="J46" s="60">
        <f>'Costs Hypotheses'!$D27*J14</f>
        <v>387.5544788</v>
      </c>
      <c r="K46" s="60">
        <f>'Costs Hypotheses'!$D27*K14</f>
        <v>457.1036147</v>
      </c>
      <c r="L46" s="60">
        <f>'Costs Hypotheses'!$D27*L14</f>
        <v>532.0625022</v>
      </c>
      <c r="M46" s="60">
        <f>'Costs Hypotheses'!$D27*M14</f>
        <v>612.8645384</v>
      </c>
      <c r="N46" s="60">
        <f>'Costs Hypotheses'!$D27*N14</f>
        <v>699.9777894</v>
      </c>
      <c r="O46" s="59">
        <f>'Costs Hypotheses'!$D27*O14</f>
        <v>809.3845458</v>
      </c>
      <c r="P46" s="60">
        <f>'Costs Hypotheses'!$D27*P14</f>
        <v>927.3302086</v>
      </c>
      <c r="Q46" s="60">
        <f>'Costs Hypotheses'!$D27*Q14</f>
        <v>1054.498745</v>
      </c>
      <c r="R46" s="60">
        <f>'Costs Hypotheses'!$D27*R14</f>
        <v>1190.320057</v>
      </c>
      <c r="S46" s="60">
        <f>'Costs Hypotheses'!$D27*S14</f>
        <v>1335.400835</v>
      </c>
      <c r="T46" s="60">
        <f>'Costs Hypotheses'!$D27*T14</f>
        <v>1490.390234</v>
      </c>
      <c r="U46" s="60">
        <f>'Costs Hypotheses'!$D27*U14</f>
        <v>1654.379536</v>
      </c>
      <c r="V46" s="60">
        <f>'Costs Hypotheses'!$D27*V14</f>
        <v>1827.909933</v>
      </c>
      <c r="W46" s="60">
        <f>'Costs Hypotheses'!$D27*W14</f>
        <v>2011.555082</v>
      </c>
      <c r="X46" s="60">
        <f>'Costs Hypotheses'!$D27*X14</f>
        <v>2204.013491</v>
      </c>
      <c r="Y46" s="60">
        <f>'Costs Hypotheses'!$D27*Y14</f>
        <v>2405.727297</v>
      </c>
      <c r="Z46" s="61">
        <f>'Costs Hypotheses'!$D27*Z14</f>
        <v>2617.160741</v>
      </c>
    </row>
    <row r="47" ht="15.75" customHeight="1">
      <c r="A47" s="85"/>
      <c r="B47" s="85" t="s">
        <v>70</v>
      </c>
      <c r="C47" s="86">
        <f t="shared" ref="C47:Z47" si="8">sum(C45:C46)</f>
        <v>161.025</v>
      </c>
      <c r="D47" s="85">
        <f t="shared" si="8"/>
        <v>259.729425</v>
      </c>
      <c r="E47" s="85">
        <f t="shared" si="8"/>
        <v>373.0158617</v>
      </c>
      <c r="F47" s="85">
        <f t="shared" si="8"/>
        <v>499.6503141</v>
      </c>
      <c r="G47" s="85">
        <f t="shared" si="8"/>
        <v>641.2352832</v>
      </c>
      <c r="H47" s="85">
        <f t="shared" si="8"/>
        <v>799.5655677</v>
      </c>
      <c r="I47" s="85">
        <f t="shared" si="8"/>
        <v>972.6466949</v>
      </c>
      <c r="J47" s="85">
        <f t="shared" si="8"/>
        <v>1162.663437</v>
      </c>
      <c r="K47" s="85">
        <f t="shared" si="8"/>
        <v>1371.310844</v>
      </c>
      <c r="L47" s="85">
        <f t="shared" si="8"/>
        <v>1596.187507</v>
      </c>
      <c r="M47" s="85">
        <f t="shared" si="8"/>
        <v>1838.593615</v>
      </c>
      <c r="N47" s="85">
        <f t="shared" si="8"/>
        <v>2099.933368</v>
      </c>
      <c r="O47" s="85">
        <f t="shared" si="8"/>
        <v>2428.153637</v>
      </c>
      <c r="P47" s="85">
        <f t="shared" si="8"/>
        <v>2781.990626</v>
      </c>
      <c r="Q47" s="85">
        <f t="shared" si="8"/>
        <v>3163.496234</v>
      </c>
      <c r="R47" s="85">
        <f t="shared" si="8"/>
        <v>3570.960171</v>
      </c>
      <c r="S47" s="85">
        <f t="shared" si="8"/>
        <v>4006.202505</v>
      </c>
      <c r="T47" s="85">
        <f t="shared" si="8"/>
        <v>4471.170703</v>
      </c>
      <c r="U47" s="85">
        <f t="shared" si="8"/>
        <v>4963.138609</v>
      </c>
      <c r="V47" s="85">
        <f t="shared" si="8"/>
        <v>5483.729798</v>
      </c>
      <c r="W47" s="85">
        <f t="shared" si="8"/>
        <v>6034.665247</v>
      </c>
      <c r="X47" s="85">
        <f t="shared" si="8"/>
        <v>6612.040473</v>
      </c>
      <c r="Y47" s="85">
        <f t="shared" si="8"/>
        <v>7217.181892</v>
      </c>
      <c r="Z47" s="85">
        <f t="shared" si="8"/>
        <v>7851.482224</v>
      </c>
    </row>
    <row r="48" ht="15.75" customHeight="1">
      <c r="A48" s="42" t="s">
        <v>71</v>
      </c>
      <c r="B48" s="23"/>
      <c r="C48" s="56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56"/>
      <c r="Z48" s="57"/>
    </row>
    <row r="49" ht="15.75" customHeight="1">
      <c r="A49" s="23"/>
      <c r="B49" s="44" t="str">
        <f>'Costs Hypotheses'!B31</f>
        <v>Hosting &amp; Bandwidth</v>
      </c>
      <c r="C49" s="90">
        <f>'Costs Hypotheses'!$D31</f>
        <v>1500</v>
      </c>
      <c r="D49" s="47">
        <f>'Costs Hypotheses'!$D31</f>
        <v>1500</v>
      </c>
      <c r="E49" s="47">
        <f>'Costs Hypotheses'!$D31</f>
        <v>1500</v>
      </c>
      <c r="F49" s="47">
        <f>'Costs Hypotheses'!$D31</f>
        <v>1500</v>
      </c>
      <c r="G49" s="47">
        <f>'Costs Hypotheses'!$D31</f>
        <v>1500</v>
      </c>
      <c r="H49" s="47">
        <f>'Costs Hypotheses'!$D31</f>
        <v>1500</v>
      </c>
      <c r="I49" s="47">
        <f>'Costs Hypotheses'!$D31</f>
        <v>1500</v>
      </c>
      <c r="J49" s="47">
        <f>'Costs Hypotheses'!$D31</f>
        <v>1500</v>
      </c>
      <c r="K49" s="47">
        <f>'Costs Hypotheses'!$D31</f>
        <v>1500</v>
      </c>
      <c r="L49" s="47">
        <f>'Costs Hypotheses'!$D31</f>
        <v>1500</v>
      </c>
      <c r="M49" s="47">
        <f>'Costs Hypotheses'!$D31</f>
        <v>1500</v>
      </c>
      <c r="N49" s="47">
        <f>'Costs Hypotheses'!$D31</f>
        <v>1500</v>
      </c>
      <c r="O49" s="90">
        <f>'Costs Hypotheses'!$D31</f>
        <v>1500</v>
      </c>
      <c r="P49" s="47">
        <f>'Costs Hypotheses'!$D31</f>
        <v>1500</v>
      </c>
      <c r="Q49" s="47">
        <f>'Costs Hypotheses'!$D31</f>
        <v>1500</v>
      </c>
      <c r="R49" s="47">
        <f>'Costs Hypotheses'!$D31</f>
        <v>1500</v>
      </c>
      <c r="S49" s="47">
        <f>'Costs Hypotheses'!$D31</f>
        <v>1500</v>
      </c>
      <c r="T49" s="47">
        <f>'Costs Hypotheses'!$D31</f>
        <v>1500</v>
      </c>
      <c r="U49" s="47">
        <f>'Costs Hypotheses'!$D31</f>
        <v>1500</v>
      </c>
      <c r="V49" s="47">
        <f>'Costs Hypotheses'!$D31</f>
        <v>1500</v>
      </c>
      <c r="W49" s="47">
        <f>'Costs Hypotheses'!$D31</f>
        <v>1500</v>
      </c>
      <c r="X49" s="47">
        <f>'Costs Hypotheses'!$D31</f>
        <v>1500</v>
      </c>
      <c r="Y49" s="47">
        <f>'Costs Hypotheses'!$D31</f>
        <v>1500</v>
      </c>
      <c r="Z49" s="91">
        <f>'Costs Hypotheses'!$D31</f>
        <v>1500</v>
      </c>
    </row>
    <row r="50" ht="15.75" customHeight="1">
      <c r="A50" s="85"/>
      <c r="B50" s="85" t="s">
        <v>72</v>
      </c>
      <c r="C50" s="86">
        <f t="shared" ref="C50:Z50" si="9">C49</f>
        <v>1500</v>
      </c>
      <c r="D50" s="85">
        <f t="shared" si="9"/>
        <v>1500</v>
      </c>
      <c r="E50" s="85">
        <f t="shared" si="9"/>
        <v>1500</v>
      </c>
      <c r="F50" s="85">
        <f t="shared" si="9"/>
        <v>1500</v>
      </c>
      <c r="G50" s="85">
        <f t="shared" si="9"/>
        <v>1500</v>
      </c>
      <c r="H50" s="85">
        <f t="shared" si="9"/>
        <v>1500</v>
      </c>
      <c r="I50" s="85">
        <f t="shared" si="9"/>
        <v>1500</v>
      </c>
      <c r="J50" s="85">
        <f t="shared" si="9"/>
        <v>1500</v>
      </c>
      <c r="K50" s="85">
        <f t="shared" si="9"/>
        <v>1500</v>
      </c>
      <c r="L50" s="85">
        <f t="shared" si="9"/>
        <v>1500</v>
      </c>
      <c r="M50" s="85">
        <f t="shared" si="9"/>
        <v>1500</v>
      </c>
      <c r="N50" s="85">
        <f t="shared" si="9"/>
        <v>1500</v>
      </c>
      <c r="O50" s="85">
        <f t="shared" si="9"/>
        <v>1500</v>
      </c>
      <c r="P50" s="85">
        <f t="shared" si="9"/>
        <v>1500</v>
      </c>
      <c r="Q50" s="85">
        <f t="shared" si="9"/>
        <v>1500</v>
      </c>
      <c r="R50" s="85">
        <f t="shared" si="9"/>
        <v>1500</v>
      </c>
      <c r="S50" s="85">
        <f t="shared" si="9"/>
        <v>1500</v>
      </c>
      <c r="T50" s="85">
        <f t="shared" si="9"/>
        <v>1500</v>
      </c>
      <c r="U50" s="85">
        <f t="shared" si="9"/>
        <v>1500</v>
      </c>
      <c r="V50" s="85">
        <f t="shared" si="9"/>
        <v>1500</v>
      </c>
      <c r="W50" s="85">
        <f t="shared" si="9"/>
        <v>1500</v>
      </c>
      <c r="X50" s="85">
        <f t="shared" si="9"/>
        <v>1500</v>
      </c>
      <c r="Y50" s="85">
        <f t="shared" si="9"/>
        <v>1500</v>
      </c>
      <c r="Z50" s="85">
        <f t="shared" si="9"/>
        <v>1500</v>
      </c>
    </row>
    <row r="51" ht="15.75" customHeight="1">
      <c r="A51" s="42" t="str">
        <f>'Costs Hypotheses'!A33</f>
        <v>Miscellaneous</v>
      </c>
      <c r="B51" s="23"/>
      <c r="C51" s="56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56"/>
      <c r="Z51" s="57"/>
    </row>
    <row r="52" ht="15.75" customHeight="1">
      <c r="A52" s="23"/>
      <c r="B52" s="44" t="str">
        <f>'Costs Hypotheses'!B34</f>
        <v>AI Agent APIs (3 x $1K/mo)</v>
      </c>
      <c r="C52" s="88">
        <f>'Costs Hypotheses'!$D34</f>
        <v>3000</v>
      </c>
      <c r="D52" s="49">
        <f>'Costs Hypotheses'!$D34</f>
        <v>3000</v>
      </c>
      <c r="E52" s="49">
        <f>'Costs Hypotheses'!$D34</f>
        <v>3000</v>
      </c>
      <c r="F52" s="49">
        <f>'Costs Hypotheses'!$D34</f>
        <v>3000</v>
      </c>
      <c r="G52" s="49">
        <f>'Costs Hypotheses'!$D34</f>
        <v>3000</v>
      </c>
      <c r="H52" s="49">
        <f>'Costs Hypotheses'!$D34</f>
        <v>3000</v>
      </c>
      <c r="I52" s="49">
        <f>'Costs Hypotheses'!$D34</f>
        <v>3000</v>
      </c>
      <c r="J52" s="49">
        <f>'Costs Hypotheses'!$D34</f>
        <v>3000</v>
      </c>
      <c r="K52" s="49">
        <f>'Costs Hypotheses'!$D34</f>
        <v>3000</v>
      </c>
      <c r="L52" s="49">
        <f>'Costs Hypotheses'!$D34</f>
        <v>3000</v>
      </c>
      <c r="M52" s="49">
        <f>'Costs Hypotheses'!$D34</f>
        <v>3000</v>
      </c>
      <c r="N52" s="49">
        <f>'Costs Hypotheses'!$D34</f>
        <v>3000</v>
      </c>
      <c r="O52" s="88">
        <f>'Costs Hypotheses'!$D34</f>
        <v>3000</v>
      </c>
      <c r="P52" s="49">
        <f>'Costs Hypotheses'!$D34</f>
        <v>3000</v>
      </c>
      <c r="Q52" s="49">
        <f>'Costs Hypotheses'!$D34</f>
        <v>3000</v>
      </c>
      <c r="R52" s="49">
        <f>'Costs Hypotheses'!$D34</f>
        <v>3000</v>
      </c>
      <c r="S52" s="49">
        <f>'Costs Hypotheses'!$D34</f>
        <v>3000</v>
      </c>
      <c r="T52" s="49">
        <f>'Costs Hypotheses'!$D34</f>
        <v>3000</v>
      </c>
      <c r="U52" s="49">
        <f>'Costs Hypotheses'!$D34</f>
        <v>3000</v>
      </c>
      <c r="V52" s="49">
        <f>'Costs Hypotheses'!$D34</f>
        <v>3000</v>
      </c>
      <c r="W52" s="49">
        <f>'Costs Hypotheses'!$D34</f>
        <v>3000</v>
      </c>
      <c r="X52" s="49">
        <f>'Costs Hypotheses'!$D34</f>
        <v>3000</v>
      </c>
      <c r="Y52" s="49">
        <f>'Costs Hypotheses'!$D34</f>
        <v>3000</v>
      </c>
      <c r="Z52" s="89">
        <f>'Costs Hypotheses'!$D34</f>
        <v>3000</v>
      </c>
    </row>
    <row r="53" ht="15.75" customHeight="1">
      <c r="A53" s="23"/>
      <c r="B53" s="44" t="str">
        <f>'Costs Hypotheses'!B35</f>
        <v>Software subscriptions (CRM, monitoring)</v>
      </c>
      <c r="C53" s="88">
        <f>'Costs Hypotheses'!$D35</f>
        <v>1000</v>
      </c>
      <c r="D53" s="49">
        <f>'Costs Hypotheses'!$D35</f>
        <v>1000</v>
      </c>
      <c r="E53" s="49">
        <f>'Costs Hypotheses'!$D35</f>
        <v>1000</v>
      </c>
      <c r="F53" s="49">
        <f>'Costs Hypotheses'!$D35</f>
        <v>1000</v>
      </c>
      <c r="G53" s="49">
        <f>'Costs Hypotheses'!$D35</f>
        <v>1000</v>
      </c>
      <c r="H53" s="49">
        <f>'Costs Hypotheses'!$D35</f>
        <v>1000</v>
      </c>
      <c r="I53" s="49">
        <f>'Costs Hypotheses'!$D35</f>
        <v>1000</v>
      </c>
      <c r="J53" s="49">
        <f>'Costs Hypotheses'!$D35</f>
        <v>1000</v>
      </c>
      <c r="K53" s="49">
        <f>'Costs Hypotheses'!$D35</f>
        <v>1000</v>
      </c>
      <c r="L53" s="49">
        <f>'Costs Hypotheses'!$D35</f>
        <v>1000</v>
      </c>
      <c r="M53" s="49">
        <f>'Costs Hypotheses'!$D35</f>
        <v>1000</v>
      </c>
      <c r="N53" s="49">
        <f>'Costs Hypotheses'!$D35</f>
        <v>1000</v>
      </c>
      <c r="O53" s="88">
        <f>'Costs Hypotheses'!$D35</f>
        <v>1000</v>
      </c>
      <c r="P53" s="49">
        <f>'Costs Hypotheses'!$D35</f>
        <v>1000</v>
      </c>
      <c r="Q53" s="49">
        <f>'Costs Hypotheses'!$D35</f>
        <v>1000</v>
      </c>
      <c r="R53" s="49">
        <f>'Costs Hypotheses'!$D35</f>
        <v>1000</v>
      </c>
      <c r="S53" s="49">
        <f>'Costs Hypotheses'!$D35</f>
        <v>1000</v>
      </c>
      <c r="T53" s="49">
        <f>'Costs Hypotheses'!$D35</f>
        <v>1000</v>
      </c>
      <c r="U53" s="49">
        <f>'Costs Hypotheses'!$D35</f>
        <v>1000</v>
      </c>
      <c r="V53" s="49">
        <f>'Costs Hypotheses'!$D35</f>
        <v>1000</v>
      </c>
      <c r="W53" s="49">
        <f>'Costs Hypotheses'!$D35</f>
        <v>1000</v>
      </c>
      <c r="X53" s="49">
        <f>'Costs Hypotheses'!$D35</f>
        <v>1000</v>
      </c>
      <c r="Y53" s="49">
        <f>'Costs Hypotheses'!$D35</f>
        <v>1000</v>
      </c>
      <c r="Z53" s="89">
        <f>'Costs Hypotheses'!$D35</f>
        <v>1000</v>
      </c>
    </row>
    <row r="54" ht="15.75" customHeight="1">
      <c r="A54" s="23"/>
      <c r="B54" s="44" t="str">
        <f>'Costs Hypotheses'!B36</f>
        <v>Legal, accountants, IP/patents</v>
      </c>
      <c r="C54" s="88">
        <f>'Costs Hypotheses'!$D36</f>
        <v>2000</v>
      </c>
      <c r="D54" s="49">
        <f>'Costs Hypotheses'!$D36</f>
        <v>2000</v>
      </c>
      <c r="E54" s="49">
        <f>'Costs Hypotheses'!$D36</f>
        <v>2000</v>
      </c>
      <c r="F54" s="49">
        <f>'Costs Hypotheses'!$D36</f>
        <v>2000</v>
      </c>
      <c r="G54" s="49">
        <f>'Costs Hypotheses'!$D36</f>
        <v>2000</v>
      </c>
      <c r="H54" s="49">
        <f>'Costs Hypotheses'!$D36</f>
        <v>2000</v>
      </c>
      <c r="I54" s="49">
        <f>'Costs Hypotheses'!$D36</f>
        <v>2000</v>
      </c>
      <c r="J54" s="49">
        <f>'Costs Hypotheses'!$D36</f>
        <v>2000</v>
      </c>
      <c r="K54" s="49">
        <f>'Costs Hypotheses'!$D36</f>
        <v>2000</v>
      </c>
      <c r="L54" s="49">
        <f>'Costs Hypotheses'!$D36</f>
        <v>2000</v>
      </c>
      <c r="M54" s="49">
        <f>'Costs Hypotheses'!$D36</f>
        <v>2000</v>
      </c>
      <c r="N54" s="49">
        <f>'Costs Hypotheses'!$D36</f>
        <v>2000</v>
      </c>
      <c r="O54" s="88">
        <f>'Costs Hypotheses'!$D36</f>
        <v>2000</v>
      </c>
      <c r="P54" s="49">
        <f>'Costs Hypotheses'!$D36</f>
        <v>2000</v>
      </c>
      <c r="Q54" s="49">
        <f>'Costs Hypotheses'!$D36</f>
        <v>2000</v>
      </c>
      <c r="R54" s="49">
        <f>'Costs Hypotheses'!$D36</f>
        <v>2000</v>
      </c>
      <c r="S54" s="49">
        <f>'Costs Hypotheses'!$D36</f>
        <v>2000</v>
      </c>
      <c r="T54" s="49">
        <f>'Costs Hypotheses'!$D36</f>
        <v>2000</v>
      </c>
      <c r="U54" s="49">
        <f>'Costs Hypotheses'!$D36</f>
        <v>2000</v>
      </c>
      <c r="V54" s="49">
        <f>'Costs Hypotheses'!$D36</f>
        <v>2000</v>
      </c>
      <c r="W54" s="49">
        <f>'Costs Hypotheses'!$D36</f>
        <v>2000</v>
      </c>
      <c r="X54" s="49">
        <f>'Costs Hypotheses'!$D36</f>
        <v>2000</v>
      </c>
      <c r="Y54" s="49">
        <f>'Costs Hypotheses'!$D36</f>
        <v>2000</v>
      </c>
      <c r="Z54" s="89">
        <f>'Costs Hypotheses'!$D36</f>
        <v>2000</v>
      </c>
    </row>
    <row r="55" ht="15.75" customHeight="1">
      <c r="A55" s="23"/>
      <c r="B55" s="44" t="str">
        <f>'Costs Hypotheses'!B37</f>
        <v>Travel / conferences</v>
      </c>
      <c r="C55" s="88">
        <f>'Costs Hypotheses'!$D37</f>
        <v>500</v>
      </c>
      <c r="D55" s="49">
        <f>'Costs Hypotheses'!$D37</f>
        <v>500</v>
      </c>
      <c r="E55" s="49">
        <f>'Costs Hypotheses'!$D37</f>
        <v>500</v>
      </c>
      <c r="F55" s="49">
        <f>'Costs Hypotheses'!$D37</f>
        <v>500</v>
      </c>
      <c r="G55" s="49">
        <f>'Costs Hypotheses'!$D37</f>
        <v>500</v>
      </c>
      <c r="H55" s="49">
        <f>'Costs Hypotheses'!$D37</f>
        <v>500</v>
      </c>
      <c r="I55" s="49">
        <f>'Costs Hypotheses'!$D37</f>
        <v>500</v>
      </c>
      <c r="J55" s="49">
        <f>'Costs Hypotheses'!$D37</f>
        <v>500</v>
      </c>
      <c r="K55" s="49">
        <f>'Costs Hypotheses'!$D37</f>
        <v>500</v>
      </c>
      <c r="L55" s="49">
        <f>'Costs Hypotheses'!$D37</f>
        <v>500</v>
      </c>
      <c r="M55" s="49">
        <f>'Costs Hypotheses'!$D37</f>
        <v>500</v>
      </c>
      <c r="N55" s="49">
        <f>'Costs Hypotheses'!$D37</f>
        <v>500</v>
      </c>
      <c r="O55" s="88">
        <f>'Costs Hypotheses'!$D37</f>
        <v>500</v>
      </c>
      <c r="P55" s="49">
        <f>'Costs Hypotheses'!$D37</f>
        <v>500</v>
      </c>
      <c r="Q55" s="49">
        <f>'Costs Hypotheses'!$D37</f>
        <v>500</v>
      </c>
      <c r="R55" s="49">
        <f>'Costs Hypotheses'!$D37</f>
        <v>500</v>
      </c>
      <c r="S55" s="49">
        <f>'Costs Hypotheses'!$D37</f>
        <v>500</v>
      </c>
      <c r="T55" s="49">
        <f>'Costs Hypotheses'!$D37</f>
        <v>500</v>
      </c>
      <c r="U55" s="49">
        <f>'Costs Hypotheses'!$D37</f>
        <v>500</v>
      </c>
      <c r="V55" s="49">
        <f>'Costs Hypotheses'!$D37</f>
        <v>500</v>
      </c>
      <c r="W55" s="49">
        <f>'Costs Hypotheses'!$D37</f>
        <v>500</v>
      </c>
      <c r="X55" s="49">
        <f>'Costs Hypotheses'!$D37</f>
        <v>500</v>
      </c>
      <c r="Y55" s="49">
        <f>'Costs Hypotheses'!$D37</f>
        <v>500</v>
      </c>
      <c r="Z55" s="89">
        <f>'Costs Hypotheses'!$D37</f>
        <v>500</v>
      </c>
    </row>
    <row r="56" ht="15.75" customHeight="1">
      <c r="A56" s="23"/>
      <c r="B56" s="44" t="str">
        <f>'Costs Hypotheses'!B38</f>
        <v>Remote work (no office)</v>
      </c>
      <c r="C56" s="88">
        <f>'Costs Hypotheses'!$D38</f>
        <v>0</v>
      </c>
      <c r="D56" s="49">
        <f>'Costs Hypotheses'!$D38</f>
        <v>0</v>
      </c>
      <c r="E56" s="49">
        <f>'Costs Hypotheses'!$D38</f>
        <v>0</v>
      </c>
      <c r="F56" s="49">
        <f>'Costs Hypotheses'!$D38</f>
        <v>0</v>
      </c>
      <c r="G56" s="49">
        <f>'Costs Hypotheses'!$D38</f>
        <v>0</v>
      </c>
      <c r="H56" s="49">
        <f>'Costs Hypotheses'!$D38</f>
        <v>0</v>
      </c>
      <c r="I56" s="49">
        <f>'Costs Hypotheses'!$D38</f>
        <v>0</v>
      </c>
      <c r="J56" s="49">
        <f>'Costs Hypotheses'!$D38</f>
        <v>0</v>
      </c>
      <c r="K56" s="49">
        <f>'Costs Hypotheses'!$D38</f>
        <v>0</v>
      </c>
      <c r="L56" s="49">
        <f>'Costs Hypotheses'!$D38</f>
        <v>0</v>
      </c>
      <c r="M56" s="49">
        <f>'Costs Hypotheses'!$D38</f>
        <v>0</v>
      </c>
      <c r="N56" s="49">
        <f>'Costs Hypotheses'!$D38</f>
        <v>0</v>
      </c>
      <c r="O56" s="88">
        <f>'Costs Hypotheses'!$D38</f>
        <v>0</v>
      </c>
      <c r="P56" s="49">
        <f>'Costs Hypotheses'!$D38</f>
        <v>0</v>
      </c>
      <c r="Q56" s="49">
        <f>'Costs Hypotheses'!$D38</f>
        <v>0</v>
      </c>
      <c r="R56" s="49">
        <f>'Costs Hypotheses'!$D38</f>
        <v>0</v>
      </c>
      <c r="S56" s="49">
        <f>'Costs Hypotheses'!$D38</f>
        <v>0</v>
      </c>
      <c r="T56" s="49">
        <f>'Costs Hypotheses'!$D38</f>
        <v>0</v>
      </c>
      <c r="U56" s="49">
        <f>'Costs Hypotheses'!$D38</f>
        <v>0</v>
      </c>
      <c r="V56" s="49">
        <f>'Costs Hypotheses'!$D38</f>
        <v>0</v>
      </c>
      <c r="W56" s="49">
        <f>'Costs Hypotheses'!$D38</f>
        <v>0</v>
      </c>
      <c r="X56" s="49">
        <f>'Costs Hypotheses'!$D38</f>
        <v>0</v>
      </c>
      <c r="Y56" s="49">
        <f>'Costs Hypotheses'!$D38</f>
        <v>0</v>
      </c>
      <c r="Z56" s="89">
        <f>'Costs Hypotheses'!$D38</f>
        <v>0</v>
      </c>
    </row>
    <row r="57" ht="15.75" customHeight="1">
      <c r="A57" s="23"/>
      <c r="B57" s="44" t="str">
        <f>'Costs Hypotheses'!B39</f>
        <v>Internet, supplies</v>
      </c>
      <c r="C57" s="88">
        <f>'Costs Hypotheses'!$D39</f>
        <v>200</v>
      </c>
      <c r="D57" s="49">
        <f>'Costs Hypotheses'!$D39</f>
        <v>200</v>
      </c>
      <c r="E57" s="49">
        <f>'Costs Hypotheses'!$D39</f>
        <v>200</v>
      </c>
      <c r="F57" s="49">
        <f>'Costs Hypotheses'!$D39</f>
        <v>200</v>
      </c>
      <c r="G57" s="49">
        <f>'Costs Hypotheses'!$D39</f>
        <v>200</v>
      </c>
      <c r="H57" s="49">
        <f>'Costs Hypotheses'!$D39</f>
        <v>200</v>
      </c>
      <c r="I57" s="49">
        <f>'Costs Hypotheses'!$D39</f>
        <v>200</v>
      </c>
      <c r="J57" s="49">
        <f>'Costs Hypotheses'!$D39</f>
        <v>200</v>
      </c>
      <c r="K57" s="49">
        <f>'Costs Hypotheses'!$D39</f>
        <v>200</v>
      </c>
      <c r="L57" s="49">
        <f>'Costs Hypotheses'!$D39</f>
        <v>200</v>
      </c>
      <c r="M57" s="49">
        <f>'Costs Hypotheses'!$D39</f>
        <v>200</v>
      </c>
      <c r="N57" s="49">
        <f>'Costs Hypotheses'!$D39</f>
        <v>200</v>
      </c>
      <c r="O57" s="88">
        <f>'Costs Hypotheses'!$D39</f>
        <v>200</v>
      </c>
      <c r="P57" s="49">
        <f>'Costs Hypotheses'!$D39</f>
        <v>200</v>
      </c>
      <c r="Q57" s="49">
        <f>'Costs Hypotheses'!$D39</f>
        <v>200</v>
      </c>
      <c r="R57" s="49">
        <f>'Costs Hypotheses'!$D39</f>
        <v>200</v>
      </c>
      <c r="S57" s="49">
        <f>'Costs Hypotheses'!$D39</f>
        <v>200</v>
      </c>
      <c r="T57" s="49">
        <f>'Costs Hypotheses'!$D39</f>
        <v>200</v>
      </c>
      <c r="U57" s="49">
        <f>'Costs Hypotheses'!$D39</f>
        <v>200</v>
      </c>
      <c r="V57" s="49">
        <f>'Costs Hypotheses'!$D39</f>
        <v>200</v>
      </c>
      <c r="W57" s="49">
        <f>'Costs Hypotheses'!$D39</f>
        <v>200</v>
      </c>
      <c r="X57" s="49">
        <f>'Costs Hypotheses'!$D39</f>
        <v>200</v>
      </c>
      <c r="Y57" s="49">
        <f>'Costs Hypotheses'!$D39</f>
        <v>200</v>
      </c>
      <c r="Z57" s="89">
        <f>'Costs Hypotheses'!$D39</f>
        <v>200</v>
      </c>
    </row>
    <row r="58" ht="15.75" customHeight="1">
      <c r="A58" s="23"/>
      <c r="B58" s="44" t="str">
        <f>'Costs Hypotheses'!B40</f>
        <v>Insurance (D&amp;O, E&amp;O)</v>
      </c>
      <c r="C58" s="88">
        <f>'Costs Hypotheses'!$D40</f>
        <v>667</v>
      </c>
      <c r="D58" s="49">
        <f>'Costs Hypotheses'!$D40</f>
        <v>667</v>
      </c>
      <c r="E58" s="49">
        <f>'Costs Hypotheses'!$D40</f>
        <v>667</v>
      </c>
      <c r="F58" s="49">
        <f>'Costs Hypotheses'!$D40</f>
        <v>667</v>
      </c>
      <c r="G58" s="49">
        <f>'Costs Hypotheses'!$D40</f>
        <v>667</v>
      </c>
      <c r="H58" s="49">
        <f>'Costs Hypotheses'!$D40</f>
        <v>667</v>
      </c>
      <c r="I58" s="49">
        <f>'Costs Hypotheses'!$D40</f>
        <v>667</v>
      </c>
      <c r="J58" s="49">
        <f>'Costs Hypotheses'!$D40</f>
        <v>667</v>
      </c>
      <c r="K58" s="49">
        <f>'Costs Hypotheses'!$D40</f>
        <v>667</v>
      </c>
      <c r="L58" s="49">
        <f>'Costs Hypotheses'!$D40</f>
        <v>667</v>
      </c>
      <c r="M58" s="49">
        <f>'Costs Hypotheses'!$D40</f>
        <v>667</v>
      </c>
      <c r="N58" s="49">
        <f>'Costs Hypotheses'!$D40</f>
        <v>667</v>
      </c>
      <c r="O58" s="88">
        <f>'Costs Hypotheses'!$D40</f>
        <v>667</v>
      </c>
      <c r="P58" s="49">
        <f>'Costs Hypotheses'!$D40</f>
        <v>667</v>
      </c>
      <c r="Q58" s="49">
        <f>'Costs Hypotheses'!$D40</f>
        <v>667</v>
      </c>
      <c r="R58" s="49">
        <f>'Costs Hypotheses'!$D40</f>
        <v>667</v>
      </c>
      <c r="S58" s="49">
        <f>'Costs Hypotheses'!$D40</f>
        <v>667</v>
      </c>
      <c r="T58" s="49">
        <f>'Costs Hypotheses'!$D40</f>
        <v>667</v>
      </c>
      <c r="U58" s="49">
        <f>'Costs Hypotheses'!$D40</f>
        <v>667</v>
      </c>
      <c r="V58" s="49">
        <f>'Costs Hypotheses'!$D40</f>
        <v>667</v>
      </c>
      <c r="W58" s="49">
        <f>'Costs Hypotheses'!$D40</f>
        <v>667</v>
      </c>
      <c r="X58" s="49">
        <f>'Costs Hypotheses'!$D40</f>
        <v>667</v>
      </c>
      <c r="Y58" s="49">
        <f>'Costs Hypotheses'!$D40</f>
        <v>667</v>
      </c>
      <c r="Z58" s="89">
        <f>'Costs Hypotheses'!$D40</f>
        <v>667</v>
      </c>
    </row>
    <row r="59" ht="15.75" customHeight="1">
      <c r="A59" s="23"/>
      <c r="B59" s="44" t="str">
        <f>'Costs Hypotheses'!B41</f>
        <v>Content / SEO / community</v>
      </c>
      <c r="C59" s="88">
        <f>'Costs Hypotheses'!$D41</f>
        <v>500</v>
      </c>
      <c r="D59" s="49">
        <f>'Costs Hypotheses'!$D41</f>
        <v>500</v>
      </c>
      <c r="E59" s="49">
        <f>'Costs Hypotheses'!$D41</f>
        <v>500</v>
      </c>
      <c r="F59" s="49">
        <f>'Costs Hypotheses'!$D41</f>
        <v>500</v>
      </c>
      <c r="G59" s="49">
        <f>'Costs Hypotheses'!$D41</f>
        <v>500</v>
      </c>
      <c r="H59" s="49">
        <f>'Costs Hypotheses'!$D41</f>
        <v>500</v>
      </c>
      <c r="I59" s="49">
        <f>'Costs Hypotheses'!$D41</f>
        <v>500</v>
      </c>
      <c r="J59" s="49">
        <f>'Costs Hypotheses'!$D41</f>
        <v>500</v>
      </c>
      <c r="K59" s="49">
        <f>'Costs Hypotheses'!$D41</f>
        <v>500</v>
      </c>
      <c r="L59" s="49">
        <f>'Costs Hypotheses'!$D41</f>
        <v>500</v>
      </c>
      <c r="M59" s="49">
        <f>'Costs Hypotheses'!$D41</f>
        <v>500</v>
      </c>
      <c r="N59" s="49">
        <f>'Costs Hypotheses'!$D41</f>
        <v>500</v>
      </c>
      <c r="O59" s="88">
        <f>'Costs Hypotheses'!$D41</f>
        <v>500</v>
      </c>
      <c r="P59" s="49">
        <f>'Costs Hypotheses'!$D41</f>
        <v>500</v>
      </c>
      <c r="Q59" s="49">
        <f>'Costs Hypotheses'!$D41</f>
        <v>500</v>
      </c>
      <c r="R59" s="49">
        <f>'Costs Hypotheses'!$D41</f>
        <v>500</v>
      </c>
      <c r="S59" s="49">
        <f>'Costs Hypotheses'!$D41</f>
        <v>500</v>
      </c>
      <c r="T59" s="49">
        <f>'Costs Hypotheses'!$D41</f>
        <v>500</v>
      </c>
      <c r="U59" s="49">
        <f>'Costs Hypotheses'!$D41</f>
        <v>500</v>
      </c>
      <c r="V59" s="49">
        <f>'Costs Hypotheses'!$D41</f>
        <v>500</v>
      </c>
      <c r="W59" s="49">
        <f>'Costs Hypotheses'!$D41</f>
        <v>500</v>
      </c>
      <c r="X59" s="49">
        <f>'Costs Hypotheses'!$D41</f>
        <v>500</v>
      </c>
      <c r="Y59" s="49">
        <f>'Costs Hypotheses'!$D41</f>
        <v>500</v>
      </c>
      <c r="Z59" s="89">
        <f>'Costs Hypotheses'!$D41</f>
        <v>500</v>
      </c>
    </row>
    <row r="60" ht="15.75" customHeight="1">
      <c r="A60" s="23"/>
      <c r="B60" s="44" t="str">
        <f>'Costs Hypotheses'!B42</f>
        <v>Cognitive attestation license (future)</v>
      </c>
      <c r="C60" s="88">
        <f>'Costs Hypotheses'!$D42</f>
        <v>0</v>
      </c>
      <c r="D60" s="49">
        <f>'Costs Hypotheses'!$D42</f>
        <v>0</v>
      </c>
      <c r="E60" s="49">
        <f>'Costs Hypotheses'!$D42</f>
        <v>0</v>
      </c>
      <c r="F60" s="49">
        <f>'Costs Hypotheses'!$D42</f>
        <v>0</v>
      </c>
      <c r="G60" s="49">
        <f>'Costs Hypotheses'!$D42</f>
        <v>0</v>
      </c>
      <c r="H60" s="49">
        <f>'Costs Hypotheses'!$D42</f>
        <v>0</v>
      </c>
      <c r="I60" s="49">
        <f>'Costs Hypotheses'!$D42</f>
        <v>0</v>
      </c>
      <c r="J60" s="49">
        <f>'Costs Hypotheses'!$D42</f>
        <v>0</v>
      </c>
      <c r="K60" s="49">
        <f>'Costs Hypotheses'!$D42</f>
        <v>0</v>
      </c>
      <c r="L60" s="49">
        <f>'Costs Hypotheses'!$D42</f>
        <v>0</v>
      </c>
      <c r="M60" s="49">
        <f>'Costs Hypotheses'!$D42</f>
        <v>0</v>
      </c>
      <c r="N60" s="49">
        <f>'Costs Hypotheses'!$D42</f>
        <v>0</v>
      </c>
      <c r="O60" s="88">
        <f>'Costs Hypotheses'!$D42</f>
        <v>0</v>
      </c>
      <c r="P60" s="49">
        <f>'Costs Hypotheses'!$D42</f>
        <v>0</v>
      </c>
      <c r="Q60" s="49">
        <f>'Costs Hypotheses'!$D42</f>
        <v>0</v>
      </c>
      <c r="R60" s="49">
        <f>'Costs Hypotheses'!$D42</f>
        <v>0</v>
      </c>
      <c r="S60" s="49">
        <f>'Costs Hypotheses'!$D42</f>
        <v>0</v>
      </c>
      <c r="T60" s="49">
        <f>'Costs Hypotheses'!$D42</f>
        <v>0</v>
      </c>
      <c r="U60" s="49">
        <f>'Costs Hypotheses'!$D42</f>
        <v>0</v>
      </c>
      <c r="V60" s="49">
        <f>'Costs Hypotheses'!$D42</f>
        <v>0</v>
      </c>
      <c r="W60" s="49">
        <f>'Costs Hypotheses'!$D42</f>
        <v>0</v>
      </c>
      <c r="X60" s="49">
        <f>'Costs Hypotheses'!$D42</f>
        <v>0</v>
      </c>
      <c r="Y60" s="49">
        <f>'Costs Hypotheses'!$D42</f>
        <v>0</v>
      </c>
      <c r="Z60" s="89">
        <f>'Costs Hypotheses'!$D42</f>
        <v>0</v>
      </c>
    </row>
    <row r="61" ht="15.75" customHeight="1">
      <c r="A61" s="85"/>
      <c r="B61" s="85" t="s">
        <v>73</v>
      </c>
      <c r="C61" s="86">
        <f t="shared" ref="C61:Z61" si="10">sum(C52:C60)</f>
        <v>7867</v>
      </c>
      <c r="D61" s="85">
        <f t="shared" si="10"/>
        <v>7867</v>
      </c>
      <c r="E61" s="85">
        <f t="shared" si="10"/>
        <v>7867</v>
      </c>
      <c r="F61" s="85">
        <f t="shared" si="10"/>
        <v>7867</v>
      </c>
      <c r="G61" s="85">
        <f t="shared" si="10"/>
        <v>7867</v>
      </c>
      <c r="H61" s="85">
        <f t="shared" si="10"/>
        <v>7867</v>
      </c>
      <c r="I61" s="85">
        <f t="shared" si="10"/>
        <v>7867</v>
      </c>
      <c r="J61" s="85">
        <f t="shared" si="10"/>
        <v>7867</v>
      </c>
      <c r="K61" s="85">
        <f t="shared" si="10"/>
        <v>7867</v>
      </c>
      <c r="L61" s="85">
        <f t="shared" si="10"/>
        <v>7867</v>
      </c>
      <c r="M61" s="85">
        <f t="shared" si="10"/>
        <v>7867</v>
      </c>
      <c r="N61" s="87">
        <f t="shared" si="10"/>
        <v>7867</v>
      </c>
      <c r="O61" s="85">
        <f t="shared" si="10"/>
        <v>7867</v>
      </c>
      <c r="P61" s="85">
        <f t="shared" si="10"/>
        <v>7867</v>
      </c>
      <c r="Q61" s="85">
        <f t="shared" si="10"/>
        <v>7867</v>
      </c>
      <c r="R61" s="85">
        <f t="shared" si="10"/>
        <v>7867</v>
      </c>
      <c r="S61" s="85">
        <f t="shared" si="10"/>
        <v>7867</v>
      </c>
      <c r="T61" s="85">
        <f t="shared" si="10"/>
        <v>7867</v>
      </c>
      <c r="U61" s="85">
        <f t="shared" si="10"/>
        <v>7867</v>
      </c>
      <c r="V61" s="85">
        <f t="shared" si="10"/>
        <v>7867</v>
      </c>
      <c r="W61" s="85">
        <f t="shared" si="10"/>
        <v>7867</v>
      </c>
      <c r="X61" s="85">
        <f t="shared" si="10"/>
        <v>7867</v>
      </c>
      <c r="Y61" s="85">
        <f t="shared" si="10"/>
        <v>7867</v>
      </c>
      <c r="Z61" s="87">
        <f t="shared" si="10"/>
        <v>7867</v>
      </c>
    </row>
    <row r="62" ht="15.75" customHeight="1">
      <c r="A62" s="23"/>
      <c r="B62" s="23"/>
      <c r="C62" s="56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57"/>
      <c r="O62" s="56"/>
      <c r="Z62" s="57"/>
    </row>
    <row r="63" ht="15.75" customHeight="1">
      <c r="A63" s="58" t="s">
        <v>74</v>
      </c>
    </row>
    <row r="64" ht="15.75" customHeight="1">
      <c r="A64" s="23"/>
      <c r="B64" s="23"/>
      <c r="C64" s="56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57"/>
      <c r="O64" s="56"/>
      <c r="Z64" s="57"/>
    </row>
    <row r="65" ht="15.75" customHeight="1">
      <c r="A65" s="42" t="s">
        <v>2</v>
      </c>
      <c r="B65" s="23"/>
      <c r="C65" s="56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57"/>
      <c r="O65" s="56"/>
      <c r="Z65" s="57"/>
    </row>
    <row r="66" ht="15.75" customHeight="1">
      <c r="A66" s="23"/>
      <c r="B66" s="43" t="s">
        <v>63</v>
      </c>
      <c r="C66" s="59">
        <f t="shared" ref="C66:Z66" si="11">C14</f>
        <v>5367.5</v>
      </c>
      <c r="D66" s="60">
        <f t="shared" si="11"/>
        <v>8657.6475</v>
      </c>
      <c r="E66" s="60">
        <f t="shared" si="11"/>
        <v>12433.86206</v>
      </c>
      <c r="F66" s="60">
        <f t="shared" si="11"/>
        <v>16655.01047</v>
      </c>
      <c r="G66" s="60">
        <f t="shared" si="11"/>
        <v>21374.50944</v>
      </c>
      <c r="H66" s="60">
        <f t="shared" si="11"/>
        <v>26652.18559</v>
      </c>
      <c r="I66" s="60">
        <f t="shared" si="11"/>
        <v>32421.5565</v>
      </c>
      <c r="J66" s="60">
        <f t="shared" si="11"/>
        <v>38755.44788</v>
      </c>
      <c r="K66" s="60">
        <f t="shared" si="11"/>
        <v>45710.36147</v>
      </c>
      <c r="L66" s="60">
        <f t="shared" si="11"/>
        <v>53206.25022</v>
      </c>
      <c r="M66" s="60">
        <f t="shared" si="11"/>
        <v>61286.45384</v>
      </c>
      <c r="N66" s="61">
        <f t="shared" si="11"/>
        <v>69997.77894</v>
      </c>
      <c r="O66" s="60">
        <f t="shared" si="11"/>
        <v>80938.45458</v>
      </c>
      <c r="P66" s="60">
        <f t="shared" si="11"/>
        <v>92733.02086</v>
      </c>
      <c r="Q66" s="60">
        <f t="shared" si="11"/>
        <v>105449.8745</v>
      </c>
      <c r="R66" s="60">
        <f t="shared" si="11"/>
        <v>119032.0057</v>
      </c>
      <c r="S66" s="60">
        <f t="shared" si="11"/>
        <v>133540.0835</v>
      </c>
      <c r="T66" s="60">
        <f t="shared" si="11"/>
        <v>149039.0234</v>
      </c>
      <c r="U66" s="60">
        <f t="shared" si="11"/>
        <v>165437.9536</v>
      </c>
      <c r="V66" s="60">
        <f t="shared" si="11"/>
        <v>182790.9933</v>
      </c>
      <c r="W66" s="60">
        <f t="shared" si="11"/>
        <v>201155.5082</v>
      </c>
      <c r="X66" s="60">
        <f t="shared" si="11"/>
        <v>220401.3491</v>
      </c>
      <c r="Y66" s="60">
        <f t="shared" si="11"/>
        <v>240572.7297</v>
      </c>
      <c r="Z66" s="61">
        <f t="shared" si="11"/>
        <v>261716.0741</v>
      </c>
    </row>
    <row r="67" ht="15.75" customHeight="1">
      <c r="A67" s="42" t="s">
        <v>75</v>
      </c>
      <c r="B67" s="23"/>
      <c r="C67" s="56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57"/>
      <c r="Z67" s="57"/>
    </row>
    <row r="68" ht="15.75" customHeight="1">
      <c r="A68" s="23"/>
      <c r="B68" s="60" t="str">
        <f t="shared" ref="B68:Z68" si="12">B16</f>
        <v>Payment Processing</v>
      </c>
      <c r="C68" s="90">
        <f t="shared" si="12"/>
        <v>161.025</v>
      </c>
      <c r="D68" s="47">
        <f t="shared" si="12"/>
        <v>259.729425</v>
      </c>
      <c r="E68" s="47">
        <f t="shared" si="12"/>
        <v>373.0158617</v>
      </c>
      <c r="F68" s="47">
        <f t="shared" si="12"/>
        <v>499.6503141</v>
      </c>
      <c r="G68" s="47">
        <f t="shared" si="12"/>
        <v>641.2352832</v>
      </c>
      <c r="H68" s="47">
        <f t="shared" si="12"/>
        <v>799.5655677</v>
      </c>
      <c r="I68" s="47">
        <f t="shared" si="12"/>
        <v>972.6466949</v>
      </c>
      <c r="J68" s="47">
        <f t="shared" si="12"/>
        <v>1162.663437</v>
      </c>
      <c r="K68" s="47">
        <f t="shared" si="12"/>
        <v>1371.310844</v>
      </c>
      <c r="L68" s="47">
        <f t="shared" si="12"/>
        <v>1596.187507</v>
      </c>
      <c r="M68" s="47">
        <f t="shared" si="12"/>
        <v>1838.593615</v>
      </c>
      <c r="N68" s="91">
        <f t="shared" si="12"/>
        <v>2099.933368</v>
      </c>
      <c r="O68" s="47">
        <f t="shared" si="12"/>
        <v>2428.153637</v>
      </c>
      <c r="P68" s="47">
        <f t="shared" si="12"/>
        <v>2781.990626</v>
      </c>
      <c r="Q68" s="47">
        <f t="shared" si="12"/>
        <v>3163.496234</v>
      </c>
      <c r="R68" s="47">
        <f t="shared" si="12"/>
        <v>3570.960171</v>
      </c>
      <c r="S68" s="47">
        <f t="shared" si="12"/>
        <v>4006.202505</v>
      </c>
      <c r="T68" s="47">
        <f t="shared" si="12"/>
        <v>4471.170703</v>
      </c>
      <c r="U68" s="47">
        <f t="shared" si="12"/>
        <v>4963.138609</v>
      </c>
      <c r="V68" s="47">
        <f t="shared" si="12"/>
        <v>5483.729798</v>
      </c>
      <c r="W68" s="47">
        <f t="shared" si="12"/>
        <v>6034.665247</v>
      </c>
      <c r="X68" s="47">
        <f t="shared" si="12"/>
        <v>6612.040473</v>
      </c>
      <c r="Y68" s="47">
        <f t="shared" si="12"/>
        <v>7217.181892</v>
      </c>
      <c r="Z68" s="91">
        <f t="shared" si="12"/>
        <v>7851.482224</v>
      </c>
    </row>
    <row r="69" ht="15.75" customHeight="1">
      <c r="A69" s="23"/>
      <c r="B69" s="44" t="str">
        <f t="shared" ref="B69:Z69" si="13">B49</f>
        <v>Hosting &amp; Bandwidth</v>
      </c>
      <c r="C69" s="90">
        <f t="shared" si="13"/>
        <v>1500</v>
      </c>
      <c r="D69" s="47">
        <f t="shared" si="13"/>
        <v>1500</v>
      </c>
      <c r="E69" s="47">
        <f t="shared" si="13"/>
        <v>1500</v>
      </c>
      <c r="F69" s="47">
        <f t="shared" si="13"/>
        <v>1500</v>
      </c>
      <c r="G69" s="47">
        <f t="shared" si="13"/>
        <v>1500</v>
      </c>
      <c r="H69" s="47">
        <f t="shared" si="13"/>
        <v>1500</v>
      </c>
      <c r="I69" s="47">
        <f t="shared" si="13"/>
        <v>1500</v>
      </c>
      <c r="J69" s="47">
        <f t="shared" si="13"/>
        <v>1500</v>
      </c>
      <c r="K69" s="47">
        <f t="shared" si="13"/>
        <v>1500</v>
      </c>
      <c r="L69" s="47">
        <f t="shared" si="13"/>
        <v>1500</v>
      </c>
      <c r="M69" s="47">
        <f t="shared" si="13"/>
        <v>1500</v>
      </c>
      <c r="N69" s="91">
        <f t="shared" si="13"/>
        <v>1500</v>
      </c>
      <c r="O69" s="47">
        <f t="shared" si="13"/>
        <v>1500</v>
      </c>
      <c r="P69" s="47">
        <f t="shared" si="13"/>
        <v>1500</v>
      </c>
      <c r="Q69" s="47">
        <f t="shared" si="13"/>
        <v>1500</v>
      </c>
      <c r="R69" s="47">
        <f t="shared" si="13"/>
        <v>1500</v>
      </c>
      <c r="S69" s="47">
        <f t="shared" si="13"/>
        <v>1500</v>
      </c>
      <c r="T69" s="47">
        <f t="shared" si="13"/>
        <v>1500</v>
      </c>
      <c r="U69" s="47">
        <f t="shared" si="13"/>
        <v>1500</v>
      </c>
      <c r="V69" s="47">
        <f t="shared" si="13"/>
        <v>1500</v>
      </c>
      <c r="W69" s="47">
        <f t="shared" si="13"/>
        <v>1500</v>
      </c>
      <c r="X69" s="47">
        <f t="shared" si="13"/>
        <v>1500</v>
      </c>
      <c r="Y69" s="47">
        <f t="shared" si="13"/>
        <v>1500</v>
      </c>
      <c r="Z69" s="91">
        <f t="shared" si="13"/>
        <v>1500</v>
      </c>
    </row>
    <row r="70" ht="15.75" customHeight="1">
      <c r="A70" s="23"/>
      <c r="B70" s="43" t="s">
        <v>76</v>
      </c>
      <c r="C70" s="90">
        <f>sumif('Costs Hypotheses'!$F$3:$F$22,$B$70,C22:C41)</f>
        <v>0</v>
      </c>
      <c r="D70" s="47">
        <f>sumif('Costs Hypotheses'!$F$3:$F$22,$B$70,D22:D41)</f>
        <v>0</v>
      </c>
      <c r="E70" s="47">
        <f>sumif('Costs Hypotheses'!$F$3:$F$22,$B$70,E22:E41)</f>
        <v>0</v>
      </c>
      <c r="F70" s="47">
        <f>sumif('Costs Hypotheses'!$F$3:$F$22,$B$70,F22:F41)</f>
        <v>0</v>
      </c>
      <c r="G70" s="47">
        <f>sumif('Costs Hypotheses'!$F$3:$F$22,$B$70,G22:G41)</f>
        <v>0</v>
      </c>
      <c r="H70" s="47">
        <f>sumif('Costs Hypotheses'!$F$3:$F$22,$B$70,H22:H41)</f>
        <v>0</v>
      </c>
      <c r="I70" s="47">
        <f>sumif('Costs Hypotheses'!$F$3:$F$22,$B$70,I22:I41)</f>
        <v>0</v>
      </c>
      <c r="J70" s="47">
        <f>sumif('Costs Hypotheses'!$F$3:$F$22,$B$70,J22:J41)</f>
        <v>0</v>
      </c>
      <c r="K70" s="47">
        <f>sumif('Costs Hypotheses'!$F$3:$F$22,$B$70,K22:K41)</f>
        <v>0</v>
      </c>
      <c r="L70" s="47">
        <f>sumif('Costs Hypotheses'!$F$3:$F$22,$B$70,L22:L41)</f>
        <v>0</v>
      </c>
      <c r="M70" s="47">
        <f>sumif('Costs Hypotheses'!$F$3:$F$22,$B$70,M22:M41)</f>
        <v>0</v>
      </c>
      <c r="N70" s="91">
        <f>sumif('Costs Hypotheses'!$F$3:$F$22,$B$70,N22:N41)</f>
        <v>0</v>
      </c>
      <c r="O70" s="47">
        <f>sumif('Costs Hypotheses'!$F$3:$F$22,$B$70,O22:O41)</f>
        <v>0</v>
      </c>
      <c r="P70" s="47">
        <f>sumif('Costs Hypotheses'!$F$3:$F$22,$B$70,P22:P41)</f>
        <v>0</v>
      </c>
      <c r="Q70" s="47">
        <f>sumif('Costs Hypotheses'!$F$3:$F$22,$B$70,Q22:Q41)</f>
        <v>0</v>
      </c>
      <c r="R70" s="47">
        <f>sumif('Costs Hypotheses'!$F$3:$F$22,$B$70,R22:R41)</f>
        <v>0</v>
      </c>
      <c r="S70" s="47">
        <f>sumif('Costs Hypotheses'!$F$3:$F$22,$B$70,S22:S41)</f>
        <v>0</v>
      </c>
      <c r="T70" s="47">
        <f>sumif('Costs Hypotheses'!$F$3:$F$22,$B$70,T22:T41)</f>
        <v>0</v>
      </c>
      <c r="U70" s="47">
        <f>sumif('Costs Hypotheses'!$F$3:$F$22,$B$70,U22:U41)</f>
        <v>0</v>
      </c>
      <c r="V70" s="47">
        <f>sumif('Costs Hypotheses'!$F$3:$F$22,$B$70,V22:V41)</f>
        <v>0</v>
      </c>
      <c r="W70" s="47">
        <f>sumif('Costs Hypotheses'!$F$3:$F$22,$B$70,W22:W41)</f>
        <v>0</v>
      </c>
      <c r="X70" s="47">
        <f>sumif('Costs Hypotheses'!$F$3:$F$22,$B$70,X22:X41)</f>
        <v>0</v>
      </c>
      <c r="Y70" s="47">
        <f>sumif('Costs Hypotheses'!$F$3:$F$22,$B$70,Y22:Y41)</f>
        <v>0</v>
      </c>
      <c r="Z70" s="91">
        <f>sumif('Costs Hypotheses'!$F$3:$F$22,$B$70,Z22:Z41)</f>
        <v>0</v>
      </c>
    </row>
    <row r="71" ht="15.75" customHeight="1">
      <c r="A71" s="85"/>
      <c r="B71" s="85" t="s">
        <v>77</v>
      </c>
      <c r="C71" s="86">
        <f t="shared" ref="C71:Z71" si="14">sum(C68:C70)</f>
        <v>1661.025</v>
      </c>
      <c r="D71" s="85">
        <f t="shared" si="14"/>
        <v>1759.729425</v>
      </c>
      <c r="E71" s="85">
        <f t="shared" si="14"/>
        <v>1873.015862</v>
      </c>
      <c r="F71" s="85">
        <f t="shared" si="14"/>
        <v>1999.650314</v>
      </c>
      <c r="G71" s="85">
        <f t="shared" si="14"/>
        <v>2141.235283</v>
      </c>
      <c r="H71" s="85">
        <f t="shared" si="14"/>
        <v>2299.565568</v>
      </c>
      <c r="I71" s="85">
        <f t="shared" si="14"/>
        <v>2472.646695</v>
      </c>
      <c r="J71" s="85">
        <f t="shared" si="14"/>
        <v>2662.663437</v>
      </c>
      <c r="K71" s="85">
        <f t="shared" si="14"/>
        <v>2871.310844</v>
      </c>
      <c r="L71" s="85">
        <f t="shared" si="14"/>
        <v>3096.187507</v>
      </c>
      <c r="M71" s="85">
        <f t="shared" si="14"/>
        <v>3338.593615</v>
      </c>
      <c r="N71" s="85">
        <f t="shared" si="14"/>
        <v>3599.933368</v>
      </c>
      <c r="O71" s="86">
        <f t="shared" si="14"/>
        <v>3928.153637</v>
      </c>
      <c r="P71" s="85">
        <f t="shared" si="14"/>
        <v>4281.990626</v>
      </c>
      <c r="Q71" s="85">
        <f t="shared" si="14"/>
        <v>4663.496234</v>
      </c>
      <c r="R71" s="85">
        <f t="shared" si="14"/>
        <v>5070.960171</v>
      </c>
      <c r="S71" s="85">
        <f t="shared" si="14"/>
        <v>5506.202505</v>
      </c>
      <c r="T71" s="85">
        <f t="shared" si="14"/>
        <v>5971.170703</v>
      </c>
      <c r="U71" s="85">
        <f t="shared" si="14"/>
        <v>6463.138609</v>
      </c>
      <c r="V71" s="85">
        <f t="shared" si="14"/>
        <v>6983.729798</v>
      </c>
      <c r="W71" s="85">
        <f t="shared" si="14"/>
        <v>7534.665247</v>
      </c>
      <c r="X71" s="85">
        <f t="shared" si="14"/>
        <v>8112.040473</v>
      </c>
      <c r="Y71" s="85">
        <f t="shared" si="14"/>
        <v>8717.181892</v>
      </c>
      <c r="Z71" s="85">
        <f t="shared" si="14"/>
        <v>9351.482224</v>
      </c>
    </row>
    <row r="72" ht="15.75" customHeight="1">
      <c r="A72" s="92"/>
      <c r="B72" s="92"/>
      <c r="C72" s="93">
        <f t="shared" ref="C72:Z72" si="15">C71/C66</f>
        <v>0.3094597112</v>
      </c>
      <c r="D72" s="94">
        <f t="shared" si="15"/>
        <v>0.2032572272</v>
      </c>
      <c r="E72" s="94">
        <f t="shared" si="15"/>
        <v>0.1506383015</v>
      </c>
      <c r="F72" s="94">
        <f t="shared" si="15"/>
        <v>0.1200629875</v>
      </c>
      <c r="G72" s="94">
        <f t="shared" si="15"/>
        <v>0.1001770492</v>
      </c>
      <c r="H72" s="94">
        <f t="shared" si="15"/>
        <v>0.08628056261</v>
      </c>
      <c r="I72" s="94">
        <f t="shared" si="15"/>
        <v>0.07626551474</v>
      </c>
      <c r="J72" s="94">
        <f t="shared" si="15"/>
        <v>0.06870423597</v>
      </c>
      <c r="K72" s="94">
        <f t="shared" si="15"/>
        <v>0.06281531696</v>
      </c>
      <c r="L72" s="94">
        <f t="shared" si="15"/>
        <v>0.05819217655</v>
      </c>
      <c r="M72" s="94">
        <f t="shared" si="15"/>
        <v>0.05447522912</v>
      </c>
      <c r="N72" s="95">
        <f t="shared" si="15"/>
        <v>0.05142925137</v>
      </c>
      <c r="O72" s="94">
        <f t="shared" si="15"/>
        <v>0.04853259996</v>
      </c>
      <c r="P72" s="94">
        <f t="shared" si="15"/>
        <v>0.04617546788</v>
      </c>
      <c r="Q72" s="94">
        <f t="shared" si="15"/>
        <v>0.044224768</v>
      </c>
      <c r="R72" s="94">
        <f t="shared" si="15"/>
        <v>0.04260165274</v>
      </c>
      <c r="S72" s="94">
        <f t="shared" si="15"/>
        <v>0.04123258246</v>
      </c>
      <c r="T72" s="94">
        <f t="shared" si="15"/>
        <v>0.04006447818</v>
      </c>
      <c r="U72" s="94">
        <f t="shared" si="15"/>
        <v>0.03906684329</v>
      </c>
      <c r="V72" s="94">
        <f t="shared" si="15"/>
        <v>0.0382060936</v>
      </c>
      <c r="W72" s="94">
        <f t="shared" si="15"/>
        <v>0.03745691735</v>
      </c>
      <c r="X72" s="94">
        <f t="shared" si="15"/>
        <v>0.03680576596</v>
      </c>
      <c r="Y72" s="94">
        <f t="shared" si="15"/>
        <v>0.03623512067</v>
      </c>
      <c r="Z72" s="95">
        <f t="shared" si="15"/>
        <v>0.03573140188</v>
      </c>
    </row>
    <row r="73" ht="15.75" customHeight="1">
      <c r="A73" s="42" t="s">
        <v>78</v>
      </c>
      <c r="B73" s="23"/>
      <c r="C73" s="56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57"/>
      <c r="Z73" s="57"/>
    </row>
    <row r="74" ht="15.75" customHeight="1">
      <c r="A74" s="85"/>
      <c r="B74" s="85" t="s">
        <v>78</v>
      </c>
      <c r="C74" s="86">
        <f t="shared" ref="C74:Z74" si="16">C66-C71</f>
        <v>3706.475</v>
      </c>
      <c r="D74" s="85">
        <f t="shared" si="16"/>
        <v>6897.918075</v>
      </c>
      <c r="E74" s="85">
        <f t="shared" si="16"/>
        <v>10560.8462</v>
      </c>
      <c r="F74" s="85">
        <f t="shared" si="16"/>
        <v>14655.36016</v>
      </c>
      <c r="G74" s="85">
        <f t="shared" si="16"/>
        <v>19233.27416</v>
      </c>
      <c r="H74" s="85">
        <f t="shared" si="16"/>
        <v>24352.62002</v>
      </c>
      <c r="I74" s="85">
        <f t="shared" si="16"/>
        <v>29948.9098</v>
      </c>
      <c r="J74" s="85">
        <f t="shared" si="16"/>
        <v>36092.78445</v>
      </c>
      <c r="K74" s="85">
        <f t="shared" si="16"/>
        <v>42839.05062</v>
      </c>
      <c r="L74" s="85">
        <f t="shared" si="16"/>
        <v>50110.06272</v>
      </c>
      <c r="M74" s="85">
        <f t="shared" si="16"/>
        <v>57947.86023</v>
      </c>
      <c r="N74" s="85">
        <f t="shared" si="16"/>
        <v>66397.84557</v>
      </c>
      <c r="O74" s="86">
        <f t="shared" si="16"/>
        <v>77010.30094</v>
      </c>
      <c r="P74" s="85">
        <f t="shared" si="16"/>
        <v>88451.03023</v>
      </c>
      <c r="Q74" s="85">
        <f t="shared" si="16"/>
        <v>100786.3782</v>
      </c>
      <c r="R74" s="85">
        <f t="shared" si="16"/>
        <v>113961.0455</v>
      </c>
      <c r="S74" s="85">
        <f t="shared" si="16"/>
        <v>128033.881</v>
      </c>
      <c r="T74" s="85">
        <f t="shared" si="16"/>
        <v>143067.8527</v>
      </c>
      <c r="U74" s="85">
        <f t="shared" si="16"/>
        <v>158974.815</v>
      </c>
      <c r="V74" s="85">
        <f t="shared" si="16"/>
        <v>175807.2635</v>
      </c>
      <c r="W74" s="85">
        <f t="shared" si="16"/>
        <v>193620.843</v>
      </c>
      <c r="X74" s="85">
        <f t="shared" si="16"/>
        <v>212289.3086</v>
      </c>
      <c r="Y74" s="85">
        <f t="shared" si="16"/>
        <v>231855.5478</v>
      </c>
      <c r="Z74" s="85">
        <f t="shared" si="16"/>
        <v>252364.5919</v>
      </c>
    </row>
    <row r="75" ht="15.75" customHeight="1">
      <c r="A75" s="92"/>
      <c r="B75" s="92"/>
      <c r="C75" s="93">
        <f t="shared" ref="C75:Z75" si="17">C74/C66</f>
        <v>0.6905402888</v>
      </c>
      <c r="D75" s="94">
        <f t="shared" si="17"/>
        <v>0.7967427728</v>
      </c>
      <c r="E75" s="94">
        <f t="shared" si="17"/>
        <v>0.8493616985</v>
      </c>
      <c r="F75" s="94">
        <f t="shared" si="17"/>
        <v>0.8799370125</v>
      </c>
      <c r="G75" s="94">
        <f t="shared" si="17"/>
        <v>0.8998229508</v>
      </c>
      <c r="H75" s="94">
        <f t="shared" si="17"/>
        <v>0.9137194374</v>
      </c>
      <c r="I75" s="94">
        <f t="shared" si="17"/>
        <v>0.9237344853</v>
      </c>
      <c r="J75" s="94">
        <f t="shared" si="17"/>
        <v>0.931295764</v>
      </c>
      <c r="K75" s="94">
        <f t="shared" si="17"/>
        <v>0.937184683</v>
      </c>
      <c r="L75" s="94">
        <f t="shared" si="17"/>
        <v>0.9418078234</v>
      </c>
      <c r="M75" s="94">
        <f t="shared" si="17"/>
        <v>0.9455247709</v>
      </c>
      <c r="N75" s="95">
        <f t="shared" si="17"/>
        <v>0.9485707486</v>
      </c>
      <c r="O75" s="94">
        <f t="shared" si="17"/>
        <v>0.9514674</v>
      </c>
      <c r="P75" s="94">
        <f t="shared" si="17"/>
        <v>0.9538245321</v>
      </c>
      <c r="Q75" s="94">
        <f t="shared" si="17"/>
        <v>0.955775232</v>
      </c>
      <c r="R75" s="94">
        <f t="shared" si="17"/>
        <v>0.9573983473</v>
      </c>
      <c r="S75" s="94">
        <f t="shared" si="17"/>
        <v>0.9587674175</v>
      </c>
      <c r="T75" s="94">
        <f t="shared" si="17"/>
        <v>0.9599355218</v>
      </c>
      <c r="U75" s="94">
        <f t="shared" si="17"/>
        <v>0.9609331567</v>
      </c>
      <c r="V75" s="94">
        <f t="shared" si="17"/>
        <v>0.9617939064</v>
      </c>
      <c r="W75" s="94">
        <f t="shared" si="17"/>
        <v>0.9625430826</v>
      </c>
      <c r="X75" s="94">
        <f t="shared" si="17"/>
        <v>0.963194234</v>
      </c>
      <c r="Y75" s="94">
        <f t="shared" si="17"/>
        <v>0.9637648793</v>
      </c>
      <c r="Z75" s="95">
        <f t="shared" si="17"/>
        <v>0.9642685981</v>
      </c>
    </row>
    <row r="76" ht="15.75" customHeight="1">
      <c r="A76" s="42" t="s">
        <v>79</v>
      </c>
      <c r="B76" s="43"/>
      <c r="C76" s="90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91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91"/>
    </row>
    <row r="77" ht="15.75" customHeight="1">
      <c r="A77" s="23"/>
      <c r="B77" s="43" t="s">
        <v>8</v>
      </c>
      <c r="C77" s="90">
        <f>sumif('Costs Hypotheses'!$F$3:$F$22,$B$77,C22:C41)+C47+C53</f>
        <v>1161.025</v>
      </c>
      <c r="D77" s="47">
        <f>sumif('Costs Hypotheses'!$F$3:$F$22,$B$77,D22:D41)+D47+D53</f>
        <v>1259.729425</v>
      </c>
      <c r="E77" s="47">
        <f>sumif('Costs Hypotheses'!$F$3:$F$22,$B$77,E22:E41)+E47+E53</f>
        <v>1373.015862</v>
      </c>
      <c r="F77" s="47">
        <f>sumif('Costs Hypotheses'!$F$3:$F$22,$B$77,F22:F41)+F47+F53</f>
        <v>1499.650314</v>
      </c>
      <c r="G77" s="47">
        <f>sumif('Costs Hypotheses'!$F$3:$F$22,$B$77,G22:G41)+G47+G53</f>
        <v>1641.235283</v>
      </c>
      <c r="H77" s="47">
        <f>sumif('Costs Hypotheses'!$F$3:$F$22,$B$77,H22:H41)+H47+H53</f>
        <v>1799.565568</v>
      </c>
      <c r="I77" s="47">
        <f>sumif('Costs Hypotheses'!$F$3:$F$22,$B$77,I22:I41)+I47+I53</f>
        <v>1972.646695</v>
      </c>
      <c r="J77" s="47">
        <f>sumif('Costs Hypotheses'!$F$3:$F$22,$B$77,J22:J41)+J47+J53</f>
        <v>2162.663437</v>
      </c>
      <c r="K77" s="47">
        <f>sumif('Costs Hypotheses'!$F$3:$F$22,$B$77,K22:K41)+K47+K53</f>
        <v>2371.310844</v>
      </c>
      <c r="L77" s="47">
        <f>sumif('Costs Hypotheses'!$F$3:$F$22,$B$77,L22:L41)+L47+L53</f>
        <v>2596.187507</v>
      </c>
      <c r="M77" s="47">
        <f>sumif('Costs Hypotheses'!$F$3:$F$22,$B$77,M22:M41)+M47+M53</f>
        <v>2838.593615</v>
      </c>
      <c r="N77" s="91">
        <f>sumif('Costs Hypotheses'!$F$3:$F$22,$B$77,N22:N41)+N47+N53</f>
        <v>3099.933368</v>
      </c>
      <c r="O77" s="47">
        <f>sumif('Costs Hypotheses'!$F$3:$F$22,$B$77,O22:O41)+O47+O53</f>
        <v>3428.153637</v>
      </c>
      <c r="P77" s="47">
        <f>sumif('Costs Hypotheses'!$F$3:$F$22,$B$77,P22:P41)+P47+P53</f>
        <v>3781.990626</v>
      </c>
      <c r="Q77" s="47">
        <f>sumif('Costs Hypotheses'!$F$3:$F$22,$B$77,Q22:Q41)+Q47+Q53</f>
        <v>4163.496234</v>
      </c>
      <c r="R77" s="47">
        <f>sumif('Costs Hypotheses'!$F$3:$F$22,$B$77,R22:R41)+R47+R53</f>
        <v>4570.960171</v>
      </c>
      <c r="S77" s="47">
        <f>sumif('Costs Hypotheses'!$F$3:$F$22,$B$77,S22:S41)+S47+S53</f>
        <v>5006.202505</v>
      </c>
      <c r="T77" s="47">
        <f>sumif('Costs Hypotheses'!$F$3:$F$22,$B$77,T22:T41)+T47+T53</f>
        <v>5471.170703</v>
      </c>
      <c r="U77" s="47">
        <f>sumif('Costs Hypotheses'!$F$3:$F$22,$B$77,U22:U41)+U47+U53</f>
        <v>5963.138609</v>
      </c>
      <c r="V77" s="47">
        <f>sumif('Costs Hypotheses'!$F$3:$F$22,$B$77,V22:V41)+V47+V53</f>
        <v>6483.729798</v>
      </c>
      <c r="W77" s="47">
        <f>sumif('Costs Hypotheses'!$F$3:$F$22,$B$77,W22:W41)+W47+W53</f>
        <v>7034.665247</v>
      </c>
      <c r="X77" s="47">
        <f>sumif('Costs Hypotheses'!$F$3:$F$22,$B$77,X22:X41)+X47+X53</f>
        <v>7612.040473</v>
      </c>
      <c r="Y77" s="47">
        <f>sumif('Costs Hypotheses'!$F$3:$F$22,$B$77,Y22:Y41)+Y47+Y53</f>
        <v>8217.181892</v>
      </c>
      <c r="Z77" s="91">
        <f>sumif('Costs Hypotheses'!$F$3:$F$22,$B$77,Z22:Z41)+Z47+Z53</f>
        <v>8851.482224</v>
      </c>
    </row>
    <row r="78" ht="15.75" customHeight="1">
      <c r="A78" s="92"/>
      <c r="B78" s="92" t="s">
        <v>80</v>
      </c>
      <c r="C78" s="93">
        <f t="shared" ref="C78:Z78" si="18">C77/C66</f>
        <v>0.2163064741</v>
      </c>
      <c r="D78" s="94">
        <f t="shared" si="18"/>
        <v>0.1455048181</v>
      </c>
      <c r="E78" s="94">
        <f t="shared" si="18"/>
        <v>0.1104255343</v>
      </c>
      <c r="F78" s="94">
        <f t="shared" si="18"/>
        <v>0.09004199167</v>
      </c>
      <c r="G78" s="94">
        <f t="shared" si="18"/>
        <v>0.07678469945</v>
      </c>
      <c r="H78" s="94">
        <f t="shared" si="18"/>
        <v>0.06752037508</v>
      </c>
      <c r="I78" s="94">
        <f t="shared" si="18"/>
        <v>0.06084367649</v>
      </c>
      <c r="J78" s="94">
        <f t="shared" si="18"/>
        <v>0.05580282398</v>
      </c>
      <c r="K78" s="94">
        <f t="shared" si="18"/>
        <v>0.05187687798</v>
      </c>
      <c r="L78" s="94">
        <f t="shared" si="18"/>
        <v>0.04879478437</v>
      </c>
      <c r="M78" s="94">
        <f t="shared" si="18"/>
        <v>0.04631681942</v>
      </c>
      <c r="N78" s="95">
        <f t="shared" si="18"/>
        <v>0.04428616758</v>
      </c>
      <c r="O78" s="94">
        <f t="shared" si="18"/>
        <v>0.04235506664</v>
      </c>
      <c r="P78" s="94">
        <f t="shared" si="18"/>
        <v>0.04078364525</v>
      </c>
      <c r="Q78" s="94">
        <f t="shared" si="18"/>
        <v>0.03948317867</v>
      </c>
      <c r="R78" s="94">
        <f t="shared" si="18"/>
        <v>0.03840110182</v>
      </c>
      <c r="S78" s="94">
        <f t="shared" si="18"/>
        <v>0.03748838831</v>
      </c>
      <c r="T78" s="94">
        <f t="shared" si="18"/>
        <v>0.03670965212</v>
      </c>
      <c r="U78" s="94">
        <f t="shared" si="18"/>
        <v>0.03604456219</v>
      </c>
      <c r="V78" s="94">
        <f t="shared" si="18"/>
        <v>0.03547072907</v>
      </c>
      <c r="W78" s="94">
        <f t="shared" si="18"/>
        <v>0.03497127824</v>
      </c>
      <c r="X78" s="94">
        <f t="shared" si="18"/>
        <v>0.03453717731</v>
      </c>
      <c r="Y78" s="94">
        <f t="shared" si="18"/>
        <v>0.03415674711</v>
      </c>
      <c r="Z78" s="95">
        <f t="shared" si="18"/>
        <v>0.03382093459</v>
      </c>
    </row>
    <row r="79" ht="15.75" customHeight="1">
      <c r="A79" s="23"/>
      <c r="B79" s="23"/>
      <c r="C79" s="56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57"/>
      <c r="Z79" s="57"/>
    </row>
    <row r="80" ht="15.75" customHeight="1">
      <c r="A80" s="23"/>
      <c r="B80" s="43" t="s">
        <v>9</v>
      </c>
      <c r="C80" s="88">
        <f>sumif('Costs Hypotheses'!$F$3:$F$22,$B$80,C22:C41)+C52</f>
        <v>13000</v>
      </c>
      <c r="D80" s="49">
        <f>sumif('Costs Hypotheses'!$F$3:$F$22,$B$80,D22:D41)+D52</f>
        <v>13000</v>
      </c>
      <c r="E80" s="49">
        <f>sumif('Costs Hypotheses'!$F$3:$F$22,$B$80,E22:E41)+E52</f>
        <v>13000</v>
      </c>
      <c r="F80" s="49">
        <f>sumif('Costs Hypotheses'!$F$3:$F$22,$B$80,F22:F41)+F52</f>
        <v>23000</v>
      </c>
      <c r="G80" s="49">
        <f>sumif('Costs Hypotheses'!$F$3:$F$22,$B$80,G22:G41)+G52</f>
        <v>23000</v>
      </c>
      <c r="H80" s="49">
        <f>sumif('Costs Hypotheses'!$F$3:$F$22,$B$80,H22:H41)+H52</f>
        <v>23000</v>
      </c>
      <c r="I80" s="49">
        <f>sumif('Costs Hypotheses'!$F$3:$F$22,$B$80,I22:I41)+I52</f>
        <v>23000</v>
      </c>
      <c r="J80" s="49">
        <f>sumif('Costs Hypotheses'!$F$3:$F$22,$B$80,J22:J41)+J52</f>
        <v>23000</v>
      </c>
      <c r="K80" s="49">
        <f>sumif('Costs Hypotheses'!$F$3:$F$22,$B$80,K22:K41)+K52</f>
        <v>23000</v>
      </c>
      <c r="L80" s="49">
        <f>sumif('Costs Hypotheses'!$F$3:$F$22,$B$80,L22:L41)+L52</f>
        <v>33000</v>
      </c>
      <c r="M80" s="49">
        <f>sumif('Costs Hypotheses'!$F$3:$F$22,$B$80,M22:M41)+M52</f>
        <v>33000</v>
      </c>
      <c r="N80" s="89">
        <f>sumif('Costs Hypotheses'!$F$3:$F$22,$B$80,N22:N41)+N52</f>
        <v>33000</v>
      </c>
      <c r="O80" s="49">
        <f>sumif('Costs Hypotheses'!$F$3:$F$22,$B$80,O22:O41)+O52</f>
        <v>33000</v>
      </c>
      <c r="P80" s="49">
        <f>sumif('Costs Hypotheses'!$F$3:$F$22,$B$80,P22:P41)+P52</f>
        <v>33000</v>
      </c>
      <c r="Q80" s="49">
        <f>sumif('Costs Hypotheses'!$F$3:$F$22,$B$80,Q22:Q41)+Q52</f>
        <v>33000</v>
      </c>
      <c r="R80" s="49">
        <f>sumif('Costs Hypotheses'!$F$3:$F$22,$B$80,R22:R41)+R52</f>
        <v>33000</v>
      </c>
      <c r="S80" s="49">
        <f>sumif('Costs Hypotheses'!$F$3:$F$22,$B$80,S22:S41)+S52</f>
        <v>33000</v>
      </c>
      <c r="T80" s="49">
        <f>sumif('Costs Hypotheses'!$F$3:$F$22,$B$80,T22:T41)+T52</f>
        <v>33000</v>
      </c>
      <c r="U80" s="49">
        <f>sumif('Costs Hypotheses'!$F$3:$F$22,$B$80,U22:U41)+U52</f>
        <v>33000</v>
      </c>
      <c r="V80" s="49">
        <f>sumif('Costs Hypotheses'!$F$3:$F$22,$B$80,V22:V41)+V52</f>
        <v>33000</v>
      </c>
      <c r="W80" s="49">
        <f>sumif('Costs Hypotheses'!$F$3:$F$22,$B$80,W22:W41)+W52</f>
        <v>33000</v>
      </c>
      <c r="X80" s="49">
        <f>sumif('Costs Hypotheses'!$F$3:$F$22,$B$80,X22:X41)+X52</f>
        <v>33000</v>
      </c>
      <c r="Y80" s="49">
        <f>sumif('Costs Hypotheses'!$F$3:$F$22,$B$80,Y22:Y41)+Y52</f>
        <v>33000</v>
      </c>
      <c r="Z80" s="89">
        <f>sumif('Costs Hypotheses'!$F$3:$F$22,$B$80,Z22:Z41)+Z52</f>
        <v>33000</v>
      </c>
    </row>
    <row r="81" ht="15.75" customHeight="1">
      <c r="A81" s="92"/>
      <c r="B81" s="92" t="s">
        <v>80</v>
      </c>
      <c r="C81" s="93">
        <f t="shared" ref="C81:Z81" si="19">C80/C66</f>
        <v>2.421984164</v>
      </c>
      <c r="D81" s="94">
        <f t="shared" si="19"/>
        <v>1.501562636</v>
      </c>
      <c r="E81" s="94">
        <f t="shared" si="19"/>
        <v>1.045531947</v>
      </c>
      <c r="F81" s="94">
        <f t="shared" si="19"/>
        <v>1.380965808</v>
      </c>
      <c r="G81" s="94">
        <f t="shared" si="19"/>
        <v>1.076048087</v>
      </c>
      <c r="H81" s="94">
        <f t="shared" si="19"/>
        <v>0.8629686268</v>
      </c>
      <c r="I81" s="94">
        <f t="shared" si="19"/>
        <v>0.7094045593</v>
      </c>
      <c r="J81" s="94">
        <f t="shared" si="19"/>
        <v>0.5934649515</v>
      </c>
      <c r="K81" s="94">
        <f t="shared" si="19"/>
        <v>0.5031681934</v>
      </c>
      <c r="L81" s="94">
        <f t="shared" si="19"/>
        <v>0.6202278841</v>
      </c>
      <c r="M81" s="94">
        <f t="shared" si="19"/>
        <v>0.5384550407</v>
      </c>
      <c r="N81" s="95">
        <f t="shared" si="19"/>
        <v>0.4714435301</v>
      </c>
      <c r="O81" s="94">
        <f t="shared" si="19"/>
        <v>0.4077171991</v>
      </c>
      <c r="P81" s="94">
        <f t="shared" si="19"/>
        <v>0.3558602933</v>
      </c>
      <c r="Q81" s="94">
        <f t="shared" si="19"/>
        <v>0.312944896</v>
      </c>
      <c r="R81" s="94">
        <f t="shared" si="19"/>
        <v>0.2772363602</v>
      </c>
      <c r="S81" s="94">
        <f t="shared" si="19"/>
        <v>0.2471168142</v>
      </c>
      <c r="T81" s="94">
        <f t="shared" si="19"/>
        <v>0.22141852</v>
      </c>
      <c r="U81" s="94">
        <f t="shared" si="19"/>
        <v>0.1994705524</v>
      </c>
      <c r="V81" s="94">
        <f t="shared" si="19"/>
        <v>0.1805340592</v>
      </c>
      <c r="W81" s="94">
        <f t="shared" si="19"/>
        <v>0.1640521818</v>
      </c>
      <c r="X81" s="94">
        <f t="shared" si="19"/>
        <v>0.1497268512</v>
      </c>
      <c r="Y81" s="94">
        <f t="shared" si="19"/>
        <v>0.1371726548</v>
      </c>
      <c r="Z81" s="95">
        <f t="shared" si="19"/>
        <v>0.1260908414</v>
      </c>
    </row>
    <row r="82" ht="15.75" customHeight="1">
      <c r="A82" s="23"/>
      <c r="B82" s="23"/>
      <c r="C82" s="56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57"/>
      <c r="Z82" s="57"/>
    </row>
    <row r="83" ht="15.75" customHeight="1">
      <c r="A83" s="23"/>
      <c r="B83" s="43" t="s">
        <v>10</v>
      </c>
      <c r="C83" s="88">
        <f>sumif('Costs Hypotheses'!$F$3:$F$22,$B$83,C22:C41)+sum(C54:C60)</f>
        <v>13867</v>
      </c>
      <c r="D83" s="49">
        <f>sumif('Costs Hypotheses'!$F$3:$F$22,$B$83,D22:D41)+sum(D54:D60)</f>
        <v>13867</v>
      </c>
      <c r="E83" s="49">
        <f>sumif('Costs Hypotheses'!$F$3:$F$22,$B$83,E22:E41)+sum(E54:E60)</f>
        <v>13867</v>
      </c>
      <c r="F83" s="49">
        <f>sumif('Costs Hypotheses'!$F$3:$F$22,$B$83,F22:F41)+sum(F54:F60)</f>
        <v>13867</v>
      </c>
      <c r="G83" s="49">
        <f>sumif('Costs Hypotheses'!$F$3:$F$22,$B$83,G22:G41)+sum(G54:G60)</f>
        <v>13867</v>
      </c>
      <c r="H83" s="49">
        <f>sumif('Costs Hypotheses'!$F$3:$F$22,$B$83,H22:H41)+sum(H54:H60)</f>
        <v>13867</v>
      </c>
      <c r="I83" s="49">
        <f>sumif('Costs Hypotheses'!$F$3:$F$22,$B$83,I22:I41)+sum(I54:I60)</f>
        <v>13867</v>
      </c>
      <c r="J83" s="49">
        <f>sumif('Costs Hypotheses'!$F$3:$F$22,$B$83,J22:J41)+sum(J54:J60)</f>
        <v>13867</v>
      </c>
      <c r="K83" s="49">
        <f>sumif('Costs Hypotheses'!$F$3:$F$22,$B$83,K22:K41)+sum(K54:K60)</f>
        <v>13867</v>
      </c>
      <c r="L83" s="49">
        <f>sumif('Costs Hypotheses'!$F$3:$F$22,$B$83,L22:L41)+sum(L54:L60)</f>
        <v>13867</v>
      </c>
      <c r="M83" s="49">
        <f>sumif('Costs Hypotheses'!$F$3:$F$22,$B$83,M22:M41)+sum(M54:M60)</f>
        <v>13867</v>
      </c>
      <c r="N83" s="89">
        <f>sumif('Costs Hypotheses'!$F$3:$F$22,$B$83,N22:N41)+sum(N54:N60)</f>
        <v>13867</v>
      </c>
      <c r="O83" s="49">
        <f>sumif('Costs Hypotheses'!$F$3:$F$22,$B$83,O22:O41)+sum(O54:O60)</f>
        <v>13867</v>
      </c>
      <c r="P83" s="49">
        <f>sumif('Costs Hypotheses'!$F$3:$F$22,$B$83,P22:P41)+sum(P54:P60)</f>
        <v>13867</v>
      </c>
      <c r="Q83" s="49">
        <f>sumif('Costs Hypotheses'!$F$3:$F$22,$B$83,Q22:Q41)+sum(Q54:Q60)</f>
        <v>13867</v>
      </c>
      <c r="R83" s="49">
        <f>sumif('Costs Hypotheses'!$F$3:$F$22,$B$83,R22:R41)+sum(R54:R60)</f>
        <v>13867</v>
      </c>
      <c r="S83" s="49">
        <f>sumif('Costs Hypotheses'!$F$3:$F$22,$B$83,S22:S41)+sum(S54:S60)</f>
        <v>13867</v>
      </c>
      <c r="T83" s="49">
        <f>sumif('Costs Hypotheses'!$F$3:$F$22,$B$83,T22:T41)+sum(T54:T60)</f>
        <v>13867</v>
      </c>
      <c r="U83" s="49">
        <f>sumif('Costs Hypotheses'!$F$3:$F$22,$B$83,U22:U41)+sum(U54:U60)</f>
        <v>13867</v>
      </c>
      <c r="V83" s="49">
        <f>sumif('Costs Hypotheses'!$F$3:$F$22,$B$83,V22:V41)+sum(V54:V60)</f>
        <v>13867</v>
      </c>
      <c r="W83" s="49">
        <f>sumif('Costs Hypotheses'!$F$3:$F$22,$B$83,W22:W41)+sum(W54:W60)</f>
        <v>13867</v>
      </c>
      <c r="X83" s="49">
        <f>sumif('Costs Hypotheses'!$F$3:$F$22,$B$83,X22:X41)+sum(X54:X60)</f>
        <v>13867</v>
      </c>
      <c r="Y83" s="49">
        <f>sumif('Costs Hypotheses'!$F$3:$F$22,$B$83,Y22:Y41)+sum(Y54:Y60)</f>
        <v>13867</v>
      </c>
      <c r="Z83" s="89">
        <f>sumif('Costs Hypotheses'!$F$3:$F$22,$B$83,Z22:Z41)+sum(Z54:Z60)</f>
        <v>13867</v>
      </c>
    </row>
    <row r="84" ht="15.75" customHeight="1">
      <c r="A84" s="92"/>
      <c r="B84" s="92" t="s">
        <v>80</v>
      </c>
      <c r="C84" s="93">
        <f t="shared" ref="C84:Z84" si="20">C83/C66</f>
        <v>2.583511877</v>
      </c>
      <c r="D84" s="94">
        <f t="shared" si="20"/>
        <v>1.601705313</v>
      </c>
      <c r="E84" s="94">
        <f t="shared" si="20"/>
        <v>1.115260885</v>
      </c>
      <c r="F84" s="94">
        <f t="shared" si="20"/>
        <v>0.8326022985</v>
      </c>
      <c r="G84" s="94">
        <f t="shared" si="20"/>
        <v>0.6487634272</v>
      </c>
      <c r="H84" s="94">
        <f t="shared" si="20"/>
        <v>0.5202950412</v>
      </c>
      <c r="I84" s="94">
        <f t="shared" si="20"/>
        <v>0.4277092619</v>
      </c>
      <c r="J84" s="94">
        <f t="shared" si="20"/>
        <v>0.3578077601</v>
      </c>
      <c r="K84" s="94">
        <f t="shared" si="20"/>
        <v>0.3033666669</v>
      </c>
      <c r="L84" s="94">
        <f t="shared" si="20"/>
        <v>0.2606272748</v>
      </c>
      <c r="M84" s="94">
        <f t="shared" si="20"/>
        <v>0.2262653348</v>
      </c>
      <c r="N84" s="95">
        <f t="shared" si="20"/>
        <v>0.1981062858</v>
      </c>
      <c r="O84" s="94">
        <f t="shared" si="20"/>
        <v>0.1713277091</v>
      </c>
      <c r="P84" s="94">
        <f t="shared" si="20"/>
        <v>0.1495368087</v>
      </c>
      <c r="Q84" s="94">
        <f t="shared" si="20"/>
        <v>0.1315032386</v>
      </c>
      <c r="R84" s="94">
        <f t="shared" si="20"/>
        <v>0.116498079</v>
      </c>
      <c r="S84" s="94">
        <f t="shared" si="20"/>
        <v>0.1038414807</v>
      </c>
      <c r="T84" s="94">
        <f t="shared" si="20"/>
        <v>0.09304274599</v>
      </c>
      <c r="U84" s="94">
        <f t="shared" si="20"/>
        <v>0.08381994395</v>
      </c>
      <c r="V84" s="94">
        <f t="shared" si="20"/>
        <v>0.07586259997</v>
      </c>
      <c r="W84" s="94">
        <f t="shared" si="20"/>
        <v>0.06893671529</v>
      </c>
      <c r="X84" s="94">
        <f t="shared" si="20"/>
        <v>0.06291703775</v>
      </c>
      <c r="Y84" s="94">
        <f t="shared" si="20"/>
        <v>0.05764161223</v>
      </c>
      <c r="Z84" s="95">
        <f t="shared" si="20"/>
        <v>0.05298489994</v>
      </c>
    </row>
    <row r="85" ht="15.75" customHeight="1">
      <c r="A85" s="23"/>
      <c r="B85" s="23"/>
      <c r="C85" s="56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57"/>
      <c r="Z85" s="57"/>
    </row>
    <row r="86" ht="15.75" customHeight="1">
      <c r="A86" s="42" t="s">
        <v>81</v>
      </c>
      <c r="B86" s="43"/>
      <c r="C86" s="56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57"/>
      <c r="Z86" s="57"/>
    </row>
    <row r="87" ht="15.75" customHeight="1">
      <c r="A87" s="85"/>
      <c r="B87" s="85" t="s">
        <v>82</v>
      </c>
      <c r="C87" s="86">
        <f t="shared" ref="C87:Z87" si="21">C74-C77-C80-C83</f>
        <v>-24321.55</v>
      </c>
      <c r="D87" s="85">
        <f t="shared" si="21"/>
        <v>-21228.81135</v>
      </c>
      <c r="E87" s="85">
        <f t="shared" si="21"/>
        <v>-17679.16967</v>
      </c>
      <c r="F87" s="85">
        <f t="shared" si="21"/>
        <v>-23711.29016</v>
      </c>
      <c r="G87" s="85">
        <f t="shared" si="21"/>
        <v>-19274.96113</v>
      </c>
      <c r="H87" s="85">
        <f t="shared" si="21"/>
        <v>-14313.94554</v>
      </c>
      <c r="I87" s="85">
        <f t="shared" si="21"/>
        <v>-8890.736893</v>
      </c>
      <c r="J87" s="85">
        <f t="shared" si="21"/>
        <v>-2936.878989</v>
      </c>
      <c r="K87" s="85">
        <f t="shared" si="21"/>
        <v>3600.739779</v>
      </c>
      <c r="L87" s="85">
        <f t="shared" si="21"/>
        <v>646.8752112</v>
      </c>
      <c r="M87" s="85">
        <f t="shared" si="21"/>
        <v>8242.266614</v>
      </c>
      <c r="N87" s="85">
        <f t="shared" si="21"/>
        <v>16430.9122</v>
      </c>
      <c r="O87" s="86">
        <f t="shared" si="21"/>
        <v>26715.1473</v>
      </c>
      <c r="P87" s="85">
        <f t="shared" si="21"/>
        <v>37802.03961</v>
      </c>
      <c r="Q87" s="85">
        <f t="shared" si="21"/>
        <v>49755.88201</v>
      </c>
      <c r="R87" s="85">
        <f t="shared" si="21"/>
        <v>62523.08534</v>
      </c>
      <c r="S87" s="85">
        <f t="shared" si="21"/>
        <v>76160.6785</v>
      </c>
      <c r="T87" s="85">
        <f t="shared" si="21"/>
        <v>90729.68204</v>
      </c>
      <c r="U87" s="85">
        <f t="shared" si="21"/>
        <v>106144.6764</v>
      </c>
      <c r="V87" s="85">
        <f t="shared" si="21"/>
        <v>122456.5337</v>
      </c>
      <c r="W87" s="85">
        <f t="shared" si="21"/>
        <v>139719.1777</v>
      </c>
      <c r="X87" s="85">
        <f t="shared" si="21"/>
        <v>157810.2681</v>
      </c>
      <c r="Y87" s="85">
        <f t="shared" si="21"/>
        <v>176771.3659</v>
      </c>
      <c r="Z87" s="85">
        <f t="shared" si="21"/>
        <v>196646.1097</v>
      </c>
    </row>
    <row r="88" ht="15.75" customHeight="1">
      <c r="A88" s="92"/>
      <c r="B88" s="92" t="s">
        <v>83</v>
      </c>
      <c r="C88" s="93">
        <f t="shared" ref="C88:Z88" si="22">C87/C66</f>
        <v>-4.531262226</v>
      </c>
      <c r="D88" s="94">
        <f t="shared" si="22"/>
        <v>-2.452029994</v>
      </c>
      <c r="E88" s="94">
        <f t="shared" si="22"/>
        <v>-1.421856667</v>
      </c>
      <c r="F88" s="94">
        <f t="shared" si="22"/>
        <v>-1.423673086</v>
      </c>
      <c r="G88" s="94">
        <f t="shared" si="22"/>
        <v>-0.9017732632</v>
      </c>
      <c r="H88" s="94">
        <f t="shared" si="22"/>
        <v>-0.5370646056</v>
      </c>
      <c r="I88" s="94">
        <f t="shared" si="22"/>
        <v>-0.2742230125</v>
      </c>
      <c r="J88" s="94">
        <f t="shared" si="22"/>
        <v>-0.0757797716</v>
      </c>
      <c r="K88" s="94">
        <f t="shared" si="22"/>
        <v>0.07877294476</v>
      </c>
      <c r="L88" s="94">
        <f t="shared" si="22"/>
        <v>0.01215788011</v>
      </c>
      <c r="M88" s="94">
        <f t="shared" si="22"/>
        <v>0.1344875759</v>
      </c>
      <c r="N88" s="95">
        <f t="shared" si="22"/>
        <v>0.2347347652</v>
      </c>
      <c r="O88" s="94">
        <f t="shared" si="22"/>
        <v>0.3300674252</v>
      </c>
      <c r="P88" s="94">
        <f t="shared" si="22"/>
        <v>0.4076437849</v>
      </c>
      <c r="Q88" s="94">
        <f t="shared" si="22"/>
        <v>0.4718439188</v>
      </c>
      <c r="R88" s="94">
        <f t="shared" si="22"/>
        <v>0.5252628063</v>
      </c>
      <c r="S88" s="94">
        <f t="shared" si="22"/>
        <v>0.5703207344</v>
      </c>
      <c r="T88" s="94">
        <f t="shared" si="22"/>
        <v>0.6087646037</v>
      </c>
      <c r="U88" s="94">
        <f t="shared" si="22"/>
        <v>0.6415980982</v>
      </c>
      <c r="V88" s="94">
        <f t="shared" si="22"/>
        <v>0.6699265182</v>
      </c>
      <c r="W88" s="94">
        <f t="shared" si="22"/>
        <v>0.6945829074</v>
      </c>
      <c r="X88" s="94">
        <f t="shared" si="22"/>
        <v>0.7160131678</v>
      </c>
      <c r="Y88" s="94">
        <f t="shared" si="22"/>
        <v>0.7347938652</v>
      </c>
      <c r="Z88" s="95">
        <f t="shared" si="22"/>
        <v>0.7513719222</v>
      </c>
    </row>
    <row r="89" ht="15.75" customHeight="1">
      <c r="A89" s="23"/>
      <c r="B89" s="43"/>
      <c r="C89" s="56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57"/>
      <c r="Z89" s="57"/>
    </row>
    <row r="90" ht="15.75" customHeight="1">
      <c r="A90" s="23"/>
      <c r="B90" s="23"/>
      <c r="C90" s="56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57"/>
      <c r="O90" s="56"/>
      <c r="Z90" s="57"/>
    </row>
    <row r="91" ht="15.75" customHeight="1">
      <c r="A91" s="23"/>
      <c r="B91" s="23"/>
      <c r="C91" s="56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57"/>
      <c r="O91" s="56"/>
      <c r="Z91" s="57"/>
    </row>
    <row r="92" ht="15.75" customHeight="1">
      <c r="A92" s="23"/>
      <c r="B92" s="23"/>
      <c r="C92" s="56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57"/>
      <c r="O92" s="56"/>
      <c r="Z92" s="57"/>
    </row>
    <row r="93" ht="15.75" customHeight="1">
      <c r="A93" s="23"/>
      <c r="B93" s="23"/>
      <c r="C93" s="56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57"/>
      <c r="O93" s="56"/>
      <c r="Z93" s="57"/>
    </row>
    <row r="94" ht="15.75" customHeight="1">
      <c r="A94" s="23"/>
      <c r="B94" s="23"/>
      <c r="C94" s="56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57"/>
      <c r="O94" s="56"/>
      <c r="Z94" s="57"/>
    </row>
    <row r="95" ht="15.75" customHeight="1">
      <c r="A95" s="23"/>
      <c r="B95" s="23"/>
      <c r="C95" s="56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57"/>
      <c r="O95" s="56"/>
      <c r="Z95" s="57"/>
    </row>
    <row r="96" ht="15.75" customHeight="1">
      <c r="A96" s="23"/>
      <c r="B96" s="23"/>
      <c r="C96" s="56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57"/>
      <c r="O96" s="56"/>
      <c r="Z96" s="57"/>
    </row>
    <row r="97" ht="15.75" customHeight="1">
      <c r="A97" s="23"/>
      <c r="B97" s="23"/>
      <c r="C97" s="56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57"/>
      <c r="O97" s="56"/>
      <c r="Z97" s="57"/>
    </row>
    <row r="98" ht="15.75" customHeight="1">
      <c r="A98" s="23"/>
      <c r="B98" s="23"/>
      <c r="C98" s="56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57"/>
      <c r="O98" s="56"/>
      <c r="Z98" s="57"/>
    </row>
    <row r="99" ht="15.75" customHeight="1">
      <c r="A99" s="23"/>
      <c r="B99" s="23"/>
      <c r="C99" s="56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57"/>
      <c r="O99" s="56"/>
      <c r="Z99" s="57"/>
    </row>
    <row r="100" ht="15.75" customHeight="1">
      <c r="A100" s="23"/>
      <c r="B100" s="23"/>
      <c r="C100" s="56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57"/>
      <c r="O100" s="56"/>
      <c r="Z100" s="57"/>
    </row>
    <row r="101" ht="15.75" customHeight="1">
      <c r="A101" s="23"/>
      <c r="B101" s="23"/>
      <c r="C101" s="56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57"/>
      <c r="O101" s="56"/>
      <c r="Z101" s="57"/>
    </row>
    <row r="102" ht="15.75" customHeight="1">
      <c r="A102" s="23"/>
      <c r="B102" s="23"/>
      <c r="C102" s="56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57"/>
      <c r="O102" s="56"/>
      <c r="Z102" s="57"/>
    </row>
    <row r="103" ht="15.75" customHeight="1">
      <c r="A103" s="23"/>
      <c r="B103" s="23"/>
      <c r="C103" s="56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57"/>
      <c r="O103" s="56"/>
      <c r="Z103" s="57"/>
    </row>
    <row r="104" ht="15.75" customHeight="1">
      <c r="A104" s="23"/>
      <c r="B104" s="23"/>
      <c r="C104" s="56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57"/>
      <c r="O104" s="56"/>
      <c r="Z104" s="57"/>
    </row>
    <row r="105" ht="15.75" customHeight="1">
      <c r="A105" s="23"/>
      <c r="B105" s="23"/>
      <c r="C105" s="56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57"/>
      <c r="O105" s="56"/>
      <c r="Z105" s="57"/>
    </row>
    <row r="106" ht="15.75" customHeight="1">
      <c r="A106" s="23"/>
      <c r="B106" s="23"/>
      <c r="C106" s="56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57"/>
      <c r="O106" s="56"/>
      <c r="Z106" s="57"/>
    </row>
    <row r="107" ht="15.75" customHeight="1">
      <c r="A107" s="23"/>
      <c r="B107" s="23"/>
      <c r="C107" s="56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57"/>
      <c r="O107" s="56"/>
      <c r="Z107" s="57"/>
    </row>
    <row r="108" ht="15.75" customHeight="1">
      <c r="A108" s="23"/>
      <c r="B108" s="23"/>
      <c r="C108" s="56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57"/>
      <c r="O108" s="56"/>
      <c r="Z108" s="57"/>
    </row>
    <row r="109" ht="15.75" customHeight="1">
      <c r="A109" s="23"/>
      <c r="B109" s="23"/>
      <c r="C109" s="56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57"/>
      <c r="O109" s="56"/>
      <c r="Z109" s="57"/>
    </row>
    <row r="110" ht="15.75" customHeight="1">
      <c r="A110" s="23"/>
      <c r="B110" s="23"/>
      <c r="C110" s="56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57"/>
      <c r="O110" s="56"/>
      <c r="Z110" s="57"/>
    </row>
    <row r="111" ht="15.75" customHeight="1">
      <c r="A111" s="23"/>
      <c r="B111" s="23"/>
      <c r="C111" s="56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57"/>
      <c r="O111" s="56"/>
      <c r="Z111" s="57"/>
    </row>
    <row r="112" ht="15.75" customHeight="1">
      <c r="A112" s="23"/>
      <c r="B112" s="23"/>
      <c r="C112" s="56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57"/>
      <c r="O112" s="56"/>
      <c r="Z112" s="57"/>
    </row>
    <row r="113" ht="15.75" customHeight="1">
      <c r="A113" s="23"/>
      <c r="B113" s="23"/>
      <c r="C113" s="56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57"/>
      <c r="O113" s="56"/>
      <c r="Z113" s="57"/>
    </row>
    <row r="114" ht="15.75" customHeight="1">
      <c r="A114" s="23"/>
      <c r="B114" s="23"/>
      <c r="C114" s="56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57"/>
      <c r="O114" s="56"/>
      <c r="Z114" s="57"/>
    </row>
    <row r="115" ht="15.75" customHeight="1">
      <c r="A115" s="23"/>
      <c r="B115" s="23"/>
      <c r="C115" s="56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57"/>
      <c r="O115" s="56"/>
      <c r="Z115" s="57"/>
    </row>
    <row r="116" ht="15.75" customHeight="1">
      <c r="A116" s="23"/>
      <c r="B116" s="23"/>
      <c r="C116" s="56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57"/>
      <c r="O116" s="56"/>
      <c r="Z116" s="57"/>
    </row>
    <row r="117" ht="15.75" customHeight="1">
      <c r="A117" s="23"/>
      <c r="B117" s="23"/>
      <c r="C117" s="56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57"/>
      <c r="O117" s="56"/>
      <c r="Z117" s="57"/>
    </row>
    <row r="118" ht="15.75" customHeight="1">
      <c r="A118" s="23"/>
      <c r="B118" s="23"/>
      <c r="C118" s="56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57"/>
      <c r="O118" s="56"/>
      <c r="Z118" s="57"/>
    </row>
    <row r="119" ht="15.75" customHeight="1">
      <c r="A119" s="23"/>
      <c r="B119" s="23"/>
      <c r="C119" s="56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57"/>
      <c r="O119" s="56"/>
      <c r="Z119" s="57"/>
    </row>
    <row r="120" ht="15.75" customHeight="1">
      <c r="A120" s="23"/>
      <c r="B120" s="23"/>
      <c r="C120" s="56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57"/>
      <c r="O120" s="56"/>
      <c r="Z120" s="57"/>
    </row>
    <row r="121" ht="15.75" customHeight="1">
      <c r="A121" s="23"/>
      <c r="B121" s="23"/>
      <c r="C121" s="56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57"/>
      <c r="O121" s="56"/>
      <c r="Z121" s="57"/>
    </row>
    <row r="122" ht="15.75" customHeight="1">
      <c r="A122" s="23"/>
      <c r="B122" s="23"/>
      <c r="C122" s="56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57"/>
      <c r="O122" s="56"/>
      <c r="Z122" s="57"/>
    </row>
    <row r="123" ht="15.75" customHeight="1">
      <c r="A123" s="23"/>
      <c r="B123" s="23"/>
      <c r="C123" s="56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57"/>
      <c r="O123" s="56"/>
      <c r="Z123" s="57"/>
    </row>
    <row r="124" ht="15.75" customHeight="1">
      <c r="A124" s="23"/>
      <c r="B124" s="23"/>
      <c r="C124" s="56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57"/>
      <c r="O124" s="56"/>
      <c r="Z124" s="57"/>
    </row>
    <row r="125" ht="15.75" customHeight="1">
      <c r="A125" s="23"/>
      <c r="B125" s="23"/>
      <c r="C125" s="56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57"/>
      <c r="O125" s="56"/>
      <c r="Z125" s="57"/>
    </row>
    <row r="126" ht="15.75" customHeight="1">
      <c r="A126" s="23"/>
      <c r="B126" s="23"/>
      <c r="C126" s="56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57"/>
      <c r="O126" s="56"/>
      <c r="Z126" s="57"/>
    </row>
    <row r="127" ht="15.75" customHeight="1">
      <c r="A127" s="23"/>
      <c r="B127" s="23"/>
      <c r="C127" s="56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57"/>
      <c r="O127" s="56"/>
      <c r="Z127" s="57"/>
    </row>
    <row r="128" ht="15.75" customHeight="1">
      <c r="A128" s="23"/>
      <c r="B128" s="23"/>
      <c r="C128" s="56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57"/>
      <c r="O128" s="56"/>
      <c r="Z128" s="57"/>
    </row>
    <row r="129" ht="15.75" customHeight="1">
      <c r="A129" s="23"/>
      <c r="B129" s="23"/>
      <c r="C129" s="56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57"/>
      <c r="O129" s="56"/>
      <c r="Z129" s="57"/>
    </row>
    <row r="130" ht="15.75" customHeight="1">
      <c r="A130" s="23"/>
      <c r="B130" s="23"/>
      <c r="C130" s="56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57"/>
      <c r="O130" s="56"/>
      <c r="Z130" s="57"/>
    </row>
    <row r="131" ht="15.75" customHeight="1">
      <c r="A131" s="23"/>
      <c r="B131" s="23"/>
      <c r="C131" s="56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57"/>
      <c r="O131" s="56"/>
      <c r="Z131" s="57"/>
    </row>
    <row r="132" ht="15.75" customHeight="1">
      <c r="A132" s="23"/>
      <c r="B132" s="23"/>
      <c r="C132" s="56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57"/>
      <c r="O132" s="56"/>
      <c r="Z132" s="57"/>
    </row>
    <row r="133" ht="15.75" customHeight="1">
      <c r="A133" s="23"/>
      <c r="B133" s="23"/>
      <c r="C133" s="56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57"/>
      <c r="O133" s="56"/>
      <c r="Z133" s="57"/>
    </row>
    <row r="134" ht="15.75" customHeight="1">
      <c r="A134" s="23"/>
      <c r="B134" s="23"/>
      <c r="C134" s="56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57"/>
      <c r="O134" s="56"/>
      <c r="Z134" s="57"/>
    </row>
    <row r="135" ht="15.75" customHeight="1">
      <c r="A135" s="23"/>
      <c r="B135" s="23"/>
      <c r="C135" s="56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57"/>
      <c r="O135" s="56"/>
      <c r="Z135" s="57"/>
    </row>
    <row r="136" ht="15.75" customHeight="1">
      <c r="A136" s="23"/>
      <c r="B136" s="23"/>
      <c r="C136" s="56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57"/>
      <c r="O136" s="56"/>
      <c r="Z136" s="57"/>
    </row>
    <row r="137" ht="15.75" customHeight="1">
      <c r="A137" s="23"/>
      <c r="B137" s="23"/>
      <c r="C137" s="56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57"/>
      <c r="O137" s="56"/>
      <c r="Z137" s="57"/>
    </row>
    <row r="138" ht="15.75" customHeight="1">
      <c r="A138" s="23"/>
      <c r="B138" s="23"/>
      <c r="C138" s="56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57"/>
      <c r="O138" s="56"/>
      <c r="Z138" s="57"/>
    </row>
    <row r="139" ht="15.75" customHeight="1">
      <c r="A139" s="23"/>
      <c r="B139" s="23"/>
      <c r="C139" s="56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57"/>
      <c r="O139" s="56"/>
      <c r="Z139" s="57"/>
    </row>
    <row r="140" ht="15.75" customHeight="1">
      <c r="A140" s="23"/>
      <c r="B140" s="23"/>
      <c r="C140" s="56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57"/>
      <c r="O140" s="56"/>
      <c r="Z140" s="57"/>
    </row>
    <row r="141" ht="15.75" customHeight="1">
      <c r="A141" s="23"/>
      <c r="B141" s="23"/>
      <c r="C141" s="56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57"/>
      <c r="O141" s="56"/>
      <c r="Z141" s="57"/>
    </row>
    <row r="142" ht="15.75" customHeight="1">
      <c r="A142" s="23"/>
      <c r="B142" s="23"/>
      <c r="C142" s="56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57"/>
      <c r="O142" s="56"/>
      <c r="Z142" s="57"/>
    </row>
    <row r="143" ht="15.75" customHeight="1">
      <c r="A143" s="23"/>
      <c r="B143" s="23"/>
      <c r="C143" s="56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57"/>
      <c r="O143" s="56"/>
      <c r="Z143" s="57"/>
    </row>
    <row r="144" ht="15.75" customHeight="1">
      <c r="A144" s="23"/>
      <c r="B144" s="23"/>
      <c r="C144" s="56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57"/>
      <c r="O144" s="56"/>
      <c r="Z144" s="57"/>
    </row>
    <row r="145" ht="15.75" customHeight="1">
      <c r="A145" s="23"/>
      <c r="B145" s="23"/>
      <c r="C145" s="56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57"/>
      <c r="O145" s="56"/>
      <c r="Z145" s="57"/>
    </row>
    <row r="146" ht="15.75" customHeight="1">
      <c r="A146" s="23"/>
      <c r="B146" s="23"/>
      <c r="C146" s="56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57"/>
      <c r="O146" s="56"/>
      <c r="Z146" s="57"/>
    </row>
    <row r="147" ht="15.75" customHeight="1">
      <c r="A147" s="23"/>
      <c r="B147" s="23"/>
      <c r="C147" s="56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57"/>
      <c r="O147" s="56"/>
      <c r="Z147" s="57"/>
    </row>
    <row r="148" ht="15.75" customHeight="1">
      <c r="A148" s="23"/>
      <c r="B148" s="23"/>
      <c r="C148" s="56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57"/>
      <c r="O148" s="56"/>
      <c r="Z148" s="57"/>
    </row>
    <row r="149" ht="15.75" customHeight="1">
      <c r="A149" s="23"/>
      <c r="B149" s="23"/>
      <c r="C149" s="56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57"/>
      <c r="O149" s="56"/>
      <c r="Z149" s="57"/>
    </row>
    <row r="150" ht="15.75" customHeight="1">
      <c r="A150" s="23"/>
      <c r="B150" s="23"/>
      <c r="C150" s="56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57"/>
      <c r="O150" s="56"/>
      <c r="Z150" s="57"/>
    </row>
    <row r="151" ht="15.75" customHeight="1">
      <c r="A151" s="23"/>
      <c r="B151" s="23"/>
      <c r="C151" s="56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57"/>
      <c r="O151" s="56"/>
      <c r="Z151" s="57"/>
    </row>
    <row r="152" ht="15.75" customHeight="1">
      <c r="A152" s="23"/>
      <c r="B152" s="23"/>
      <c r="C152" s="56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57"/>
      <c r="O152" s="56"/>
      <c r="Z152" s="57"/>
    </row>
    <row r="153" ht="15.75" customHeight="1">
      <c r="A153" s="23"/>
      <c r="B153" s="23"/>
      <c r="C153" s="56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57"/>
      <c r="O153" s="56"/>
      <c r="Z153" s="57"/>
    </row>
    <row r="154" ht="15.75" customHeight="1">
      <c r="A154" s="23"/>
      <c r="B154" s="23"/>
      <c r="C154" s="56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57"/>
      <c r="O154" s="56"/>
      <c r="Z154" s="57"/>
    </row>
    <row r="155" ht="15.75" customHeight="1">
      <c r="A155" s="23"/>
      <c r="B155" s="23"/>
      <c r="C155" s="56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57"/>
      <c r="O155" s="56"/>
      <c r="Z155" s="57"/>
    </row>
    <row r="156" ht="15.75" customHeight="1">
      <c r="A156" s="23"/>
      <c r="B156" s="23"/>
      <c r="C156" s="56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57"/>
      <c r="O156" s="56"/>
      <c r="Z156" s="57"/>
    </row>
    <row r="157" ht="15.75" customHeight="1">
      <c r="A157" s="23"/>
      <c r="B157" s="23"/>
      <c r="C157" s="56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57"/>
      <c r="O157" s="56"/>
      <c r="Z157" s="57"/>
    </row>
    <row r="158" ht="15.75" customHeight="1">
      <c r="A158" s="23"/>
      <c r="B158" s="23"/>
      <c r="C158" s="56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57"/>
      <c r="O158" s="56"/>
      <c r="Z158" s="57"/>
    </row>
    <row r="159" ht="15.75" customHeight="1">
      <c r="A159" s="23"/>
      <c r="B159" s="23"/>
      <c r="C159" s="56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57"/>
      <c r="O159" s="56"/>
      <c r="Z159" s="57"/>
    </row>
    <row r="160" ht="15.75" customHeight="1">
      <c r="A160" s="23"/>
      <c r="B160" s="23"/>
      <c r="C160" s="56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57"/>
      <c r="O160" s="56"/>
      <c r="Z160" s="57"/>
    </row>
    <row r="161" ht="15.75" customHeight="1">
      <c r="A161" s="23"/>
      <c r="B161" s="23"/>
      <c r="C161" s="56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57"/>
      <c r="O161" s="56"/>
      <c r="Z161" s="57"/>
    </row>
    <row r="162" ht="15.75" customHeight="1">
      <c r="A162" s="23"/>
      <c r="B162" s="23"/>
      <c r="C162" s="56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57"/>
      <c r="O162" s="56"/>
      <c r="Z162" s="57"/>
    </row>
    <row r="163" ht="15.75" customHeight="1">
      <c r="A163" s="23"/>
      <c r="B163" s="23"/>
      <c r="C163" s="56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57"/>
      <c r="O163" s="56"/>
      <c r="Z163" s="57"/>
    </row>
    <row r="164" ht="15.75" customHeight="1">
      <c r="A164" s="23"/>
      <c r="B164" s="23"/>
      <c r="C164" s="56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57"/>
      <c r="O164" s="56"/>
      <c r="Z164" s="57"/>
    </row>
    <row r="165" ht="15.75" customHeight="1">
      <c r="A165" s="23"/>
      <c r="B165" s="23"/>
      <c r="C165" s="56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57"/>
      <c r="O165" s="56"/>
      <c r="Z165" s="57"/>
    </row>
    <row r="166" ht="15.75" customHeight="1">
      <c r="A166" s="23"/>
      <c r="B166" s="23"/>
      <c r="C166" s="56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57"/>
      <c r="O166" s="56"/>
      <c r="Z166" s="57"/>
    </row>
    <row r="167" ht="15.75" customHeight="1">
      <c r="A167" s="23"/>
      <c r="B167" s="23"/>
      <c r="C167" s="56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57"/>
      <c r="O167" s="56"/>
      <c r="Z167" s="57"/>
    </row>
    <row r="168" ht="15.75" customHeight="1">
      <c r="A168" s="23"/>
      <c r="B168" s="23"/>
      <c r="C168" s="56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57"/>
      <c r="O168" s="56"/>
      <c r="Z168" s="57"/>
    </row>
    <row r="169" ht="15.75" customHeight="1">
      <c r="A169" s="23"/>
      <c r="B169" s="23"/>
      <c r="C169" s="56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57"/>
      <c r="O169" s="56"/>
      <c r="Z169" s="57"/>
    </row>
    <row r="170" ht="15.75" customHeight="1">
      <c r="A170" s="23"/>
      <c r="B170" s="23"/>
      <c r="C170" s="56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57"/>
      <c r="O170" s="56"/>
      <c r="Z170" s="57"/>
    </row>
    <row r="171" ht="15.75" customHeight="1">
      <c r="A171" s="23"/>
      <c r="B171" s="23"/>
      <c r="C171" s="56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57"/>
      <c r="O171" s="56"/>
      <c r="Z171" s="57"/>
    </row>
    <row r="172" ht="15.75" customHeight="1">
      <c r="A172" s="23"/>
      <c r="B172" s="23"/>
      <c r="C172" s="56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57"/>
      <c r="O172" s="56"/>
      <c r="Z172" s="57"/>
    </row>
    <row r="173" ht="15.75" customHeight="1">
      <c r="A173" s="23"/>
      <c r="B173" s="23"/>
      <c r="C173" s="56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57"/>
      <c r="O173" s="56"/>
      <c r="Z173" s="57"/>
    </row>
    <row r="174" ht="15.75" customHeight="1">
      <c r="A174" s="23"/>
      <c r="B174" s="23"/>
      <c r="C174" s="56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57"/>
      <c r="O174" s="56"/>
      <c r="Z174" s="57"/>
    </row>
    <row r="175" ht="15.75" customHeight="1">
      <c r="A175" s="23"/>
      <c r="B175" s="23"/>
      <c r="C175" s="56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57"/>
      <c r="O175" s="56"/>
      <c r="Z175" s="57"/>
    </row>
    <row r="176" ht="15.75" customHeight="1">
      <c r="A176" s="23"/>
      <c r="B176" s="23"/>
      <c r="C176" s="56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57"/>
      <c r="O176" s="56"/>
      <c r="Z176" s="57"/>
    </row>
    <row r="177" ht="15.75" customHeight="1">
      <c r="A177" s="23"/>
      <c r="B177" s="23"/>
      <c r="C177" s="56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57"/>
      <c r="O177" s="56"/>
      <c r="Z177" s="57"/>
    </row>
    <row r="178" ht="15.75" customHeight="1">
      <c r="A178" s="23"/>
      <c r="B178" s="23"/>
      <c r="C178" s="56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57"/>
      <c r="O178" s="56"/>
      <c r="Z178" s="57"/>
    </row>
    <row r="179" ht="15.75" customHeight="1">
      <c r="A179" s="23"/>
      <c r="B179" s="23"/>
      <c r="C179" s="56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57"/>
      <c r="O179" s="56"/>
      <c r="Z179" s="57"/>
    </row>
    <row r="180" ht="15.75" customHeight="1">
      <c r="A180" s="23"/>
      <c r="B180" s="23"/>
      <c r="C180" s="56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57"/>
      <c r="O180" s="56"/>
      <c r="Z180" s="57"/>
    </row>
    <row r="181" ht="15.75" customHeight="1">
      <c r="A181" s="23"/>
      <c r="B181" s="23"/>
      <c r="C181" s="56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57"/>
      <c r="O181" s="56"/>
      <c r="Z181" s="57"/>
    </row>
    <row r="182" ht="15.75" customHeight="1">
      <c r="A182" s="23"/>
      <c r="B182" s="23"/>
      <c r="C182" s="56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57"/>
      <c r="O182" s="56"/>
      <c r="Z182" s="57"/>
    </row>
    <row r="183" ht="15.75" customHeight="1">
      <c r="A183" s="23"/>
      <c r="B183" s="23"/>
      <c r="C183" s="56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57"/>
      <c r="O183" s="56"/>
      <c r="Z183" s="57"/>
    </row>
    <row r="184" ht="15.75" customHeight="1">
      <c r="A184" s="23"/>
      <c r="B184" s="23"/>
      <c r="C184" s="56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57"/>
      <c r="O184" s="56"/>
      <c r="Z184" s="57"/>
    </row>
    <row r="185" ht="15.75" customHeight="1">
      <c r="A185" s="23"/>
      <c r="B185" s="23"/>
      <c r="C185" s="56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57"/>
      <c r="O185" s="56"/>
      <c r="Z185" s="57"/>
    </row>
    <row r="186" ht="15.75" customHeight="1">
      <c r="A186" s="23"/>
      <c r="B186" s="23"/>
      <c r="C186" s="56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57"/>
      <c r="O186" s="56"/>
      <c r="Z186" s="57"/>
    </row>
    <row r="187" ht="15.75" customHeight="1">
      <c r="A187" s="23"/>
      <c r="B187" s="23"/>
      <c r="C187" s="56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57"/>
      <c r="O187" s="56"/>
      <c r="Z187" s="57"/>
    </row>
    <row r="188" ht="15.75" customHeight="1">
      <c r="A188" s="23"/>
      <c r="B188" s="23"/>
      <c r="C188" s="56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57"/>
      <c r="O188" s="56"/>
      <c r="Z188" s="57"/>
    </row>
    <row r="189" ht="15.75" customHeight="1">
      <c r="A189" s="23"/>
      <c r="B189" s="23"/>
      <c r="C189" s="56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57"/>
      <c r="O189" s="56"/>
      <c r="Z189" s="57"/>
    </row>
    <row r="190" ht="15.75" customHeight="1">
      <c r="A190" s="23"/>
      <c r="B190" s="23"/>
      <c r="C190" s="56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57"/>
      <c r="O190" s="56"/>
      <c r="Z190" s="57"/>
    </row>
    <row r="191" ht="15.75" customHeight="1">
      <c r="A191" s="23"/>
      <c r="B191" s="23"/>
      <c r="C191" s="56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57"/>
      <c r="O191" s="56"/>
      <c r="Z191" s="57"/>
    </row>
    <row r="192" ht="15.75" customHeight="1">
      <c r="A192" s="23"/>
      <c r="B192" s="23"/>
      <c r="C192" s="56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57"/>
      <c r="O192" s="56"/>
      <c r="Z192" s="57"/>
    </row>
    <row r="193" ht="15.75" customHeight="1">
      <c r="A193" s="23"/>
      <c r="B193" s="23"/>
      <c r="C193" s="56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57"/>
      <c r="O193" s="56"/>
      <c r="Z193" s="57"/>
    </row>
    <row r="194" ht="15.75" customHeight="1">
      <c r="A194" s="23"/>
      <c r="B194" s="23"/>
      <c r="C194" s="56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57"/>
      <c r="O194" s="56"/>
      <c r="Z194" s="57"/>
    </row>
    <row r="195" ht="15.75" customHeight="1">
      <c r="A195" s="23"/>
      <c r="B195" s="23"/>
      <c r="C195" s="56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57"/>
      <c r="O195" s="56"/>
      <c r="Z195" s="57"/>
    </row>
    <row r="196" ht="15.75" customHeight="1">
      <c r="A196" s="23"/>
      <c r="B196" s="23"/>
      <c r="C196" s="56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57"/>
      <c r="O196" s="56"/>
      <c r="Z196" s="57"/>
    </row>
    <row r="197" ht="15.75" customHeight="1">
      <c r="A197" s="23"/>
      <c r="B197" s="23"/>
      <c r="C197" s="56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57"/>
      <c r="O197" s="56"/>
      <c r="Z197" s="57"/>
    </row>
    <row r="198" ht="15.75" customHeight="1">
      <c r="A198" s="23"/>
      <c r="B198" s="23"/>
      <c r="C198" s="56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57"/>
      <c r="O198" s="56"/>
      <c r="Z198" s="57"/>
    </row>
    <row r="199" ht="15.75" customHeight="1">
      <c r="A199" s="23"/>
      <c r="B199" s="23"/>
      <c r="C199" s="56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57"/>
      <c r="O199" s="56"/>
      <c r="Z199" s="57"/>
    </row>
    <row r="200" ht="15.75" customHeight="1">
      <c r="A200" s="23"/>
      <c r="B200" s="23"/>
      <c r="C200" s="56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57"/>
      <c r="O200" s="56"/>
      <c r="Z200" s="57"/>
    </row>
    <row r="201" ht="15.75" customHeight="1">
      <c r="A201" s="23"/>
      <c r="B201" s="23"/>
      <c r="C201" s="56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57"/>
      <c r="O201" s="56"/>
      <c r="Z201" s="57"/>
    </row>
    <row r="202" ht="15.75" customHeight="1">
      <c r="A202" s="23"/>
      <c r="B202" s="23"/>
      <c r="C202" s="56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57"/>
      <c r="O202" s="56"/>
      <c r="Z202" s="57"/>
    </row>
    <row r="203" ht="15.75" customHeight="1">
      <c r="A203" s="23"/>
      <c r="B203" s="23"/>
      <c r="C203" s="56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57"/>
      <c r="O203" s="56"/>
      <c r="Z203" s="57"/>
    </row>
    <row r="204" ht="15.75" customHeight="1">
      <c r="A204" s="23"/>
      <c r="B204" s="23"/>
      <c r="C204" s="56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57"/>
      <c r="O204" s="56"/>
      <c r="Z204" s="57"/>
    </row>
    <row r="205" ht="15.75" customHeight="1">
      <c r="A205" s="23"/>
      <c r="B205" s="23"/>
      <c r="C205" s="56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57"/>
      <c r="O205" s="56"/>
      <c r="Z205" s="57"/>
    </row>
    <row r="206" ht="15.75" customHeight="1">
      <c r="A206" s="23"/>
      <c r="B206" s="23"/>
      <c r="C206" s="56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57"/>
      <c r="O206" s="56"/>
      <c r="Z206" s="57"/>
    </row>
    <row r="207" ht="15.75" customHeight="1">
      <c r="A207" s="23"/>
      <c r="B207" s="23"/>
      <c r="C207" s="56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57"/>
      <c r="O207" s="56"/>
      <c r="Z207" s="57"/>
    </row>
    <row r="208" ht="15.75" customHeight="1">
      <c r="A208" s="23"/>
      <c r="B208" s="23"/>
      <c r="C208" s="56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57"/>
      <c r="O208" s="56"/>
      <c r="Z208" s="57"/>
    </row>
    <row r="209" ht="15.75" customHeight="1">
      <c r="A209" s="23"/>
      <c r="B209" s="23"/>
      <c r="C209" s="56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57"/>
      <c r="O209" s="56"/>
      <c r="Z209" s="57"/>
    </row>
    <row r="210" ht="15.75" customHeight="1">
      <c r="A210" s="23"/>
      <c r="B210" s="23"/>
      <c r="C210" s="56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57"/>
      <c r="O210" s="56"/>
      <c r="Z210" s="57"/>
    </row>
    <row r="211" ht="15.75" customHeight="1">
      <c r="A211" s="23"/>
      <c r="B211" s="23"/>
      <c r="C211" s="56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57"/>
      <c r="O211" s="56"/>
      <c r="Z211" s="57"/>
    </row>
    <row r="212" ht="15.75" customHeight="1">
      <c r="A212" s="23"/>
      <c r="B212" s="23"/>
      <c r="C212" s="56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57"/>
      <c r="O212" s="56"/>
      <c r="Z212" s="57"/>
    </row>
    <row r="213" ht="15.75" customHeight="1">
      <c r="A213" s="23"/>
      <c r="B213" s="23"/>
      <c r="C213" s="56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57"/>
      <c r="O213" s="56"/>
      <c r="Z213" s="57"/>
    </row>
    <row r="214" ht="15.75" customHeight="1">
      <c r="A214" s="23"/>
      <c r="B214" s="23"/>
      <c r="C214" s="56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57"/>
      <c r="O214" s="56"/>
      <c r="Z214" s="57"/>
    </row>
    <row r="215" ht="15.75" customHeight="1">
      <c r="A215" s="23"/>
      <c r="B215" s="23"/>
      <c r="C215" s="56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57"/>
      <c r="O215" s="56"/>
      <c r="Z215" s="57"/>
    </row>
    <row r="216" ht="15.75" customHeight="1">
      <c r="A216" s="23"/>
      <c r="B216" s="23"/>
      <c r="C216" s="56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57"/>
      <c r="O216" s="56"/>
      <c r="Z216" s="57"/>
    </row>
    <row r="217" ht="15.75" customHeight="1">
      <c r="A217" s="23"/>
      <c r="B217" s="23"/>
      <c r="C217" s="56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57"/>
      <c r="O217" s="56"/>
      <c r="Z217" s="57"/>
    </row>
    <row r="218" ht="15.75" customHeight="1">
      <c r="A218" s="23"/>
      <c r="B218" s="23"/>
      <c r="C218" s="56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57"/>
      <c r="O218" s="56"/>
      <c r="Z218" s="57"/>
    </row>
    <row r="219" ht="15.75" customHeight="1">
      <c r="A219" s="23"/>
      <c r="B219" s="23"/>
      <c r="C219" s="56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57"/>
      <c r="O219" s="56"/>
      <c r="Z219" s="57"/>
    </row>
    <row r="220" ht="15.75" customHeight="1">
      <c r="A220" s="23"/>
      <c r="B220" s="23"/>
      <c r="C220" s="56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57"/>
      <c r="O220" s="56"/>
      <c r="Z220" s="57"/>
    </row>
    <row r="221" ht="15.75" customHeight="1">
      <c r="A221" s="23"/>
      <c r="B221" s="23"/>
      <c r="C221" s="56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57"/>
      <c r="O221" s="56"/>
      <c r="Z221" s="57"/>
    </row>
    <row r="222" ht="15.75" customHeight="1">
      <c r="A222" s="23"/>
      <c r="B222" s="23"/>
      <c r="C222" s="56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57"/>
      <c r="O222" s="56"/>
      <c r="Z222" s="57"/>
    </row>
    <row r="223" ht="15.75" customHeight="1">
      <c r="A223" s="23"/>
      <c r="B223" s="23"/>
      <c r="C223" s="56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57"/>
      <c r="O223" s="56"/>
      <c r="Z223" s="57"/>
    </row>
    <row r="224" ht="15.75" customHeight="1">
      <c r="A224" s="23"/>
      <c r="B224" s="23"/>
      <c r="C224" s="56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57"/>
      <c r="O224" s="56"/>
      <c r="Z224" s="57"/>
    </row>
    <row r="225" ht="15.75" customHeight="1">
      <c r="A225" s="23"/>
      <c r="B225" s="23"/>
      <c r="C225" s="56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57"/>
      <c r="O225" s="56"/>
      <c r="Z225" s="57"/>
    </row>
    <row r="226" ht="15.75" customHeight="1">
      <c r="A226" s="23"/>
      <c r="B226" s="23"/>
      <c r="C226" s="56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57"/>
      <c r="O226" s="56"/>
      <c r="Z226" s="57"/>
    </row>
    <row r="227" ht="15.75" customHeight="1">
      <c r="A227" s="23"/>
      <c r="B227" s="23"/>
      <c r="C227" s="56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57"/>
      <c r="O227" s="56"/>
      <c r="Z227" s="57"/>
    </row>
    <row r="228" ht="15.75" customHeight="1">
      <c r="A228" s="23"/>
      <c r="B228" s="23"/>
      <c r="C228" s="56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57"/>
      <c r="O228" s="56"/>
      <c r="Z228" s="57"/>
    </row>
    <row r="229" ht="15.75" customHeight="1">
      <c r="A229" s="23"/>
      <c r="B229" s="23"/>
      <c r="C229" s="56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57"/>
      <c r="O229" s="56"/>
      <c r="Z229" s="57"/>
    </row>
    <row r="230" ht="15.75" customHeight="1">
      <c r="A230" s="23"/>
      <c r="B230" s="23"/>
      <c r="C230" s="56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57"/>
      <c r="O230" s="56"/>
      <c r="Z230" s="57"/>
    </row>
    <row r="231" ht="15.75" customHeight="1">
      <c r="A231" s="23"/>
      <c r="B231" s="23"/>
      <c r="C231" s="56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57"/>
      <c r="O231" s="56"/>
      <c r="Z231" s="57"/>
    </row>
    <row r="232" ht="15.75" customHeight="1">
      <c r="A232" s="23"/>
      <c r="B232" s="23"/>
      <c r="C232" s="56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57"/>
      <c r="O232" s="56"/>
      <c r="Z232" s="57"/>
    </row>
    <row r="233" ht="15.75" customHeight="1">
      <c r="A233" s="23"/>
      <c r="B233" s="23"/>
      <c r="C233" s="56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57"/>
      <c r="O233" s="56"/>
      <c r="Z233" s="57"/>
    </row>
    <row r="234" ht="15.75" customHeight="1">
      <c r="A234" s="23"/>
      <c r="B234" s="23"/>
      <c r="C234" s="56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57"/>
      <c r="O234" s="56"/>
      <c r="Z234" s="57"/>
    </row>
    <row r="235" ht="15.75" customHeight="1">
      <c r="A235" s="23"/>
      <c r="B235" s="23"/>
      <c r="C235" s="56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57"/>
      <c r="O235" s="56"/>
      <c r="Z235" s="57"/>
    </row>
    <row r="236" ht="15.75" customHeight="1">
      <c r="A236" s="23"/>
      <c r="B236" s="23"/>
      <c r="C236" s="56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57"/>
      <c r="O236" s="56"/>
      <c r="Z236" s="57"/>
    </row>
    <row r="237" ht="15.75" customHeight="1">
      <c r="A237" s="23"/>
      <c r="B237" s="23"/>
      <c r="C237" s="56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57"/>
      <c r="O237" s="56"/>
      <c r="Z237" s="57"/>
    </row>
    <row r="238" ht="15.75" customHeight="1">
      <c r="A238" s="23"/>
      <c r="B238" s="23"/>
      <c r="C238" s="56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57"/>
      <c r="O238" s="56"/>
      <c r="Z238" s="57"/>
    </row>
    <row r="239" ht="15.75" customHeight="1">
      <c r="A239" s="23"/>
      <c r="B239" s="23"/>
      <c r="C239" s="56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57"/>
      <c r="O239" s="56"/>
      <c r="Z239" s="57"/>
    </row>
    <row r="240" ht="15.75" customHeight="1">
      <c r="A240" s="23"/>
      <c r="B240" s="23"/>
      <c r="C240" s="56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57"/>
      <c r="O240" s="56"/>
      <c r="Z240" s="57"/>
    </row>
    <row r="241" ht="15.75" customHeight="1">
      <c r="A241" s="23"/>
      <c r="B241" s="23"/>
      <c r="C241" s="56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57"/>
      <c r="O241" s="56"/>
      <c r="Z241" s="57"/>
    </row>
    <row r="242" ht="15.75" customHeight="1">
      <c r="A242" s="23"/>
      <c r="B242" s="23"/>
      <c r="C242" s="56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57"/>
      <c r="O242" s="56"/>
      <c r="Z242" s="57"/>
    </row>
    <row r="243" ht="15.75" customHeight="1">
      <c r="A243" s="23"/>
      <c r="B243" s="23"/>
      <c r="C243" s="56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57"/>
      <c r="O243" s="56"/>
      <c r="Z243" s="57"/>
    </row>
    <row r="244" ht="15.75" customHeight="1">
      <c r="A244" s="23"/>
      <c r="B244" s="23"/>
      <c r="C244" s="56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57"/>
      <c r="O244" s="56"/>
      <c r="Z244" s="57"/>
    </row>
    <row r="245" ht="15.75" customHeight="1">
      <c r="A245" s="23"/>
      <c r="B245" s="23"/>
      <c r="C245" s="56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57"/>
      <c r="O245" s="56"/>
      <c r="Z245" s="57"/>
    </row>
    <row r="246" ht="15.75" customHeight="1">
      <c r="A246" s="23"/>
      <c r="B246" s="23"/>
      <c r="C246" s="56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57"/>
      <c r="O246" s="56"/>
      <c r="Z246" s="57"/>
    </row>
    <row r="247" ht="15.75" customHeight="1">
      <c r="A247" s="23"/>
      <c r="B247" s="23"/>
      <c r="C247" s="56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57"/>
      <c r="O247" s="56"/>
      <c r="Z247" s="57"/>
    </row>
    <row r="248" ht="15.75" customHeight="1">
      <c r="A248" s="23"/>
      <c r="B248" s="23"/>
      <c r="C248" s="56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57"/>
      <c r="O248" s="56"/>
      <c r="Z248" s="57"/>
    </row>
    <row r="249" ht="15.75" customHeight="1">
      <c r="A249" s="23"/>
      <c r="B249" s="23"/>
      <c r="C249" s="56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57"/>
      <c r="O249" s="56"/>
      <c r="Z249" s="57"/>
    </row>
    <row r="250" ht="15.75" customHeight="1">
      <c r="A250" s="23"/>
      <c r="B250" s="23"/>
      <c r="C250" s="56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57"/>
      <c r="O250" s="56"/>
      <c r="Z250" s="57"/>
    </row>
    <row r="251" ht="15.75" customHeight="1">
      <c r="A251" s="23"/>
      <c r="B251" s="23"/>
      <c r="C251" s="56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57"/>
      <c r="O251" s="56"/>
      <c r="Z251" s="57"/>
    </row>
    <row r="252" ht="15.75" customHeight="1">
      <c r="A252" s="23"/>
      <c r="B252" s="23"/>
      <c r="C252" s="56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57"/>
      <c r="O252" s="56"/>
      <c r="Z252" s="57"/>
    </row>
    <row r="253" ht="15.75" customHeight="1">
      <c r="A253" s="23"/>
      <c r="B253" s="23"/>
      <c r="C253" s="56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57"/>
      <c r="O253" s="56"/>
      <c r="Z253" s="57"/>
    </row>
    <row r="254" ht="15.75" customHeight="1">
      <c r="A254" s="23"/>
      <c r="B254" s="23"/>
      <c r="C254" s="56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57"/>
      <c r="O254" s="56"/>
      <c r="Z254" s="57"/>
    </row>
    <row r="255" ht="15.75" customHeight="1">
      <c r="A255" s="23"/>
      <c r="B255" s="23"/>
      <c r="C255" s="56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57"/>
      <c r="O255" s="56"/>
      <c r="Z255" s="57"/>
    </row>
    <row r="256" ht="15.75" customHeight="1">
      <c r="A256" s="23"/>
      <c r="B256" s="23"/>
      <c r="C256" s="56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57"/>
      <c r="O256" s="56"/>
      <c r="Z256" s="57"/>
    </row>
    <row r="257" ht="15.75" customHeight="1">
      <c r="A257" s="23"/>
      <c r="B257" s="23"/>
      <c r="C257" s="56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57"/>
      <c r="O257" s="56"/>
      <c r="Z257" s="57"/>
    </row>
    <row r="258" ht="15.75" customHeight="1">
      <c r="A258" s="23"/>
      <c r="B258" s="23"/>
      <c r="C258" s="56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57"/>
      <c r="O258" s="56"/>
      <c r="Z258" s="57"/>
    </row>
    <row r="259" ht="15.75" customHeight="1">
      <c r="A259" s="23"/>
      <c r="B259" s="23"/>
      <c r="C259" s="56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57"/>
      <c r="O259" s="56"/>
      <c r="Z259" s="57"/>
    </row>
    <row r="260" ht="15.75" customHeight="1">
      <c r="A260" s="23"/>
      <c r="B260" s="23"/>
      <c r="C260" s="56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57"/>
      <c r="O260" s="56"/>
      <c r="Z260" s="57"/>
    </row>
    <row r="261" ht="15.75" customHeight="1">
      <c r="A261" s="23"/>
      <c r="B261" s="23"/>
      <c r="C261" s="56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57"/>
      <c r="O261" s="56"/>
      <c r="Z261" s="57"/>
    </row>
    <row r="262" ht="15.75" customHeight="1">
      <c r="A262" s="23"/>
      <c r="B262" s="23"/>
      <c r="C262" s="56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57"/>
      <c r="O262" s="56"/>
      <c r="Z262" s="57"/>
    </row>
    <row r="263" ht="15.75" customHeight="1">
      <c r="A263" s="23"/>
      <c r="B263" s="23"/>
      <c r="C263" s="56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57"/>
      <c r="O263" s="56"/>
      <c r="Z263" s="57"/>
    </row>
    <row r="264" ht="15.75" customHeight="1">
      <c r="A264" s="23"/>
      <c r="B264" s="23"/>
      <c r="C264" s="56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57"/>
      <c r="O264" s="56"/>
      <c r="Z264" s="57"/>
    </row>
    <row r="265" ht="15.75" customHeight="1">
      <c r="A265" s="23"/>
      <c r="B265" s="23"/>
      <c r="C265" s="56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57"/>
      <c r="O265" s="56"/>
      <c r="Z265" s="57"/>
    </row>
    <row r="266" ht="15.75" customHeight="1">
      <c r="A266" s="23"/>
      <c r="B266" s="23"/>
      <c r="C266" s="56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57"/>
      <c r="O266" s="56"/>
      <c r="Z266" s="57"/>
    </row>
    <row r="267" ht="15.75" customHeight="1">
      <c r="A267" s="23"/>
      <c r="B267" s="23"/>
      <c r="C267" s="56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57"/>
      <c r="O267" s="56"/>
      <c r="Z267" s="57"/>
    </row>
    <row r="268" ht="15.75" customHeight="1">
      <c r="A268" s="23"/>
      <c r="B268" s="23"/>
      <c r="C268" s="56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57"/>
      <c r="O268" s="56"/>
      <c r="Z268" s="57"/>
    </row>
    <row r="269" ht="15.75" customHeight="1">
      <c r="A269" s="23"/>
      <c r="B269" s="23"/>
      <c r="C269" s="56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57"/>
      <c r="O269" s="56"/>
      <c r="Z269" s="57"/>
    </row>
    <row r="270" ht="15.75" customHeight="1">
      <c r="A270" s="23"/>
      <c r="B270" s="23"/>
      <c r="C270" s="56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57"/>
      <c r="O270" s="56"/>
      <c r="Z270" s="57"/>
    </row>
    <row r="271" ht="15.75" customHeight="1">
      <c r="A271" s="23"/>
      <c r="B271" s="23"/>
      <c r="C271" s="56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57"/>
      <c r="O271" s="56"/>
      <c r="Z271" s="57"/>
    </row>
    <row r="272" ht="15.75" customHeight="1">
      <c r="A272" s="23"/>
      <c r="B272" s="23"/>
      <c r="C272" s="56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57"/>
      <c r="O272" s="56"/>
      <c r="Z272" s="57"/>
    </row>
    <row r="273" ht="15.75" customHeight="1">
      <c r="A273" s="23"/>
      <c r="B273" s="23"/>
      <c r="C273" s="56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57"/>
      <c r="O273" s="56"/>
      <c r="Z273" s="57"/>
    </row>
    <row r="274" ht="15.75" customHeight="1">
      <c r="A274" s="23"/>
      <c r="B274" s="23"/>
      <c r="C274" s="56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57"/>
      <c r="O274" s="56"/>
      <c r="Z274" s="57"/>
    </row>
    <row r="275" ht="15.75" customHeight="1">
      <c r="A275" s="23"/>
      <c r="B275" s="23"/>
      <c r="C275" s="56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57"/>
      <c r="O275" s="56"/>
      <c r="Z275" s="57"/>
    </row>
    <row r="276" ht="15.75" customHeight="1">
      <c r="A276" s="23"/>
      <c r="B276" s="23"/>
      <c r="C276" s="56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57"/>
      <c r="O276" s="56"/>
      <c r="Z276" s="57"/>
    </row>
    <row r="277" ht="15.75" customHeight="1">
      <c r="A277" s="23"/>
      <c r="B277" s="23"/>
      <c r="C277" s="56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57"/>
      <c r="O277" s="56"/>
      <c r="Z277" s="57"/>
    </row>
    <row r="278" ht="15.75" customHeight="1">
      <c r="A278" s="23"/>
      <c r="B278" s="23"/>
      <c r="C278" s="56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57"/>
      <c r="O278" s="56"/>
      <c r="Z278" s="57"/>
    </row>
    <row r="279" ht="15.75" customHeight="1">
      <c r="A279" s="23"/>
      <c r="B279" s="23"/>
      <c r="C279" s="56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57"/>
      <c r="O279" s="56"/>
      <c r="Z279" s="57"/>
    </row>
    <row r="280" ht="15.75" customHeight="1">
      <c r="A280" s="23"/>
      <c r="B280" s="23"/>
      <c r="C280" s="56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57"/>
      <c r="O280" s="56"/>
      <c r="Z280" s="57"/>
    </row>
    <row r="281" ht="15.75" customHeight="1">
      <c r="A281" s="23"/>
      <c r="B281" s="23"/>
      <c r="C281" s="56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57"/>
      <c r="O281" s="56"/>
      <c r="Z281" s="57"/>
    </row>
    <row r="282" ht="15.75" customHeight="1">
      <c r="A282" s="23"/>
      <c r="B282" s="23"/>
      <c r="C282" s="56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57"/>
      <c r="O282" s="56"/>
      <c r="Z282" s="57"/>
    </row>
    <row r="283" ht="15.75" customHeight="1">
      <c r="A283" s="23"/>
      <c r="B283" s="23"/>
      <c r="C283" s="56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57"/>
      <c r="O283" s="56"/>
      <c r="Z283" s="57"/>
    </row>
    <row r="284" ht="15.75" customHeight="1">
      <c r="A284" s="23"/>
      <c r="B284" s="23"/>
      <c r="C284" s="56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57"/>
      <c r="O284" s="56"/>
      <c r="Z284" s="57"/>
    </row>
    <row r="285" ht="15.75" customHeight="1">
      <c r="A285" s="23"/>
      <c r="B285" s="23"/>
      <c r="C285" s="56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57"/>
      <c r="O285" s="56"/>
      <c r="Z285" s="57"/>
    </row>
    <row r="286" ht="15.75" customHeight="1">
      <c r="A286" s="23"/>
      <c r="B286" s="23"/>
      <c r="C286" s="56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57"/>
      <c r="O286" s="56"/>
      <c r="Z286" s="57"/>
    </row>
    <row r="287" ht="15.75" customHeight="1">
      <c r="A287" s="23"/>
      <c r="B287" s="23"/>
      <c r="C287" s="56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57"/>
      <c r="O287" s="56"/>
      <c r="Z287" s="57"/>
    </row>
    <row r="288" ht="15.75" customHeight="1">
      <c r="A288" s="23"/>
      <c r="B288" s="23"/>
      <c r="C288" s="56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57"/>
      <c r="O288" s="56"/>
      <c r="Z288" s="57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</row>
  </sheetData>
  <mergeCells count="5">
    <mergeCell ref="C1:N1"/>
    <mergeCell ref="O1:Z1"/>
    <mergeCell ref="A4:Z4"/>
    <mergeCell ref="A19:Z19"/>
    <mergeCell ref="A63:Z6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4" width="18.0"/>
    <col customWidth="1" min="5" max="26" width="8.63"/>
  </cols>
  <sheetData>
    <row r="1">
      <c r="A1" s="96" t="s">
        <v>84</v>
      </c>
      <c r="B1" s="23"/>
      <c r="C1" s="23"/>
      <c r="D1" s="23"/>
    </row>
    <row r="2">
      <c r="A2" s="97" t="s">
        <v>85</v>
      </c>
      <c r="B2" s="23"/>
      <c r="C2" s="23"/>
      <c r="D2" s="23"/>
    </row>
    <row r="3">
      <c r="A3" s="97" t="s">
        <v>86</v>
      </c>
      <c r="B3" s="23"/>
      <c r="C3" s="23"/>
      <c r="D3" s="23"/>
    </row>
    <row r="4">
      <c r="A4" s="23"/>
      <c r="B4" s="23"/>
      <c r="C4" s="23"/>
      <c r="D4" s="23"/>
    </row>
    <row r="5">
      <c r="A5" s="98" t="s">
        <v>87</v>
      </c>
      <c r="B5" s="99" t="s">
        <v>88</v>
      </c>
      <c r="C5" s="100" t="s">
        <v>89</v>
      </c>
      <c r="D5" s="101" t="s">
        <v>90</v>
      </c>
    </row>
    <row r="6">
      <c r="A6" s="102" t="s">
        <v>91</v>
      </c>
      <c r="B6" s="103"/>
      <c r="C6" s="103"/>
      <c r="D6" s="103"/>
    </row>
    <row r="7">
      <c r="A7" s="44" t="s">
        <v>92</v>
      </c>
      <c r="B7" s="104">
        <v>2000.0</v>
      </c>
      <c r="C7" s="104">
        <v>2500.0</v>
      </c>
      <c r="D7" s="104">
        <v>3500.0</v>
      </c>
    </row>
    <row r="8">
      <c r="A8" s="44" t="s">
        <v>93</v>
      </c>
      <c r="B8" s="105">
        <v>0.1</v>
      </c>
      <c r="C8" s="105">
        <v>0.15</v>
      </c>
      <c r="D8" s="105">
        <v>0.2</v>
      </c>
    </row>
    <row r="9">
      <c r="A9" s="44" t="s">
        <v>94</v>
      </c>
      <c r="B9" s="105">
        <v>0.005</v>
      </c>
      <c r="C9" s="105">
        <v>0.003</v>
      </c>
      <c r="D9" s="105">
        <v>0.002</v>
      </c>
    </row>
    <row r="10">
      <c r="A10" s="44" t="s">
        <v>95</v>
      </c>
      <c r="B10" s="106">
        <v>1.0</v>
      </c>
      <c r="C10" s="106">
        <v>1.0</v>
      </c>
      <c r="D10" s="106">
        <v>2.0</v>
      </c>
    </row>
    <row r="11">
      <c r="A11" s="44" t="s">
        <v>96</v>
      </c>
      <c r="B11" s="106">
        <v>4.0</v>
      </c>
      <c r="C11" s="106">
        <v>5.0</v>
      </c>
      <c r="D11" s="106">
        <v>6.0</v>
      </c>
    </row>
    <row r="12">
      <c r="A12" s="102" t="s">
        <v>54</v>
      </c>
      <c r="B12" s="103"/>
      <c r="C12" s="103"/>
      <c r="D12" s="103"/>
    </row>
    <row r="13">
      <c r="A13" s="44" t="s">
        <v>97</v>
      </c>
      <c r="B13" s="104">
        <v>254797.1752076559</v>
      </c>
      <c r="C13" s="104">
        <v>392518.5639157827</v>
      </c>
      <c r="D13" s="104">
        <v>1269645.477677682</v>
      </c>
    </row>
    <row r="14">
      <c r="A14" s="44" t="s">
        <v>98</v>
      </c>
      <c r="B14" s="104">
        <v>920846.700985035</v>
      </c>
      <c r="C14" s="104">
        <v>1796344.187787854</v>
      </c>
      <c r="D14" s="104">
        <v>7003650.776313986</v>
      </c>
    </row>
    <row r="15">
      <c r="A15" s="44" t="s">
        <v>99</v>
      </c>
      <c r="B15" s="104">
        <v>41911.67271954777</v>
      </c>
      <c r="C15" s="104">
        <v>69997.7789387269</v>
      </c>
      <c r="D15" s="104">
        <v>240496.5685975922</v>
      </c>
    </row>
    <row r="16">
      <c r="A16" s="44" t="s">
        <v>100</v>
      </c>
      <c r="B16" s="104">
        <v>110584.1668178259</v>
      </c>
      <c r="C16" s="104">
        <v>234818.7986013506</v>
      </c>
      <c r="D16" s="104">
        <v>977965.82212645</v>
      </c>
    </row>
    <row r="17">
      <c r="A17" s="44" t="s">
        <v>101</v>
      </c>
      <c r="B17" s="104">
        <v>502940.0726345732</v>
      </c>
      <c r="C17" s="104">
        <v>839973.3472647228</v>
      </c>
      <c r="D17" s="104">
        <v>2885958.823171106</v>
      </c>
    </row>
    <row r="18">
      <c r="A18" s="44" t="s">
        <v>102</v>
      </c>
      <c r="B18" s="104">
        <v>1327010.001813911</v>
      </c>
      <c r="C18" s="104">
        <v>2817825.583216208</v>
      </c>
      <c r="D18" s="104">
        <v>1.17355898655174E7</v>
      </c>
    </row>
    <row r="19">
      <c r="A19" s="44" t="s">
        <v>103</v>
      </c>
      <c r="B19" s="106">
        <v>21.0</v>
      </c>
      <c r="C19" s="106">
        <v>28.0</v>
      </c>
      <c r="D19" s="106">
        <v>69.0</v>
      </c>
    </row>
    <row r="20">
      <c r="A20" s="44" t="s">
        <v>104</v>
      </c>
      <c r="B20" s="106">
        <v>50.0</v>
      </c>
      <c r="C20" s="106">
        <v>81.0</v>
      </c>
      <c r="D20" s="106">
        <v>233.0</v>
      </c>
    </row>
    <row r="21" ht="15.75" customHeight="1">
      <c r="A21" s="102" t="s">
        <v>105</v>
      </c>
      <c r="B21" s="103"/>
      <c r="C21" s="103"/>
      <c r="D21" s="103"/>
    </row>
    <row r="22" ht="15.75" customHeight="1">
      <c r="A22" s="44" t="s">
        <v>106</v>
      </c>
      <c r="B22" s="105">
        <v>0.9342104477662521</v>
      </c>
      <c r="C22" s="105">
        <v>0.9485707486331383</v>
      </c>
      <c r="D22" s="105">
        <v>0.963762904773457</v>
      </c>
    </row>
    <row r="23" ht="15.75" customHeight="1">
      <c r="A23" s="44" t="s">
        <v>107</v>
      </c>
      <c r="B23" s="105">
        <v>0.9564356711890675</v>
      </c>
      <c r="C23" s="105">
        <v>0.9636120957566666</v>
      </c>
      <c r="D23" s="105">
        <v>0.9684662040676039</v>
      </c>
    </row>
    <row r="24" ht="15.75" customHeight="1">
      <c r="A24" s="44" t="s">
        <v>108</v>
      </c>
      <c r="B24" s="104">
        <v>-274538.5705610331</v>
      </c>
      <c r="C24" s="104">
        <v>-199212.1068366377</v>
      </c>
      <c r="D24" s="104">
        <v>534973.384686691</v>
      </c>
    </row>
    <row r="25" ht="15.75" customHeight="1">
      <c r="A25" s="44" t="s">
        <v>109</v>
      </c>
      <c r="B25" s="104">
        <v>281566.4978963818</v>
      </c>
      <c r="C25" s="104">
        <v>958269.2108869476</v>
      </c>
      <c r="D25" s="104">
        <v>5624918.206445727</v>
      </c>
    </row>
    <row r="26" ht="15.75" customHeight="1">
      <c r="A26" s="44" t="s">
        <v>110</v>
      </c>
      <c r="B26" s="105">
        <v>0.4907085106823289</v>
      </c>
      <c r="C26" s="105">
        <v>0.6699553343440205</v>
      </c>
      <c r="D26" s="105">
        <v>0.8462278327228331</v>
      </c>
    </row>
    <row r="27" ht="15.75" customHeight="1">
      <c r="A27" s="102" t="s">
        <v>111</v>
      </c>
      <c r="B27" s="103"/>
      <c r="C27" s="103"/>
      <c r="D27" s="103"/>
    </row>
    <row r="28" ht="15.75" customHeight="1">
      <c r="A28" s="44" t="s">
        <v>112</v>
      </c>
      <c r="B28" s="107">
        <v>77.15991049597679</v>
      </c>
      <c r="C28" s="107">
        <v>198.7617806303505</v>
      </c>
      <c r="D28" s="107">
        <v>397.2338308600168</v>
      </c>
    </row>
    <row r="29" ht="15.75" customHeight="1">
      <c r="A29" s="44" t="s">
        <v>113</v>
      </c>
      <c r="B29" s="107">
        <v>2.160016329663276</v>
      </c>
      <c r="C29" s="107">
        <v>1.257787081636889</v>
      </c>
      <c r="D29" s="107">
        <v>0.8391363157857475</v>
      </c>
    </row>
    <row r="30" ht="15.75" customHeight="1">
      <c r="A30" s="44" t="s">
        <v>114</v>
      </c>
      <c r="B30" s="105">
        <v>1.065288364473919</v>
      </c>
      <c r="C30" s="105">
        <v>1.083968858367559</v>
      </c>
      <c r="D30" s="105">
        <v>1.100302392126955</v>
      </c>
    </row>
    <row r="31" ht="15.75" customHeight="1">
      <c r="A31" s="44" t="s">
        <v>115</v>
      </c>
      <c r="B31" s="105">
        <v>1.274168884369352</v>
      </c>
      <c r="C31" s="105">
        <v>1.677581634754727</v>
      </c>
      <c r="D31" s="105">
        <v>2.049856538246295</v>
      </c>
    </row>
    <row r="32" ht="15.75" customHeight="1">
      <c r="A32" s="102" t="s">
        <v>116</v>
      </c>
      <c r="B32" s="103"/>
      <c r="C32" s="103"/>
      <c r="D32" s="103"/>
    </row>
    <row r="33" ht="15.75" customHeight="1">
      <c r="A33" s="44" t="s">
        <v>117</v>
      </c>
      <c r="B33" s="106">
        <v>4.0</v>
      </c>
      <c r="C33" s="106">
        <v>5.0</v>
      </c>
      <c r="D33" s="106">
        <v>6.0</v>
      </c>
    </row>
    <row r="34" ht="15.75" customHeight="1">
      <c r="A34" s="44" t="s">
        <v>118</v>
      </c>
      <c r="B34" s="104">
        <v>331752.5004534777</v>
      </c>
      <c r="C34" s="104">
        <v>563565.1166432415</v>
      </c>
      <c r="D34" s="104">
        <v>1955931.6442529</v>
      </c>
    </row>
    <row r="35" ht="15.75" customHeight="1">
      <c r="A35" s="102" t="s">
        <v>119</v>
      </c>
      <c r="B35" s="103"/>
      <c r="C35" s="103"/>
      <c r="D35" s="103"/>
    </row>
    <row r="36" ht="15.75" customHeight="1">
      <c r="A36" s="44" t="s">
        <v>120</v>
      </c>
      <c r="B36" s="106">
        <v>14.0</v>
      </c>
      <c r="C36" s="106">
        <v>12.0</v>
      </c>
      <c r="D36" s="106">
        <v>5.0</v>
      </c>
    </row>
    <row r="37" ht="15.75" customHeight="1">
      <c r="A37" s="44" t="s">
        <v>121</v>
      </c>
      <c r="B37" s="104">
        <v>725461.429438967</v>
      </c>
      <c r="C37" s="104">
        <v>800787.8931633624</v>
      </c>
      <c r="D37" s="104">
        <v>1534973.384686691</v>
      </c>
    </row>
    <row r="38" ht="15.75" customHeight="1">
      <c r="A38" s="44" t="s">
        <v>122</v>
      </c>
      <c r="B38" s="104">
        <v>1007027.927335349</v>
      </c>
      <c r="C38" s="104">
        <v>1759057.10405031</v>
      </c>
      <c r="D38" s="104">
        <v>7159891.591132418</v>
      </c>
    </row>
    <row r="39" ht="15.75" customHeight="1">
      <c r="A39" s="44" t="s">
        <v>123</v>
      </c>
      <c r="B39" s="104">
        <v>32554.1</v>
      </c>
      <c r="C39" s="104">
        <v>31482.575</v>
      </c>
      <c r="D39" s="104">
        <v>22493.14</v>
      </c>
    </row>
    <row r="40" ht="15.75" customHeight="1">
      <c r="A40" s="23"/>
      <c r="B40" s="23"/>
      <c r="C40" s="23"/>
      <c r="D40" s="23"/>
    </row>
    <row r="41" ht="15.75" customHeight="1">
      <c r="A41" s="23"/>
      <c r="B41" s="23"/>
      <c r="C41" s="23"/>
      <c r="D41" s="23"/>
    </row>
    <row r="42" ht="15.75" customHeight="1">
      <c r="A42" s="108" t="s">
        <v>124</v>
      </c>
      <c r="B42" s="23"/>
      <c r="C42" s="23"/>
      <c r="D42" s="23"/>
    </row>
    <row r="43" ht="15.75" customHeight="1">
      <c r="A43" s="44" t="s">
        <v>125</v>
      </c>
      <c r="B43" s="23"/>
      <c r="C43" s="23"/>
      <c r="D43" s="23"/>
    </row>
    <row r="44" ht="15.75" customHeight="1">
      <c r="A44" s="44" t="s">
        <v>126</v>
      </c>
      <c r="B44" s="23"/>
      <c r="C44" s="23"/>
      <c r="D44" s="23"/>
    </row>
    <row r="45" ht="15.75" customHeight="1">
      <c r="A45" s="44" t="s">
        <v>127</v>
      </c>
      <c r="B45" s="23"/>
      <c r="C45" s="23"/>
      <c r="D45" s="23"/>
    </row>
    <row r="46" ht="15.75" customHeight="1">
      <c r="A46" s="44" t="s">
        <v>128</v>
      </c>
      <c r="B46" s="23"/>
      <c r="C46" s="23"/>
      <c r="D46" s="23"/>
    </row>
    <row r="47" ht="15.75" customHeight="1">
      <c r="A47" s="23"/>
      <c r="B47" s="23"/>
      <c r="C47" s="23"/>
      <c r="D47" s="23"/>
    </row>
    <row r="48" ht="15.75" customHeight="1">
      <c r="A48" s="109" t="s">
        <v>129</v>
      </c>
      <c r="B48" s="23"/>
      <c r="C48" s="23"/>
      <c r="D48" s="23"/>
    </row>
    <row r="49" ht="15.75" customHeight="1">
      <c r="A49" s="110" t="s">
        <v>130</v>
      </c>
      <c r="B49" s="23"/>
      <c r="C49" s="23"/>
      <c r="D49" s="23"/>
    </row>
    <row r="50" ht="15.75" customHeight="1">
      <c r="A50" s="110" t="s">
        <v>131</v>
      </c>
      <c r="B50" s="23"/>
      <c r="C50" s="23"/>
      <c r="D50" s="23"/>
    </row>
    <row r="51" ht="15.75" customHeight="1">
      <c r="A51" s="110" t="s">
        <v>132</v>
      </c>
      <c r="B51" s="23"/>
      <c r="C51" s="23"/>
      <c r="D51" s="23"/>
    </row>
    <row r="52" ht="15.75" customHeight="1">
      <c r="A52" s="110" t="s">
        <v>133</v>
      </c>
      <c r="B52" s="23"/>
      <c r="C52" s="23"/>
      <c r="D52" s="23"/>
    </row>
    <row r="53" ht="15.75" customHeight="1">
      <c r="A53" s="110" t="s">
        <v>134</v>
      </c>
      <c r="B53" s="23"/>
      <c r="C53" s="23"/>
      <c r="D53" s="23"/>
    </row>
    <row r="54" ht="15.75" customHeight="1">
      <c r="A54" s="110" t="s">
        <v>135</v>
      </c>
      <c r="B54" s="23"/>
      <c r="C54" s="23"/>
      <c r="D54" s="23"/>
    </row>
    <row r="55" ht="15.75" customHeight="1">
      <c r="A55" s="110" t="s">
        <v>136</v>
      </c>
      <c r="B55" s="23"/>
      <c r="C55" s="23"/>
      <c r="D55" s="23"/>
    </row>
    <row r="56" ht="15.75" customHeight="1">
      <c r="A56" s="110" t="s">
        <v>137</v>
      </c>
      <c r="B56" s="23"/>
      <c r="C56" s="23"/>
      <c r="D56" s="23"/>
    </row>
    <row r="57" ht="15.75" customHeight="1">
      <c r="A57" s="23"/>
      <c r="B57" s="23"/>
      <c r="C57" s="23"/>
      <c r="D57" s="23"/>
    </row>
    <row r="58" ht="15.75" customHeight="1">
      <c r="A58" s="23"/>
      <c r="B58" s="23"/>
      <c r="C58" s="23"/>
      <c r="D58" s="23"/>
    </row>
    <row r="59" ht="15.75" customHeight="1">
      <c r="A59" s="108" t="s">
        <v>138</v>
      </c>
      <c r="B59" s="23"/>
      <c r="C59" s="23"/>
      <c r="D59" s="23"/>
    </row>
    <row r="60" ht="15.75" customHeight="1">
      <c r="A60" s="111" t="s">
        <v>139</v>
      </c>
      <c r="B60" s="111" t="s">
        <v>3</v>
      </c>
      <c r="C60" s="111" t="s">
        <v>140</v>
      </c>
      <c r="D60" s="111" t="s">
        <v>141</v>
      </c>
    </row>
    <row r="61" ht="15.75" customHeight="1">
      <c r="A61" s="110" t="s">
        <v>142</v>
      </c>
      <c r="B61" s="112">
        <v>2.0E8</v>
      </c>
      <c r="C61" s="110">
        <v>11.0</v>
      </c>
      <c r="D61" s="112">
        <v>1.8181818E7</v>
      </c>
    </row>
    <row r="62" ht="15.75" customHeight="1">
      <c r="A62" s="110" t="s">
        <v>143</v>
      </c>
      <c r="B62" s="112">
        <v>1.0E9</v>
      </c>
      <c r="C62" s="110">
        <v>150.0</v>
      </c>
      <c r="D62" s="112">
        <v>6666667.0</v>
      </c>
    </row>
    <row r="63" ht="15.75" customHeight="1">
      <c r="A63" s="110" t="s">
        <v>144</v>
      </c>
      <c r="B63" s="112">
        <v>1.0E8</v>
      </c>
      <c r="C63" s="110">
        <v>20.0</v>
      </c>
      <c r="D63" s="112">
        <v>5000000.0</v>
      </c>
    </row>
    <row r="64" ht="15.75" customHeight="1">
      <c r="A64" s="110" t="s">
        <v>145</v>
      </c>
      <c r="B64" s="110" t="s">
        <v>146</v>
      </c>
      <c r="C64" s="110" t="s">
        <v>146</v>
      </c>
      <c r="D64" s="112">
        <v>4500000.0</v>
      </c>
    </row>
    <row r="65" ht="15.75" customHeight="1">
      <c r="A65" s="110" t="s">
        <v>147</v>
      </c>
      <c r="B65" s="110" t="s">
        <v>146</v>
      </c>
      <c r="C65" s="110" t="s">
        <v>146</v>
      </c>
      <c r="D65" s="112">
        <v>3600000.0</v>
      </c>
    </row>
    <row r="66" ht="15.75" customHeight="1">
      <c r="A66" s="110" t="s">
        <v>148</v>
      </c>
      <c r="B66" s="110" t="s">
        <v>146</v>
      </c>
      <c r="C66" s="110" t="s">
        <v>146</v>
      </c>
      <c r="D66" s="112">
        <v>2200000.0</v>
      </c>
    </row>
    <row r="67" ht="15.75" customHeight="1">
      <c r="A67" s="110" t="s">
        <v>149</v>
      </c>
      <c r="B67" s="110" t="s">
        <v>146</v>
      </c>
      <c r="C67" s="110" t="s">
        <v>146</v>
      </c>
      <c r="D67" s="112">
        <v>1800000.0</v>
      </c>
    </row>
    <row r="68" ht="15.75" customHeight="1">
      <c r="A68" s="113" t="s">
        <v>150</v>
      </c>
      <c r="B68" s="114">
        <v>1327010.001813911</v>
      </c>
      <c r="C68" s="113">
        <v>4.0</v>
      </c>
      <c r="D68" s="114">
        <v>331752.5004534777</v>
      </c>
    </row>
    <row r="69" ht="15.75" customHeight="1">
      <c r="A69" s="113" t="s">
        <v>151</v>
      </c>
      <c r="B69" s="114">
        <v>2817825.583216208</v>
      </c>
      <c r="C69" s="113">
        <v>5.0</v>
      </c>
      <c r="D69" s="114">
        <v>563565.1166432415</v>
      </c>
    </row>
    <row r="70" ht="15.75" customHeight="1">
      <c r="A70" s="113" t="s">
        <v>152</v>
      </c>
      <c r="B70" s="114">
        <v>1.17355898655174E7</v>
      </c>
      <c r="C70" s="113">
        <v>6.0</v>
      </c>
      <c r="D70" s="114">
        <v>1955931.6442529</v>
      </c>
    </row>
    <row r="71" ht="15.75" customHeight="1">
      <c r="A71" s="23"/>
      <c r="B71" s="23"/>
      <c r="C71" s="23"/>
      <c r="D71" s="23"/>
    </row>
    <row r="72" ht="15.75" customHeight="1">
      <c r="A72" s="115" t="s">
        <v>153</v>
      </c>
      <c r="B72" s="23"/>
      <c r="C72" s="23"/>
      <c r="D72" s="23"/>
    </row>
    <row r="73" ht="15.75" customHeight="1">
      <c r="A73" s="115" t="s">
        <v>154</v>
      </c>
      <c r="B73" s="23"/>
      <c r="C73" s="23"/>
      <c r="D73" s="23"/>
    </row>
    <row r="74" ht="15.75" customHeight="1">
      <c r="A74" s="116" t="s">
        <v>155</v>
      </c>
      <c r="B74" s="23"/>
      <c r="C74" s="23"/>
      <c r="D74" s="23"/>
    </row>
    <row r="75" ht="15.75" customHeight="1">
      <c r="A75" s="23"/>
      <c r="B75" s="23"/>
      <c r="C75" s="23"/>
      <c r="D75" s="23"/>
    </row>
    <row r="76" ht="15.75" customHeight="1">
      <c r="A76" s="23"/>
      <c r="B76" s="23"/>
      <c r="C76" s="23"/>
      <c r="D76" s="23"/>
    </row>
    <row r="77" ht="15.75" customHeight="1">
      <c r="A77" s="23"/>
      <c r="B77" s="23"/>
      <c r="C77" s="23"/>
      <c r="D77" s="23"/>
    </row>
    <row r="78" ht="15.75" customHeight="1">
      <c r="A78" s="23"/>
      <c r="B78" s="23"/>
      <c r="C78" s="23"/>
      <c r="D78" s="23"/>
    </row>
    <row r="79" ht="15.75" customHeight="1">
      <c r="A79" s="23"/>
      <c r="B79" s="23"/>
      <c r="C79" s="23"/>
      <c r="D79" s="23"/>
    </row>
    <row r="80" ht="15.75" customHeight="1">
      <c r="A80" s="23"/>
      <c r="B80" s="23"/>
      <c r="C80" s="23"/>
      <c r="D80" s="23"/>
    </row>
    <row r="81" ht="15.75" customHeight="1">
      <c r="A81" s="23"/>
      <c r="B81" s="23"/>
      <c r="C81" s="23"/>
      <c r="D81" s="23"/>
    </row>
    <row r="82" ht="15.75" customHeight="1">
      <c r="A82" s="23"/>
      <c r="B82" s="23"/>
      <c r="C82" s="23"/>
      <c r="D82" s="23"/>
    </row>
    <row r="83" ht="15.75" customHeight="1">
      <c r="A83" s="23"/>
      <c r="B83" s="23"/>
      <c r="C83" s="23"/>
      <c r="D83" s="23"/>
    </row>
    <row r="84" ht="15.75" customHeight="1">
      <c r="A84" s="23"/>
      <c r="B84" s="23"/>
      <c r="C84" s="23"/>
      <c r="D84" s="23"/>
    </row>
    <row r="85" ht="15.75" customHeight="1">
      <c r="A85" s="23"/>
      <c r="B85" s="23"/>
      <c r="C85" s="23"/>
      <c r="D85" s="23"/>
    </row>
    <row r="86" ht="15.75" customHeight="1">
      <c r="A86" s="23"/>
      <c r="B86" s="23"/>
      <c r="C86" s="23"/>
      <c r="D86" s="23"/>
    </row>
    <row r="87" ht="15.75" customHeight="1">
      <c r="A87" s="23"/>
      <c r="B87" s="23"/>
      <c r="C87" s="23"/>
      <c r="D87" s="23"/>
    </row>
    <row r="88" ht="15.75" customHeight="1">
      <c r="A88" s="23"/>
      <c r="B88" s="23"/>
      <c r="C88" s="23"/>
      <c r="D88" s="23"/>
    </row>
    <row r="89" ht="15.75" customHeight="1">
      <c r="A89" s="23"/>
      <c r="B89" s="23"/>
      <c r="C89" s="23"/>
      <c r="D89" s="23"/>
    </row>
    <row r="90" ht="15.75" customHeight="1">
      <c r="A90" s="23"/>
      <c r="B90" s="23"/>
      <c r="C90" s="23"/>
      <c r="D90" s="23"/>
    </row>
    <row r="91" ht="15.75" customHeight="1">
      <c r="A91" s="23"/>
      <c r="B91" s="23"/>
      <c r="C91" s="23"/>
      <c r="D91" s="23"/>
    </row>
    <row r="92" ht="15.75" customHeight="1">
      <c r="A92" s="23"/>
      <c r="B92" s="23"/>
      <c r="C92" s="23"/>
      <c r="D92" s="23"/>
    </row>
    <row r="93" ht="15.75" customHeight="1">
      <c r="A93" s="23"/>
      <c r="B93" s="23"/>
      <c r="C93" s="23"/>
      <c r="D93" s="23"/>
    </row>
    <row r="94" ht="15.75" customHeight="1">
      <c r="A94" s="23"/>
      <c r="B94" s="23"/>
      <c r="C94" s="23"/>
      <c r="D94" s="23"/>
    </row>
    <row r="95" ht="15.75" customHeight="1">
      <c r="A95" s="23"/>
      <c r="B95" s="23"/>
      <c r="C95" s="23"/>
      <c r="D95" s="23"/>
    </row>
    <row r="96" ht="15.75" customHeight="1">
      <c r="A96" s="23"/>
      <c r="B96" s="23"/>
      <c r="C96" s="23"/>
      <c r="D96" s="23"/>
    </row>
    <row r="97" ht="15.75" customHeight="1">
      <c r="A97" s="23"/>
      <c r="B97" s="23"/>
      <c r="C97" s="23"/>
      <c r="D97" s="23"/>
    </row>
    <row r="98" ht="15.75" customHeight="1">
      <c r="A98" s="23"/>
      <c r="B98" s="23"/>
      <c r="C98" s="23"/>
      <c r="D98" s="23"/>
    </row>
    <row r="99" ht="15.75" customHeight="1">
      <c r="A99" s="23"/>
      <c r="B99" s="23"/>
      <c r="C99" s="23"/>
      <c r="D99" s="23"/>
    </row>
    <row r="100" ht="15.75" customHeight="1">
      <c r="A100" s="23"/>
      <c r="B100" s="23"/>
      <c r="C100" s="23"/>
      <c r="D100" s="23"/>
    </row>
    <row r="101" ht="15.75" customHeight="1">
      <c r="A101" s="23"/>
      <c r="B101" s="23"/>
      <c r="C101" s="23"/>
      <c r="D101" s="23"/>
    </row>
    <row r="102" ht="15.75" customHeight="1">
      <c r="A102" s="23"/>
      <c r="B102" s="23"/>
      <c r="C102" s="23"/>
      <c r="D102" s="23"/>
    </row>
    <row r="103" ht="15.75" customHeight="1">
      <c r="A103" s="23"/>
      <c r="B103" s="23"/>
      <c r="C103" s="23"/>
      <c r="D103" s="23"/>
    </row>
    <row r="104" ht="15.75" customHeight="1">
      <c r="A104" s="23"/>
      <c r="B104" s="23"/>
      <c r="C104" s="23"/>
      <c r="D104" s="23"/>
    </row>
    <row r="105" ht="15.75" customHeight="1">
      <c r="A105" s="23"/>
      <c r="B105" s="23"/>
      <c r="C105" s="23"/>
      <c r="D105" s="23"/>
    </row>
    <row r="106" ht="15.75" customHeight="1">
      <c r="A106" s="23"/>
      <c r="B106" s="23"/>
      <c r="C106" s="23"/>
      <c r="D106" s="23"/>
    </row>
    <row r="107" ht="15.75" customHeight="1">
      <c r="A107" s="23"/>
      <c r="B107" s="23"/>
      <c r="C107" s="23"/>
      <c r="D107" s="23"/>
    </row>
    <row r="108" ht="15.75" customHeight="1">
      <c r="A108" s="23"/>
      <c r="B108" s="23"/>
      <c r="C108" s="23"/>
      <c r="D108" s="23"/>
    </row>
    <row r="109" ht="15.75" customHeight="1">
      <c r="A109" s="23"/>
      <c r="B109" s="23"/>
      <c r="C109" s="23"/>
      <c r="D109" s="23"/>
    </row>
    <row r="110" ht="15.75" customHeight="1">
      <c r="A110" s="23"/>
      <c r="B110" s="23"/>
      <c r="C110" s="23"/>
      <c r="D110" s="23"/>
    </row>
    <row r="111" ht="15.75" customHeight="1">
      <c r="A111" s="23"/>
      <c r="B111" s="23"/>
      <c r="C111" s="23"/>
      <c r="D111" s="23"/>
    </row>
    <row r="112" ht="15.75" customHeight="1">
      <c r="A112" s="23"/>
      <c r="B112" s="23"/>
      <c r="C112" s="23"/>
      <c r="D112" s="23"/>
    </row>
    <row r="113" ht="15.75" customHeight="1">
      <c r="A113" s="23"/>
      <c r="B113" s="23"/>
      <c r="C113" s="23"/>
      <c r="D113" s="23"/>
    </row>
    <row r="114" ht="15.75" customHeight="1">
      <c r="A114" s="23"/>
      <c r="B114" s="23"/>
      <c r="C114" s="23"/>
      <c r="D114" s="23"/>
    </row>
    <row r="115" ht="15.75" customHeight="1">
      <c r="A115" s="23"/>
      <c r="B115" s="23"/>
      <c r="C115" s="23"/>
      <c r="D115" s="23"/>
    </row>
    <row r="116" ht="15.75" customHeight="1">
      <c r="A116" s="23"/>
      <c r="B116" s="23"/>
      <c r="C116" s="23"/>
      <c r="D116" s="23"/>
    </row>
    <row r="117" ht="15.75" customHeight="1">
      <c r="A117" s="23"/>
      <c r="B117" s="23"/>
      <c r="C117" s="23"/>
      <c r="D117" s="23"/>
    </row>
    <row r="118" ht="15.75" customHeight="1">
      <c r="A118" s="23"/>
      <c r="B118" s="23"/>
      <c r="C118" s="23"/>
      <c r="D118" s="23"/>
    </row>
    <row r="119" ht="15.75" customHeight="1">
      <c r="A119" s="23"/>
      <c r="B119" s="23"/>
      <c r="C119" s="23"/>
      <c r="D119" s="23"/>
    </row>
    <row r="120" ht="15.75" customHeight="1">
      <c r="A120" s="23"/>
      <c r="B120" s="23"/>
      <c r="C120" s="23"/>
      <c r="D120" s="23"/>
    </row>
    <row r="121" ht="15.75" customHeight="1">
      <c r="A121" s="23"/>
      <c r="B121" s="23"/>
      <c r="C121" s="23"/>
      <c r="D121" s="23"/>
    </row>
    <row r="122" ht="15.75" customHeight="1">
      <c r="A122" s="23"/>
      <c r="B122" s="23"/>
      <c r="C122" s="23"/>
      <c r="D122" s="23"/>
    </row>
    <row r="123" ht="15.75" customHeight="1">
      <c r="A123" s="23"/>
      <c r="B123" s="23"/>
      <c r="C123" s="23"/>
      <c r="D123" s="23"/>
    </row>
    <row r="124" ht="15.75" customHeight="1">
      <c r="A124" s="23"/>
      <c r="B124" s="23"/>
      <c r="C124" s="23"/>
      <c r="D124" s="23"/>
    </row>
    <row r="125" ht="15.75" customHeight="1">
      <c r="A125" s="23"/>
      <c r="B125" s="23"/>
      <c r="C125" s="23"/>
      <c r="D125" s="23"/>
    </row>
    <row r="126" ht="15.75" customHeight="1">
      <c r="A126" s="23"/>
      <c r="B126" s="23"/>
      <c r="C126" s="23"/>
      <c r="D126" s="23"/>
    </row>
    <row r="127" ht="15.75" customHeight="1">
      <c r="A127" s="23"/>
      <c r="B127" s="23"/>
      <c r="C127" s="23"/>
      <c r="D127" s="23"/>
    </row>
    <row r="128" ht="15.75" customHeight="1">
      <c r="A128" s="23"/>
      <c r="B128" s="23"/>
      <c r="C128" s="23"/>
      <c r="D128" s="23"/>
    </row>
    <row r="129" ht="15.75" customHeight="1">
      <c r="A129" s="23"/>
      <c r="B129" s="23"/>
      <c r="C129" s="23"/>
      <c r="D129" s="23"/>
    </row>
    <row r="130" ht="15.75" customHeight="1">
      <c r="A130" s="23"/>
      <c r="B130" s="23"/>
      <c r="C130" s="23"/>
      <c r="D130" s="23"/>
    </row>
    <row r="131" ht="15.75" customHeight="1">
      <c r="A131" s="23"/>
      <c r="B131" s="23"/>
      <c r="C131" s="23"/>
      <c r="D131" s="23"/>
    </row>
    <row r="132" ht="15.75" customHeight="1">
      <c r="A132" s="23"/>
      <c r="B132" s="23"/>
      <c r="C132" s="23"/>
      <c r="D132" s="23"/>
    </row>
    <row r="133" ht="15.75" customHeight="1">
      <c r="A133" s="23"/>
      <c r="B133" s="23"/>
      <c r="C133" s="23"/>
      <c r="D133" s="23"/>
    </row>
    <row r="134" ht="15.75" customHeight="1">
      <c r="A134" s="23"/>
      <c r="B134" s="23"/>
      <c r="C134" s="23"/>
      <c r="D134" s="23"/>
    </row>
    <row r="135" ht="15.75" customHeight="1">
      <c r="A135" s="23"/>
      <c r="B135" s="23"/>
      <c r="C135" s="23"/>
      <c r="D135" s="23"/>
    </row>
    <row r="136" ht="15.75" customHeight="1">
      <c r="A136" s="23"/>
      <c r="B136" s="23"/>
      <c r="C136" s="23"/>
      <c r="D136" s="23"/>
    </row>
    <row r="137" ht="15.75" customHeight="1">
      <c r="A137" s="23"/>
      <c r="B137" s="23"/>
      <c r="C137" s="23"/>
      <c r="D137" s="23"/>
    </row>
    <row r="138" ht="15.75" customHeight="1">
      <c r="A138" s="23"/>
      <c r="B138" s="23"/>
      <c r="C138" s="23"/>
      <c r="D138" s="23"/>
    </row>
    <row r="139" ht="15.75" customHeight="1">
      <c r="A139" s="23"/>
      <c r="B139" s="23"/>
      <c r="C139" s="23"/>
      <c r="D139" s="23"/>
    </row>
    <row r="140" ht="15.75" customHeight="1">
      <c r="A140" s="23"/>
      <c r="B140" s="23"/>
      <c r="C140" s="23"/>
      <c r="D140" s="23"/>
    </row>
    <row r="141" ht="15.75" customHeight="1">
      <c r="A141" s="23"/>
      <c r="B141" s="23"/>
      <c r="C141" s="23"/>
      <c r="D141" s="23"/>
    </row>
    <row r="142" ht="15.75" customHeight="1">
      <c r="A142" s="23"/>
      <c r="B142" s="23"/>
      <c r="C142" s="23"/>
      <c r="D142" s="23"/>
    </row>
    <row r="143" ht="15.75" customHeight="1">
      <c r="A143" s="23"/>
      <c r="B143" s="23"/>
      <c r="C143" s="23"/>
      <c r="D143" s="23"/>
    </row>
    <row r="144" ht="15.75" customHeight="1">
      <c r="A144" s="23"/>
      <c r="B144" s="23"/>
      <c r="C144" s="23"/>
      <c r="D144" s="23"/>
    </row>
    <row r="145" ht="15.75" customHeight="1">
      <c r="A145" s="23"/>
      <c r="B145" s="23"/>
      <c r="C145" s="23"/>
      <c r="D145" s="23"/>
    </row>
    <row r="146" ht="15.75" customHeight="1">
      <c r="A146" s="23"/>
      <c r="B146" s="23"/>
      <c r="C146" s="23"/>
      <c r="D146" s="23"/>
    </row>
    <row r="147" ht="15.75" customHeight="1">
      <c r="A147" s="23"/>
      <c r="B147" s="23"/>
      <c r="C147" s="23"/>
      <c r="D147" s="23"/>
    </row>
    <row r="148" ht="15.75" customHeight="1">
      <c r="A148" s="23"/>
      <c r="B148" s="23"/>
      <c r="C148" s="23"/>
      <c r="D148" s="23"/>
    </row>
    <row r="149" ht="15.75" customHeight="1">
      <c r="A149" s="23"/>
      <c r="B149" s="23"/>
      <c r="C149" s="23"/>
      <c r="D149" s="23"/>
    </row>
    <row r="150" ht="15.75" customHeight="1">
      <c r="A150" s="23"/>
      <c r="B150" s="23"/>
      <c r="C150" s="23"/>
      <c r="D150" s="23"/>
    </row>
    <row r="151" ht="15.75" customHeight="1">
      <c r="A151" s="23"/>
      <c r="B151" s="23"/>
      <c r="C151" s="23"/>
      <c r="D151" s="23"/>
    </row>
    <row r="152" ht="15.75" customHeight="1">
      <c r="A152" s="23"/>
      <c r="B152" s="23"/>
      <c r="C152" s="23"/>
      <c r="D152" s="23"/>
    </row>
    <row r="153" ht="15.75" customHeight="1">
      <c r="A153" s="23"/>
      <c r="B153" s="23"/>
      <c r="C153" s="23"/>
      <c r="D153" s="23"/>
    </row>
    <row r="154" ht="15.75" customHeight="1">
      <c r="A154" s="23"/>
      <c r="B154" s="23"/>
      <c r="C154" s="23"/>
      <c r="D154" s="23"/>
    </row>
    <row r="155" ht="15.75" customHeight="1">
      <c r="A155" s="23"/>
      <c r="B155" s="23"/>
      <c r="C155" s="23"/>
      <c r="D155" s="23"/>
    </row>
    <row r="156" ht="15.75" customHeight="1">
      <c r="A156" s="23"/>
      <c r="B156" s="23"/>
      <c r="C156" s="23"/>
      <c r="D156" s="23"/>
    </row>
    <row r="157" ht="15.75" customHeight="1">
      <c r="A157" s="23"/>
      <c r="B157" s="23"/>
      <c r="C157" s="23"/>
      <c r="D157" s="23"/>
    </row>
    <row r="158" ht="15.75" customHeight="1">
      <c r="A158" s="23"/>
      <c r="B158" s="23"/>
      <c r="C158" s="23"/>
      <c r="D158" s="23"/>
    </row>
    <row r="159" ht="15.75" customHeight="1">
      <c r="A159" s="23"/>
      <c r="B159" s="23"/>
      <c r="C159" s="23"/>
      <c r="D159" s="23"/>
    </row>
    <row r="160" ht="15.75" customHeight="1">
      <c r="A160" s="23"/>
      <c r="B160" s="23"/>
      <c r="C160" s="23"/>
      <c r="D160" s="23"/>
    </row>
    <row r="161" ht="15.75" customHeight="1">
      <c r="A161" s="23"/>
      <c r="B161" s="23"/>
      <c r="C161" s="23"/>
      <c r="D161" s="23"/>
    </row>
    <row r="162" ht="15.75" customHeight="1">
      <c r="A162" s="23"/>
      <c r="B162" s="23"/>
      <c r="C162" s="23"/>
      <c r="D162" s="23"/>
    </row>
    <row r="163" ht="15.75" customHeight="1">
      <c r="A163" s="23"/>
      <c r="B163" s="23"/>
      <c r="C163" s="23"/>
      <c r="D163" s="23"/>
    </row>
    <row r="164" ht="15.75" customHeight="1">
      <c r="A164" s="23"/>
      <c r="B164" s="23"/>
      <c r="C164" s="23"/>
      <c r="D164" s="23"/>
    </row>
    <row r="165" ht="15.75" customHeight="1">
      <c r="A165" s="23"/>
      <c r="B165" s="23"/>
      <c r="C165" s="23"/>
      <c r="D165" s="23"/>
    </row>
    <row r="166" ht="15.75" customHeight="1">
      <c r="A166" s="23"/>
      <c r="B166" s="23"/>
      <c r="C166" s="23"/>
      <c r="D166" s="23"/>
    </row>
    <row r="167" ht="15.75" customHeight="1">
      <c r="A167" s="23"/>
      <c r="B167" s="23"/>
      <c r="C167" s="23"/>
      <c r="D167" s="23"/>
    </row>
    <row r="168" ht="15.75" customHeight="1">
      <c r="A168" s="23"/>
      <c r="B168" s="23"/>
      <c r="C168" s="23"/>
      <c r="D168" s="23"/>
    </row>
    <row r="169" ht="15.75" customHeight="1">
      <c r="A169" s="23"/>
      <c r="B169" s="23"/>
      <c r="C169" s="23"/>
      <c r="D169" s="23"/>
    </row>
    <row r="170" ht="15.75" customHeight="1">
      <c r="A170" s="23"/>
      <c r="B170" s="23"/>
      <c r="C170" s="23"/>
      <c r="D170" s="23"/>
    </row>
    <row r="171" ht="15.75" customHeight="1">
      <c r="A171" s="23"/>
      <c r="B171" s="23"/>
      <c r="C171" s="23"/>
      <c r="D171" s="23"/>
    </row>
    <row r="172" ht="15.75" customHeight="1">
      <c r="A172" s="23"/>
      <c r="B172" s="23"/>
      <c r="C172" s="23"/>
      <c r="D172" s="23"/>
    </row>
    <row r="173" ht="15.75" customHeight="1">
      <c r="A173" s="23"/>
      <c r="B173" s="23"/>
      <c r="C173" s="23"/>
      <c r="D173" s="23"/>
    </row>
    <row r="174" ht="15.75" customHeight="1">
      <c r="A174" s="23"/>
      <c r="B174" s="23"/>
      <c r="C174" s="23"/>
      <c r="D174" s="23"/>
    </row>
    <row r="175" ht="15.75" customHeight="1">
      <c r="A175" s="23"/>
      <c r="B175" s="23"/>
      <c r="C175" s="23"/>
      <c r="D175" s="23"/>
    </row>
    <row r="176" ht="15.75" customHeight="1">
      <c r="A176" s="23"/>
      <c r="B176" s="23"/>
      <c r="C176" s="23"/>
      <c r="D176" s="23"/>
    </row>
    <row r="177" ht="15.75" customHeight="1">
      <c r="A177" s="23"/>
      <c r="B177" s="23"/>
      <c r="C177" s="23"/>
      <c r="D177" s="23"/>
    </row>
    <row r="178" ht="15.75" customHeight="1">
      <c r="A178" s="23"/>
      <c r="B178" s="23"/>
      <c r="C178" s="23"/>
      <c r="D178" s="23"/>
    </row>
    <row r="179" ht="15.75" customHeight="1">
      <c r="A179" s="23"/>
      <c r="B179" s="23"/>
      <c r="C179" s="23"/>
      <c r="D179" s="23"/>
    </row>
    <row r="180" ht="15.75" customHeight="1">
      <c r="A180" s="23"/>
      <c r="B180" s="23"/>
      <c r="C180" s="23"/>
      <c r="D180" s="23"/>
    </row>
    <row r="181" ht="15.75" customHeight="1">
      <c r="A181" s="23"/>
      <c r="B181" s="23"/>
      <c r="C181" s="23"/>
      <c r="D181" s="23"/>
    </row>
    <row r="182" ht="15.75" customHeight="1">
      <c r="A182" s="23"/>
      <c r="B182" s="23"/>
      <c r="C182" s="23"/>
      <c r="D182" s="23"/>
    </row>
    <row r="183" ht="15.75" customHeight="1">
      <c r="A183" s="23"/>
      <c r="B183" s="23"/>
      <c r="C183" s="23"/>
      <c r="D183" s="23"/>
    </row>
    <row r="184" ht="15.75" customHeight="1">
      <c r="A184" s="23"/>
      <c r="B184" s="23"/>
      <c r="C184" s="23"/>
      <c r="D184" s="23"/>
    </row>
    <row r="185" ht="15.75" customHeight="1">
      <c r="A185" s="23"/>
      <c r="B185" s="23"/>
      <c r="C185" s="23"/>
      <c r="D185" s="23"/>
    </row>
    <row r="186" ht="15.75" customHeight="1">
      <c r="A186" s="23"/>
      <c r="B186" s="23"/>
      <c r="C186" s="23"/>
      <c r="D186" s="23"/>
    </row>
    <row r="187" ht="15.75" customHeight="1">
      <c r="A187" s="23"/>
      <c r="B187" s="23"/>
      <c r="C187" s="23"/>
      <c r="D187" s="23"/>
    </row>
    <row r="188" ht="15.75" customHeight="1">
      <c r="A188" s="23"/>
      <c r="B188" s="23"/>
      <c r="C188" s="23"/>
      <c r="D188" s="23"/>
    </row>
    <row r="189" ht="15.75" customHeight="1">
      <c r="A189" s="23"/>
      <c r="B189" s="23"/>
      <c r="C189" s="23"/>
      <c r="D189" s="23"/>
    </row>
    <row r="190" ht="15.75" customHeight="1">
      <c r="A190" s="23"/>
      <c r="B190" s="23"/>
      <c r="C190" s="23"/>
      <c r="D190" s="23"/>
    </row>
    <row r="191" ht="15.75" customHeight="1">
      <c r="A191" s="23"/>
      <c r="B191" s="23"/>
      <c r="C191" s="23"/>
      <c r="D191" s="23"/>
    </row>
    <row r="192" ht="15.75" customHeight="1">
      <c r="A192" s="23"/>
      <c r="B192" s="23"/>
      <c r="C192" s="23"/>
      <c r="D192" s="23"/>
    </row>
    <row r="193" ht="15.75" customHeight="1">
      <c r="A193" s="23"/>
      <c r="B193" s="23"/>
      <c r="C193" s="23"/>
      <c r="D193" s="23"/>
    </row>
    <row r="194" ht="15.75" customHeight="1">
      <c r="A194" s="23"/>
      <c r="B194" s="23"/>
      <c r="C194" s="23"/>
      <c r="D194" s="23"/>
    </row>
    <row r="195" ht="15.75" customHeight="1">
      <c r="A195" s="23"/>
      <c r="B195" s="23"/>
      <c r="C195" s="23"/>
      <c r="D195" s="23"/>
    </row>
    <row r="196" ht="15.75" customHeight="1">
      <c r="A196" s="23"/>
      <c r="B196" s="23"/>
      <c r="C196" s="23"/>
      <c r="D196" s="23"/>
    </row>
    <row r="197" ht="15.75" customHeight="1">
      <c r="A197" s="23"/>
      <c r="B197" s="23"/>
      <c r="C197" s="23"/>
      <c r="D197" s="23"/>
    </row>
    <row r="198" ht="15.75" customHeight="1">
      <c r="A198" s="23"/>
      <c r="B198" s="23"/>
      <c r="C198" s="23"/>
      <c r="D198" s="23"/>
    </row>
    <row r="199" ht="15.75" customHeight="1">
      <c r="A199" s="23"/>
      <c r="B199" s="23"/>
      <c r="C199" s="23"/>
      <c r="D199" s="23"/>
    </row>
    <row r="200" ht="15.75" customHeight="1">
      <c r="A200" s="23"/>
      <c r="B200" s="23"/>
      <c r="C200" s="23"/>
      <c r="D200" s="23"/>
    </row>
    <row r="201" ht="15.75" customHeight="1">
      <c r="A201" s="23"/>
      <c r="B201" s="23"/>
      <c r="C201" s="23"/>
      <c r="D201" s="23"/>
    </row>
    <row r="202" ht="15.75" customHeight="1">
      <c r="A202" s="23"/>
      <c r="B202" s="23"/>
      <c r="C202" s="23"/>
      <c r="D202" s="23"/>
    </row>
    <row r="203" ht="15.75" customHeight="1">
      <c r="A203" s="23"/>
      <c r="B203" s="23"/>
      <c r="C203" s="23"/>
      <c r="D203" s="23"/>
    </row>
    <row r="204" ht="15.75" customHeight="1">
      <c r="A204" s="23"/>
      <c r="B204" s="23"/>
      <c r="C204" s="23"/>
      <c r="D204" s="23"/>
    </row>
    <row r="205" ht="15.75" customHeight="1">
      <c r="A205" s="23"/>
      <c r="B205" s="23"/>
      <c r="C205" s="23"/>
      <c r="D205" s="23"/>
    </row>
    <row r="206" ht="15.75" customHeight="1">
      <c r="A206" s="23"/>
      <c r="B206" s="23"/>
      <c r="C206" s="23"/>
      <c r="D206" s="23"/>
    </row>
    <row r="207" ht="15.75" customHeight="1">
      <c r="A207" s="23"/>
      <c r="B207" s="23"/>
      <c r="C207" s="23"/>
      <c r="D207" s="23"/>
    </row>
    <row r="208" ht="15.75" customHeight="1">
      <c r="A208" s="23"/>
      <c r="B208" s="23"/>
      <c r="C208" s="23"/>
      <c r="D208" s="23"/>
    </row>
    <row r="209" ht="15.75" customHeight="1">
      <c r="A209" s="23"/>
      <c r="B209" s="23"/>
      <c r="C209" s="23"/>
      <c r="D209" s="23"/>
    </row>
    <row r="210" ht="15.75" customHeight="1">
      <c r="A210" s="23"/>
      <c r="B210" s="23"/>
      <c r="C210" s="23"/>
      <c r="D210" s="23"/>
    </row>
    <row r="211" ht="15.75" customHeight="1">
      <c r="A211" s="23"/>
      <c r="B211" s="23"/>
      <c r="C211" s="23"/>
      <c r="D211" s="23"/>
    </row>
    <row r="212" ht="15.75" customHeight="1">
      <c r="A212" s="23"/>
      <c r="B212" s="23"/>
      <c r="C212" s="23"/>
      <c r="D212" s="23"/>
    </row>
    <row r="213" ht="15.75" customHeight="1">
      <c r="A213" s="23"/>
      <c r="B213" s="23"/>
      <c r="C213" s="23"/>
      <c r="D213" s="23"/>
    </row>
    <row r="214" ht="15.75" customHeight="1">
      <c r="A214" s="23"/>
      <c r="B214" s="23"/>
      <c r="C214" s="23"/>
      <c r="D214" s="23"/>
    </row>
    <row r="215" ht="15.75" customHeight="1">
      <c r="A215" s="23"/>
      <c r="B215" s="23"/>
      <c r="C215" s="23"/>
      <c r="D215" s="23"/>
    </row>
    <row r="216" ht="15.75" customHeight="1">
      <c r="A216" s="23"/>
      <c r="B216" s="23"/>
      <c r="C216" s="23"/>
      <c r="D216" s="23"/>
    </row>
    <row r="217" ht="15.75" customHeight="1">
      <c r="A217" s="23"/>
      <c r="B217" s="23"/>
      <c r="C217" s="23"/>
      <c r="D217" s="23"/>
    </row>
    <row r="218" ht="15.75" customHeight="1">
      <c r="A218" s="23"/>
      <c r="B218" s="23"/>
      <c r="C218" s="23"/>
      <c r="D218" s="23"/>
    </row>
    <row r="219" ht="15.75" customHeight="1">
      <c r="A219" s="23"/>
      <c r="B219" s="23"/>
      <c r="C219" s="23"/>
      <c r="D219" s="23"/>
    </row>
    <row r="220" ht="15.75" customHeight="1">
      <c r="A220" s="23"/>
      <c r="B220" s="23"/>
      <c r="C220" s="23"/>
      <c r="D220" s="23"/>
    </row>
    <row r="221" ht="15.75" customHeight="1">
      <c r="A221" s="23"/>
      <c r="B221" s="23"/>
      <c r="C221" s="23"/>
      <c r="D221" s="23"/>
    </row>
    <row r="222" ht="15.75" customHeight="1">
      <c r="A222" s="23"/>
      <c r="B222" s="23"/>
      <c r="C222" s="23"/>
      <c r="D222" s="23"/>
    </row>
    <row r="223" ht="15.75" customHeight="1">
      <c r="A223" s="23"/>
      <c r="B223" s="23"/>
      <c r="C223" s="23"/>
      <c r="D223" s="23"/>
    </row>
    <row r="224" ht="15.75" customHeight="1">
      <c r="A224" s="23"/>
      <c r="B224" s="23"/>
      <c r="C224" s="23"/>
      <c r="D224" s="23"/>
    </row>
    <row r="225" ht="15.75" customHeight="1">
      <c r="A225" s="23"/>
      <c r="B225" s="23"/>
      <c r="C225" s="23"/>
      <c r="D225" s="23"/>
    </row>
    <row r="226" ht="15.75" customHeight="1">
      <c r="A226" s="23"/>
      <c r="B226" s="23"/>
      <c r="C226" s="23"/>
      <c r="D226" s="23"/>
    </row>
    <row r="227" ht="15.75" customHeight="1">
      <c r="A227" s="23"/>
      <c r="B227" s="23"/>
      <c r="C227" s="23"/>
      <c r="D227" s="23"/>
    </row>
    <row r="228" ht="15.75" customHeight="1">
      <c r="A228" s="23"/>
      <c r="B228" s="23"/>
      <c r="C228" s="23"/>
      <c r="D228" s="23"/>
    </row>
    <row r="229" ht="15.75" customHeight="1">
      <c r="A229" s="23"/>
      <c r="B229" s="23"/>
      <c r="C229" s="23"/>
      <c r="D229" s="23"/>
    </row>
    <row r="230" ht="15.75" customHeight="1">
      <c r="A230" s="23"/>
      <c r="B230" s="23"/>
      <c r="C230" s="23"/>
      <c r="D230" s="23"/>
    </row>
    <row r="231" ht="15.75" customHeight="1">
      <c r="A231" s="23"/>
      <c r="B231" s="23"/>
      <c r="C231" s="23"/>
      <c r="D231" s="23"/>
    </row>
    <row r="232" ht="15.75" customHeight="1">
      <c r="A232" s="23"/>
      <c r="B232" s="23"/>
      <c r="C232" s="23"/>
      <c r="D232" s="23"/>
    </row>
    <row r="233" ht="15.75" customHeight="1">
      <c r="A233" s="23"/>
      <c r="B233" s="23"/>
      <c r="C233" s="23"/>
      <c r="D233" s="23"/>
    </row>
    <row r="234" ht="15.75" customHeight="1">
      <c r="A234" s="23"/>
      <c r="B234" s="23"/>
      <c r="C234" s="23"/>
      <c r="D234" s="23"/>
    </row>
    <row r="235" ht="15.75" customHeight="1">
      <c r="A235" s="23"/>
      <c r="B235" s="23"/>
      <c r="C235" s="23"/>
      <c r="D235" s="23"/>
    </row>
    <row r="236" ht="15.75" customHeight="1">
      <c r="A236" s="23"/>
      <c r="B236" s="23"/>
      <c r="C236" s="23"/>
      <c r="D236" s="23"/>
    </row>
    <row r="237" ht="15.75" customHeight="1">
      <c r="A237" s="23"/>
      <c r="B237" s="23"/>
      <c r="C237" s="23"/>
      <c r="D237" s="23"/>
    </row>
    <row r="238" ht="15.75" customHeight="1">
      <c r="A238" s="23"/>
      <c r="B238" s="23"/>
      <c r="C238" s="23"/>
      <c r="D238" s="23"/>
    </row>
    <row r="239" ht="15.75" customHeight="1">
      <c r="A239" s="23"/>
      <c r="B239" s="23"/>
      <c r="C239" s="23"/>
      <c r="D239" s="23"/>
    </row>
    <row r="240" ht="15.75" customHeight="1">
      <c r="A240" s="23"/>
      <c r="B240" s="23"/>
      <c r="C240" s="23"/>
      <c r="D240" s="23"/>
    </row>
    <row r="241" ht="15.75" customHeight="1">
      <c r="A241" s="23"/>
      <c r="B241" s="23"/>
      <c r="C241" s="23"/>
      <c r="D241" s="23"/>
    </row>
    <row r="242" ht="15.75" customHeight="1">
      <c r="A242" s="23"/>
      <c r="B242" s="23"/>
      <c r="C242" s="23"/>
      <c r="D242" s="23"/>
    </row>
    <row r="243" ht="15.75" customHeight="1">
      <c r="A243" s="23"/>
      <c r="B243" s="23"/>
      <c r="C243" s="23"/>
      <c r="D243" s="23"/>
    </row>
    <row r="244" ht="15.75" customHeight="1">
      <c r="A244" s="23"/>
      <c r="B244" s="23"/>
      <c r="C244" s="23"/>
      <c r="D244" s="23"/>
    </row>
    <row r="245" ht="15.75" customHeight="1">
      <c r="A245" s="23"/>
      <c r="B245" s="23"/>
      <c r="C245" s="23"/>
      <c r="D245" s="23"/>
    </row>
    <row r="246" ht="15.75" customHeight="1">
      <c r="A246" s="23"/>
      <c r="B246" s="23"/>
      <c r="C246" s="23"/>
      <c r="D246" s="23"/>
    </row>
    <row r="247" ht="15.75" customHeight="1">
      <c r="A247" s="23"/>
      <c r="B247" s="23"/>
      <c r="C247" s="23"/>
      <c r="D247" s="23"/>
    </row>
    <row r="248" ht="15.75" customHeight="1">
      <c r="A248" s="23"/>
      <c r="B248" s="23"/>
      <c r="C248" s="23"/>
      <c r="D248" s="23"/>
    </row>
    <row r="249" ht="15.75" customHeight="1">
      <c r="A249" s="23"/>
      <c r="B249" s="23"/>
      <c r="C249" s="23"/>
      <c r="D249" s="23"/>
    </row>
    <row r="250" ht="15.75" customHeight="1">
      <c r="A250" s="23"/>
      <c r="B250" s="23"/>
      <c r="C250" s="23"/>
      <c r="D250" s="23"/>
    </row>
    <row r="251" ht="15.75" customHeight="1">
      <c r="A251" s="23"/>
      <c r="B251" s="23"/>
      <c r="C251" s="23"/>
      <c r="D251" s="23"/>
    </row>
    <row r="252" ht="15.75" customHeight="1">
      <c r="A252" s="23"/>
      <c r="B252" s="23"/>
      <c r="C252" s="23"/>
      <c r="D252" s="23"/>
    </row>
    <row r="253" ht="15.75" customHeight="1">
      <c r="A253" s="23"/>
      <c r="B253" s="23"/>
      <c r="C253" s="23"/>
      <c r="D253" s="23"/>
    </row>
    <row r="254" ht="15.75" customHeight="1">
      <c r="A254" s="23"/>
      <c r="B254" s="23"/>
      <c r="C254" s="23"/>
      <c r="D254" s="23"/>
    </row>
    <row r="255" ht="15.75" customHeight="1">
      <c r="A255" s="23"/>
      <c r="B255" s="23"/>
      <c r="C255" s="23"/>
      <c r="D255" s="23"/>
    </row>
    <row r="256" ht="15.75" customHeight="1">
      <c r="A256" s="23"/>
      <c r="B256" s="23"/>
      <c r="C256" s="23"/>
      <c r="D256" s="23"/>
    </row>
    <row r="257" ht="15.75" customHeight="1">
      <c r="A257" s="23"/>
      <c r="B257" s="23"/>
      <c r="C257" s="23"/>
      <c r="D257" s="23"/>
    </row>
    <row r="258" ht="15.75" customHeight="1">
      <c r="A258" s="23"/>
      <c r="B258" s="23"/>
      <c r="C258" s="23"/>
      <c r="D258" s="23"/>
    </row>
    <row r="259" ht="15.75" customHeight="1">
      <c r="A259" s="23"/>
      <c r="B259" s="23"/>
      <c r="C259" s="23"/>
      <c r="D259" s="23"/>
    </row>
    <row r="260" ht="15.75" customHeight="1">
      <c r="A260" s="23"/>
      <c r="B260" s="23"/>
      <c r="C260" s="23"/>
      <c r="D260" s="23"/>
    </row>
    <row r="261" ht="15.75" customHeight="1">
      <c r="A261" s="23"/>
      <c r="B261" s="23"/>
      <c r="C261" s="23"/>
      <c r="D261" s="23"/>
    </row>
    <row r="262" ht="15.75" customHeight="1">
      <c r="A262" s="23"/>
      <c r="B262" s="23"/>
      <c r="C262" s="23"/>
      <c r="D262" s="23"/>
    </row>
    <row r="263" ht="15.75" customHeight="1">
      <c r="A263" s="23"/>
      <c r="B263" s="23"/>
      <c r="C263" s="23"/>
      <c r="D263" s="23"/>
    </row>
    <row r="264" ht="15.75" customHeight="1">
      <c r="A264" s="23"/>
      <c r="B264" s="23"/>
      <c r="C264" s="23"/>
      <c r="D264" s="23"/>
    </row>
    <row r="265" ht="15.75" customHeight="1">
      <c r="A265" s="23"/>
      <c r="B265" s="23"/>
      <c r="C265" s="23"/>
      <c r="D265" s="23"/>
    </row>
    <row r="266" ht="15.75" customHeight="1">
      <c r="A266" s="23"/>
      <c r="B266" s="23"/>
      <c r="C266" s="23"/>
      <c r="D266" s="23"/>
    </row>
    <row r="267" ht="15.75" customHeight="1">
      <c r="A267" s="23"/>
      <c r="B267" s="23"/>
      <c r="C267" s="23"/>
      <c r="D267" s="23"/>
    </row>
    <row r="268" ht="15.75" customHeight="1">
      <c r="A268" s="23"/>
      <c r="B268" s="23"/>
      <c r="C268" s="23"/>
      <c r="D268" s="23"/>
    </row>
    <row r="269" ht="15.75" customHeight="1">
      <c r="A269" s="23"/>
      <c r="B269" s="23"/>
      <c r="C269" s="23"/>
      <c r="D269" s="23"/>
    </row>
    <row r="270" ht="15.75" customHeight="1">
      <c r="A270" s="23"/>
      <c r="B270" s="23"/>
      <c r="C270" s="23"/>
      <c r="D270" s="23"/>
    </row>
    <row r="271" ht="15.75" customHeight="1">
      <c r="A271" s="23"/>
      <c r="B271" s="23"/>
      <c r="C271" s="23"/>
      <c r="D271" s="23"/>
    </row>
    <row r="272" ht="15.75" customHeight="1">
      <c r="A272" s="23"/>
      <c r="B272" s="23"/>
      <c r="C272" s="23"/>
      <c r="D272" s="23"/>
    </row>
    <row r="273" ht="15.75" customHeight="1">
      <c r="A273" s="23"/>
      <c r="B273" s="23"/>
      <c r="C273" s="23"/>
      <c r="D273" s="23"/>
    </row>
    <row r="274" ht="15.75" customHeight="1">
      <c r="A274" s="23"/>
      <c r="B274" s="23"/>
      <c r="C274" s="23"/>
      <c r="D274" s="23"/>
    </row>
    <row r="275" ht="15.75" customHeight="1">
      <c r="A275" s="23"/>
      <c r="B275" s="23"/>
      <c r="C275" s="23"/>
      <c r="D275" s="23"/>
    </row>
    <row r="276" ht="15.75" customHeight="1">
      <c r="A276" s="23"/>
      <c r="B276" s="23"/>
      <c r="C276" s="23"/>
      <c r="D276" s="23"/>
    </row>
    <row r="277" ht="15.75" customHeight="1">
      <c r="A277" s="23"/>
      <c r="B277" s="23"/>
      <c r="C277" s="23"/>
      <c r="D277" s="23"/>
    </row>
    <row r="278" ht="15.75" customHeight="1">
      <c r="A278" s="23"/>
      <c r="B278" s="23"/>
      <c r="C278" s="23"/>
      <c r="D278" s="23"/>
    </row>
    <row r="279" ht="15.75" customHeight="1">
      <c r="A279" s="23"/>
      <c r="B279" s="23"/>
      <c r="C279" s="23"/>
      <c r="D279" s="23"/>
    </row>
    <row r="280" ht="15.75" customHeight="1">
      <c r="A280" s="23"/>
      <c r="B280" s="23"/>
      <c r="C280" s="23"/>
      <c r="D280" s="23"/>
    </row>
    <row r="281" ht="15.75" customHeight="1">
      <c r="A281" s="23"/>
      <c r="B281" s="23"/>
      <c r="C281" s="23"/>
      <c r="D281" s="23"/>
    </row>
    <row r="282" ht="15.75" customHeight="1">
      <c r="A282" s="23"/>
      <c r="B282" s="23"/>
      <c r="C282" s="23"/>
      <c r="D282" s="23"/>
    </row>
    <row r="283" ht="15.75" customHeight="1">
      <c r="A283" s="23"/>
      <c r="B283" s="23"/>
      <c r="C283" s="23"/>
      <c r="D283" s="23"/>
    </row>
    <row r="284" ht="15.75" customHeight="1">
      <c r="A284" s="23"/>
      <c r="B284" s="23"/>
      <c r="C284" s="23"/>
      <c r="D284" s="23"/>
    </row>
    <row r="285" ht="15.75" customHeight="1">
      <c r="A285" s="23"/>
      <c r="B285" s="23"/>
      <c r="C285" s="23"/>
      <c r="D285" s="23"/>
    </row>
    <row r="286" ht="15.75" customHeight="1">
      <c r="A286" s="23"/>
      <c r="B286" s="23"/>
      <c r="C286" s="23"/>
      <c r="D286" s="23"/>
    </row>
    <row r="287" ht="15.75" customHeight="1">
      <c r="A287" s="23"/>
      <c r="B287" s="23"/>
      <c r="C287" s="23"/>
      <c r="D287" s="23"/>
    </row>
    <row r="288" ht="15.75" customHeight="1">
      <c r="A288" s="23"/>
      <c r="B288" s="23"/>
      <c r="C288" s="23"/>
      <c r="D288" s="23"/>
    </row>
    <row r="289" ht="15.75" customHeight="1">
      <c r="A289" s="23"/>
      <c r="B289" s="23"/>
      <c r="C289" s="23"/>
      <c r="D289" s="23"/>
    </row>
    <row r="290" ht="15.75" customHeight="1">
      <c r="A290" s="23"/>
      <c r="B290" s="23"/>
      <c r="C290" s="23"/>
      <c r="D290" s="23"/>
    </row>
    <row r="291" ht="15.75" customHeight="1">
      <c r="A291" s="23"/>
      <c r="B291" s="23"/>
      <c r="C291" s="23"/>
      <c r="D291" s="23"/>
    </row>
    <row r="292" ht="15.75" customHeight="1">
      <c r="A292" s="23"/>
      <c r="B292" s="23"/>
      <c r="C292" s="23"/>
      <c r="D292" s="23"/>
    </row>
    <row r="293" ht="15.75" customHeight="1">
      <c r="A293" s="23"/>
      <c r="B293" s="23"/>
      <c r="C293" s="23"/>
      <c r="D293" s="23"/>
    </row>
    <row r="294" ht="15.75" customHeight="1">
      <c r="A294" s="23"/>
      <c r="B294" s="23"/>
      <c r="C294" s="23"/>
      <c r="D294" s="23"/>
    </row>
    <row r="295" ht="15.75" customHeight="1">
      <c r="A295" s="23"/>
      <c r="B295" s="23"/>
      <c r="C295" s="23"/>
      <c r="D295" s="23"/>
    </row>
    <row r="296" ht="15.75" customHeight="1">
      <c r="A296" s="23"/>
      <c r="B296" s="23"/>
      <c r="C296" s="23"/>
      <c r="D296" s="23"/>
    </row>
    <row r="297" ht="15.75" customHeight="1">
      <c r="A297" s="23"/>
      <c r="B297" s="23"/>
      <c r="C297" s="23"/>
      <c r="D297" s="23"/>
    </row>
    <row r="298" ht="15.75" customHeight="1">
      <c r="A298" s="23"/>
      <c r="B298" s="23"/>
      <c r="C298" s="23"/>
      <c r="D298" s="23"/>
    </row>
    <row r="299" ht="15.75" customHeight="1">
      <c r="A299" s="23"/>
      <c r="B299" s="23"/>
      <c r="C299" s="23"/>
      <c r="D299" s="23"/>
    </row>
    <row r="300" ht="15.75" customHeight="1">
      <c r="A300" s="23"/>
      <c r="B300" s="23"/>
      <c r="C300" s="23"/>
      <c r="D300" s="23"/>
    </row>
    <row r="301" ht="15.75" customHeight="1">
      <c r="A301" s="23"/>
      <c r="B301" s="23"/>
      <c r="C301" s="23"/>
      <c r="D301" s="23"/>
    </row>
    <row r="302" ht="15.75" customHeight="1">
      <c r="A302" s="23"/>
      <c r="B302" s="23"/>
      <c r="C302" s="23"/>
      <c r="D302" s="23"/>
    </row>
    <row r="303" ht="15.75" customHeight="1">
      <c r="A303" s="23"/>
      <c r="B303" s="23"/>
      <c r="C303" s="23"/>
      <c r="D303" s="23"/>
    </row>
    <row r="304" ht="15.75" customHeight="1">
      <c r="A304" s="23"/>
      <c r="B304" s="23"/>
      <c r="C304" s="23"/>
      <c r="D304" s="23"/>
    </row>
    <row r="305" ht="15.75" customHeight="1">
      <c r="A305" s="23"/>
      <c r="B305" s="23"/>
      <c r="C305" s="23"/>
      <c r="D305" s="23"/>
    </row>
    <row r="306" ht="15.75" customHeight="1">
      <c r="A306" s="23"/>
      <c r="B306" s="23"/>
      <c r="C306" s="23"/>
      <c r="D306" s="23"/>
    </row>
    <row r="307" ht="15.75" customHeight="1">
      <c r="A307" s="23"/>
      <c r="B307" s="23"/>
      <c r="C307" s="23"/>
      <c r="D307" s="23"/>
    </row>
    <row r="308" ht="15.75" customHeight="1">
      <c r="A308" s="23"/>
      <c r="B308" s="23"/>
      <c r="C308" s="23"/>
      <c r="D308" s="23"/>
    </row>
    <row r="309" ht="15.75" customHeight="1">
      <c r="A309" s="23"/>
      <c r="B309" s="23"/>
      <c r="C309" s="23"/>
      <c r="D309" s="23"/>
    </row>
    <row r="310" ht="15.75" customHeight="1">
      <c r="A310" s="23"/>
      <c r="B310" s="23"/>
      <c r="C310" s="23"/>
      <c r="D310" s="23"/>
    </row>
    <row r="311" ht="15.75" customHeight="1">
      <c r="A311" s="23"/>
      <c r="B311" s="23"/>
      <c r="C311" s="23"/>
      <c r="D311" s="23"/>
    </row>
    <row r="312" ht="15.75" customHeight="1">
      <c r="A312" s="23"/>
      <c r="B312" s="23"/>
      <c r="C312" s="23"/>
      <c r="D312" s="23"/>
    </row>
    <row r="313" ht="15.75" customHeight="1">
      <c r="A313" s="23"/>
      <c r="B313" s="23"/>
      <c r="C313" s="23"/>
      <c r="D313" s="23"/>
    </row>
    <row r="314" ht="15.75" customHeight="1">
      <c r="A314" s="23"/>
      <c r="B314" s="23"/>
      <c r="C314" s="23"/>
      <c r="D314" s="23"/>
    </row>
    <row r="315" ht="15.75" customHeight="1">
      <c r="A315" s="23"/>
      <c r="B315" s="23"/>
      <c r="C315" s="23"/>
      <c r="D315" s="23"/>
    </row>
    <row r="316" ht="15.75" customHeight="1">
      <c r="A316" s="23"/>
      <c r="B316" s="23"/>
      <c r="C316" s="23"/>
      <c r="D316" s="23"/>
    </row>
    <row r="317" ht="15.75" customHeight="1">
      <c r="A317" s="23"/>
      <c r="B317" s="23"/>
      <c r="C317" s="23"/>
      <c r="D317" s="23"/>
    </row>
    <row r="318" ht="15.75" customHeight="1">
      <c r="A318" s="23"/>
      <c r="B318" s="23"/>
      <c r="C318" s="23"/>
      <c r="D318" s="23"/>
    </row>
    <row r="319" ht="15.75" customHeight="1">
      <c r="A319" s="23"/>
      <c r="B319" s="23"/>
      <c r="C319" s="23"/>
      <c r="D319" s="23"/>
    </row>
    <row r="320" ht="15.75" customHeight="1">
      <c r="A320" s="23"/>
      <c r="B320" s="23"/>
      <c r="C320" s="23"/>
      <c r="D320" s="23"/>
    </row>
    <row r="321" ht="15.75" customHeight="1">
      <c r="A321" s="23"/>
      <c r="B321" s="23"/>
      <c r="C321" s="23"/>
      <c r="D321" s="23"/>
    </row>
    <row r="322" ht="15.75" customHeight="1">
      <c r="A322" s="23"/>
      <c r="B322" s="23"/>
      <c r="C322" s="23"/>
      <c r="D322" s="23"/>
    </row>
    <row r="323" ht="15.75" customHeight="1">
      <c r="A323" s="23"/>
      <c r="B323" s="23"/>
      <c r="C323" s="23"/>
      <c r="D323" s="23"/>
    </row>
    <row r="324" ht="15.75" customHeight="1">
      <c r="A324" s="23"/>
      <c r="B324" s="23"/>
      <c r="C324" s="23"/>
      <c r="D324" s="23"/>
    </row>
    <row r="325" ht="15.75" customHeight="1">
      <c r="A325" s="23"/>
      <c r="B325" s="23"/>
      <c r="C325" s="23"/>
      <c r="D325" s="23"/>
    </row>
    <row r="326" ht="15.75" customHeight="1">
      <c r="A326" s="23"/>
      <c r="B326" s="23"/>
      <c r="C326" s="23"/>
      <c r="D326" s="23"/>
    </row>
    <row r="327" ht="15.75" customHeight="1">
      <c r="A327" s="23"/>
      <c r="B327" s="23"/>
      <c r="C327" s="23"/>
      <c r="D327" s="23"/>
    </row>
    <row r="328" ht="15.75" customHeight="1">
      <c r="A328" s="23"/>
      <c r="B328" s="23"/>
      <c r="C328" s="23"/>
      <c r="D328" s="23"/>
    </row>
    <row r="329" ht="15.75" customHeight="1">
      <c r="A329" s="23"/>
      <c r="B329" s="23"/>
      <c r="C329" s="23"/>
      <c r="D329" s="23"/>
    </row>
    <row r="330" ht="15.75" customHeight="1">
      <c r="A330" s="23"/>
      <c r="B330" s="23"/>
      <c r="C330" s="23"/>
      <c r="D330" s="23"/>
    </row>
    <row r="331" ht="15.75" customHeight="1">
      <c r="A331" s="23"/>
      <c r="B331" s="23"/>
      <c r="C331" s="23"/>
      <c r="D331" s="23"/>
    </row>
    <row r="332" ht="15.75" customHeight="1">
      <c r="A332" s="23"/>
      <c r="B332" s="23"/>
      <c r="C332" s="23"/>
      <c r="D332" s="23"/>
    </row>
    <row r="333" ht="15.75" customHeight="1">
      <c r="A333" s="23"/>
      <c r="B333" s="23"/>
      <c r="C333" s="23"/>
      <c r="D333" s="23"/>
    </row>
    <row r="334" ht="15.75" customHeight="1">
      <c r="A334" s="23"/>
      <c r="B334" s="23"/>
      <c r="C334" s="23"/>
      <c r="D334" s="23"/>
    </row>
    <row r="335" ht="15.75" customHeight="1">
      <c r="A335" s="23"/>
      <c r="B335" s="23"/>
      <c r="C335" s="23"/>
      <c r="D335" s="23"/>
    </row>
    <row r="336" ht="15.75" customHeight="1">
      <c r="A336" s="23"/>
      <c r="B336" s="23"/>
      <c r="C336" s="23"/>
      <c r="D336" s="23"/>
    </row>
    <row r="337" ht="15.75" customHeight="1">
      <c r="A337" s="23"/>
      <c r="B337" s="23"/>
      <c r="C337" s="23"/>
      <c r="D337" s="23"/>
    </row>
    <row r="338" ht="15.75" customHeight="1">
      <c r="A338" s="23"/>
      <c r="B338" s="23"/>
      <c r="C338" s="23"/>
      <c r="D338" s="23"/>
    </row>
    <row r="339" ht="15.75" customHeight="1">
      <c r="A339" s="23"/>
      <c r="B339" s="23"/>
      <c r="C339" s="23"/>
      <c r="D339" s="23"/>
    </row>
    <row r="340" ht="15.75" customHeight="1">
      <c r="A340" s="23"/>
      <c r="B340" s="23"/>
      <c r="C340" s="23"/>
      <c r="D340" s="23"/>
    </row>
    <row r="341" ht="15.75" customHeight="1">
      <c r="A341" s="23"/>
      <c r="B341" s="23"/>
      <c r="C341" s="23"/>
      <c r="D341" s="23"/>
    </row>
    <row r="342" ht="15.75" customHeight="1">
      <c r="A342" s="23"/>
      <c r="B342" s="23"/>
      <c r="C342" s="23"/>
      <c r="D342" s="23"/>
    </row>
    <row r="343" ht="15.75" customHeight="1">
      <c r="A343" s="23"/>
      <c r="B343" s="23"/>
      <c r="C343" s="23"/>
      <c r="D343" s="23"/>
    </row>
    <row r="344" ht="15.75" customHeight="1">
      <c r="A344" s="23"/>
      <c r="B344" s="23"/>
      <c r="C344" s="23"/>
      <c r="D344" s="23"/>
    </row>
    <row r="345" ht="15.75" customHeight="1">
      <c r="A345" s="23"/>
      <c r="B345" s="23"/>
      <c r="C345" s="23"/>
      <c r="D345" s="23"/>
    </row>
    <row r="346" ht="15.75" customHeight="1">
      <c r="A346" s="23"/>
      <c r="B346" s="23"/>
      <c r="C346" s="23"/>
      <c r="D346" s="23"/>
    </row>
    <row r="347" ht="15.75" customHeight="1">
      <c r="A347" s="23"/>
      <c r="B347" s="23"/>
      <c r="C347" s="23"/>
      <c r="D347" s="23"/>
    </row>
    <row r="348" ht="15.75" customHeight="1">
      <c r="A348" s="23"/>
      <c r="B348" s="23"/>
      <c r="C348" s="23"/>
      <c r="D348" s="23"/>
    </row>
    <row r="349" ht="15.75" customHeight="1">
      <c r="A349" s="23"/>
      <c r="B349" s="23"/>
      <c r="C349" s="23"/>
      <c r="D349" s="23"/>
    </row>
    <row r="350" ht="15.75" customHeight="1">
      <c r="A350" s="23"/>
      <c r="B350" s="23"/>
      <c r="C350" s="23"/>
      <c r="D350" s="23"/>
    </row>
    <row r="351" ht="15.75" customHeight="1">
      <c r="A351" s="23"/>
      <c r="B351" s="23"/>
      <c r="C351" s="23"/>
      <c r="D351" s="23"/>
    </row>
    <row r="352" ht="15.75" customHeight="1">
      <c r="A352" s="23"/>
      <c r="B352" s="23"/>
      <c r="C352" s="23"/>
      <c r="D352" s="23"/>
    </row>
    <row r="353" ht="15.75" customHeight="1">
      <c r="A353" s="23"/>
      <c r="B353" s="23"/>
      <c r="C353" s="23"/>
      <c r="D353" s="23"/>
    </row>
    <row r="354" ht="15.75" customHeight="1">
      <c r="A354" s="23"/>
      <c r="B354" s="23"/>
      <c r="C354" s="23"/>
      <c r="D354" s="23"/>
    </row>
    <row r="355" ht="15.75" customHeight="1">
      <c r="A355" s="23"/>
      <c r="B355" s="23"/>
      <c r="C355" s="23"/>
      <c r="D355" s="23"/>
    </row>
    <row r="356" ht="15.75" customHeight="1">
      <c r="A356" s="23"/>
      <c r="B356" s="23"/>
      <c r="C356" s="23"/>
      <c r="D356" s="23"/>
    </row>
    <row r="357" ht="15.75" customHeight="1">
      <c r="A357" s="23"/>
      <c r="B357" s="23"/>
      <c r="C357" s="23"/>
      <c r="D357" s="23"/>
    </row>
    <row r="358" ht="15.75" customHeight="1">
      <c r="A358" s="23"/>
      <c r="B358" s="23"/>
      <c r="C358" s="23"/>
      <c r="D358" s="23"/>
    </row>
    <row r="359" ht="15.75" customHeight="1">
      <c r="A359" s="23"/>
      <c r="B359" s="23"/>
      <c r="C359" s="23"/>
      <c r="D359" s="23"/>
    </row>
    <row r="360" ht="15.75" customHeight="1">
      <c r="A360" s="23"/>
      <c r="B360" s="23"/>
      <c r="C360" s="23"/>
      <c r="D360" s="23"/>
    </row>
    <row r="361" ht="15.75" customHeight="1">
      <c r="A361" s="23"/>
      <c r="B361" s="23"/>
      <c r="C361" s="23"/>
      <c r="D361" s="23"/>
    </row>
    <row r="362" ht="15.75" customHeight="1">
      <c r="A362" s="23"/>
      <c r="B362" s="23"/>
      <c r="C362" s="23"/>
      <c r="D362" s="23"/>
    </row>
    <row r="363" ht="15.75" customHeight="1">
      <c r="A363" s="23"/>
      <c r="B363" s="23"/>
      <c r="C363" s="23"/>
      <c r="D363" s="23"/>
    </row>
    <row r="364" ht="15.75" customHeight="1">
      <c r="A364" s="23"/>
      <c r="B364" s="23"/>
      <c r="C364" s="23"/>
      <c r="D364" s="23"/>
    </row>
    <row r="365" ht="15.75" customHeight="1">
      <c r="A365" s="23"/>
      <c r="B365" s="23"/>
      <c r="C365" s="23"/>
      <c r="D365" s="23"/>
    </row>
    <row r="366" ht="15.75" customHeight="1">
      <c r="A366" s="23"/>
      <c r="B366" s="23"/>
      <c r="C366" s="23"/>
      <c r="D366" s="23"/>
    </row>
    <row r="367" ht="15.75" customHeight="1">
      <c r="A367" s="23"/>
      <c r="B367" s="23"/>
      <c r="C367" s="23"/>
      <c r="D367" s="23"/>
    </row>
    <row r="368" ht="15.75" customHeight="1">
      <c r="A368" s="23"/>
      <c r="B368" s="23"/>
      <c r="C368" s="23"/>
      <c r="D368" s="23"/>
    </row>
    <row r="369" ht="15.75" customHeight="1">
      <c r="A369" s="23"/>
      <c r="B369" s="23"/>
      <c r="C369" s="23"/>
      <c r="D369" s="23"/>
    </row>
    <row r="370" ht="15.75" customHeight="1">
      <c r="A370" s="23"/>
      <c r="B370" s="23"/>
      <c r="C370" s="23"/>
      <c r="D370" s="23"/>
    </row>
    <row r="371" ht="15.75" customHeight="1">
      <c r="A371" s="23"/>
      <c r="B371" s="23"/>
      <c r="C371" s="23"/>
      <c r="D371" s="23"/>
    </row>
    <row r="372" ht="15.75" customHeight="1">
      <c r="A372" s="23"/>
      <c r="B372" s="23"/>
      <c r="C372" s="23"/>
      <c r="D372" s="23"/>
    </row>
    <row r="373" ht="15.75" customHeight="1">
      <c r="A373" s="23"/>
      <c r="B373" s="23"/>
      <c r="C373" s="23"/>
      <c r="D373" s="23"/>
    </row>
    <row r="374" ht="15.75" customHeight="1">
      <c r="A374" s="23"/>
      <c r="B374" s="23"/>
      <c r="C374" s="23"/>
      <c r="D374" s="23"/>
    </row>
    <row r="375" ht="15.75" customHeight="1">
      <c r="A375" s="23"/>
      <c r="B375" s="23"/>
      <c r="C375" s="23"/>
      <c r="D375" s="23"/>
    </row>
    <row r="376" ht="15.75" customHeight="1">
      <c r="A376" s="23"/>
      <c r="B376" s="23"/>
      <c r="C376" s="23"/>
      <c r="D376" s="23"/>
    </row>
    <row r="377" ht="15.75" customHeight="1">
      <c r="A377" s="23"/>
      <c r="B377" s="23"/>
      <c r="C377" s="23"/>
      <c r="D377" s="23"/>
    </row>
    <row r="378" ht="15.75" customHeight="1">
      <c r="A378" s="23"/>
      <c r="B378" s="23"/>
      <c r="C378" s="23"/>
      <c r="D378" s="23"/>
    </row>
    <row r="379" ht="15.75" customHeight="1">
      <c r="A379" s="23"/>
      <c r="B379" s="23"/>
      <c r="C379" s="23"/>
      <c r="D379" s="23"/>
    </row>
    <row r="380" ht="15.75" customHeight="1">
      <c r="A380" s="23"/>
      <c r="B380" s="23"/>
      <c r="C380" s="23"/>
      <c r="D380" s="23"/>
    </row>
    <row r="381" ht="15.75" customHeight="1">
      <c r="A381" s="23"/>
      <c r="B381" s="23"/>
      <c r="C381" s="23"/>
      <c r="D381" s="23"/>
    </row>
    <row r="382" ht="15.75" customHeight="1">
      <c r="A382" s="23"/>
      <c r="B382" s="23"/>
      <c r="C382" s="23"/>
      <c r="D382" s="23"/>
    </row>
    <row r="383" ht="15.75" customHeight="1">
      <c r="A383" s="23"/>
      <c r="B383" s="23"/>
      <c r="C383" s="23"/>
      <c r="D383" s="23"/>
    </row>
    <row r="384" ht="15.75" customHeight="1">
      <c r="A384" s="23"/>
      <c r="B384" s="23"/>
      <c r="C384" s="23"/>
      <c r="D384" s="23"/>
    </row>
    <row r="385" ht="15.75" customHeight="1">
      <c r="A385" s="23"/>
      <c r="B385" s="23"/>
      <c r="C385" s="23"/>
      <c r="D385" s="23"/>
    </row>
    <row r="386" ht="15.75" customHeight="1">
      <c r="A386" s="23"/>
      <c r="B386" s="23"/>
      <c r="C386" s="23"/>
      <c r="D386" s="23"/>
    </row>
    <row r="387" ht="15.75" customHeight="1">
      <c r="A387" s="23"/>
      <c r="B387" s="23"/>
      <c r="C387" s="23"/>
      <c r="D387" s="23"/>
    </row>
    <row r="388" ht="15.75" customHeight="1">
      <c r="A388" s="23"/>
      <c r="B388" s="23"/>
      <c r="C388" s="23"/>
      <c r="D388" s="23"/>
    </row>
    <row r="389" ht="15.75" customHeight="1">
      <c r="A389" s="23"/>
      <c r="B389" s="23"/>
      <c r="C389" s="23"/>
      <c r="D389" s="23"/>
    </row>
    <row r="390" ht="15.75" customHeight="1">
      <c r="A390" s="23"/>
      <c r="B390" s="23"/>
      <c r="C390" s="23"/>
      <c r="D390" s="23"/>
    </row>
    <row r="391" ht="15.75" customHeight="1">
      <c r="A391" s="23"/>
      <c r="B391" s="23"/>
      <c r="C391" s="23"/>
      <c r="D391" s="23"/>
    </row>
    <row r="392" ht="15.75" customHeight="1">
      <c r="A392" s="23"/>
      <c r="B392" s="23"/>
      <c r="C392" s="23"/>
      <c r="D392" s="23"/>
    </row>
    <row r="393" ht="15.75" customHeight="1">
      <c r="A393" s="23"/>
      <c r="B393" s="23"/>
      <c r="C393" s="23"/>
      <c r="D393" s="23"/>
    </row>
    <row r="394" ht="15.75" customHeight="1">
      <c r="A394" s="23"/>
      <c r="B394" s="23"/>
      <c r="C394" s="23"/>
      <c r="D394" s="23"/>
    </row>
    <row r="395" ht="15.75" customHeight="1">
      <c r="A395" s="23"/>
      <c r="B395" s="23"/>
      <c r="C395" s="23"/>
      <c r="D395" s="23"/>
    </row>
    <row r="396" ht="15.75" customHeight="1">
      <c r="A396" s="23"/>
      <c r="B396" s="23"/>
      <c r="C396" s="23"/>
      <c r="D396" s="23"/>
    </row>
    <row r="397" ht="15.75" customHeight="1">
      <c r="A397" s="23"/>
      <c r="B397" s="23"/>
      <c r="C397" s="23"/>
      <c r="D397" s="23"/>
    </row>
    <row r="398" ht="15.75" customHeight="1">
      <c r="A398" s="23"/>
      <c r="B398" s="23"/>
      <c r="C398" s="23"/>
      <c r="D398" s="23"/>
    </row>
    <row r="399" ht="15.75" customHeight="1">
      <c r="A399" s="23"/>
      <c r="B399" s="23"/>
      <c r="C399" s="23"/>
      <c r="D399" s="23"/>
    </row>
    <row r="400" ht="15.75" customHeight="1">
      <c r="A400" s="23"/>
      <c r="B400" s="23"/>
      <c r="C400" s="23"/>
      <c r="D400" s="23"/>
    </row>
    <row r="401" ht="15.75" customHeight="1">
      <c r="A401" s="23"/>
      <c r="B401" s="23"/>
      <c r="C401" s="23"/>
      <c r="D401" s="23"/>
    </row>
    <row r="402" ht="15.75" customHeight="1">
      <c r="A402" s="23"/>
      <c r="B402" s="23"/>
      <c r="C402" s="23"/>
      <c r="D402" s="23"/>
    </row>
    <row r="403" ht="15.75" customHeight="1">
      <c r="A403" s="23"/>
      <c r="B403" s="23"/>
      <c r="C403" s="23"/>
      <c r="D403" s="23"/>
    </row>
    <row r="404" ht="15.75" customHeight="1">
      <c r="A404" s="23"/>
      <c r="B404" s="23"/>
      <c r="C404" s="23"/>
      <c r="D404" s="23"/>
    </row>
    <row r="405" ht="15.75" customHeight="1">
      <c r="A405" s="23"/>
      <c r="B405" s="23"/>
      <c r="C405" s="23"/>
      <c r="D405" s="23"/>
    </row>
    <row r="406" ht="15.75" customHeight="1">
      <c r="A406" s="23"/>
      <c r="B406" s="23"/>
      <c r="C406" s="23"/>
      <c r="D406" s="23"/>
    </row>
    <row r="407" ht="15.75" customHeight="1">
      <c r="A407" s="23"/>
      <c r="B407" s="23"/>
      <c r="C407" s="23"/>
      <c r="D407" s="23"/>
    </row>
    <row r="408" ht="15.75" customHeight="1">
      <c r="A408" s="23"/>
      <c r="B408" s="23"/>
      <c r="C408" s="23"/>
      <c r="D408" s="23"/>
    </row>
    <row r="409" ht="15.75" customHeight="1">
      <c r="A409" s="23"/>
      <c r="B409" s="23"/>
      <c r="C409" s="23"/>
      <c r="D409" s="23"/>
    </row>
    <row r="410" ht="15.75" customHeight="1">
      <c r="A410" s="23"/>
      <c r="B410" s="23"/>
      <c r="C410" s="23"/>
      <c r="D410" s="23"/>
    </row>
    <row r="411" ht="15.75" customHeight="1">
      <c r="A411" s="23"/>
      <c r="B411" s="23"/>
      <c r="C411" s="23"/>
      <c r="D411" s="23"/>
    </row>
    <row r="412" ht="15.75" customHeight="1">
      <c r="A412" s="23"/>
      <c r="B412" s="23"/>
      <c r="C412" s="23"/>
      <c r="D412" s="23"/>
    </row>
    <row r="413" ht="15.75" customHeight="1">
      <c r="A413" s="23"/>
      <c r="B413" s="23"/>
      <c r="C413" s="23"/>
      <c r="D413" s="23"/>
    </row>
    <row r="414" ht="15.75" customHeight="1">
      <c r="A414" s="23"/>
      <c r="B414" s="23"/>
      <c r="C414" s="23"/>
      <c r="D414" s="23"/>
    </row>
    <row r="415" ht="15.75" customHeight="1">
      <c r="A415" s="23"/>
      <c r="B415" s="23"/>
      <c r="C415" s="23"/>
      <c r="D415" s="23"/>
    </row>
    <row r="416" ht="15.75" customHeight="1">
      <c r="A416" s="23"/>
      <c r="B416" s="23"/>
      <c r="C416" s="23"/>
      <c r="D416" s="23"/>
    </row>
    <row r="417" ht="15.75" customHeight="1">
      <c r="A417" s="23"/>
      <c r="B417" s="23"/>
      <c r="C417" s="23"/>
      <c r="D417" s="23"/>
    </row>
    <row r="418" ht="15.75" customHeight="1">
      <c r="A418" s="23"/>
      <c r="B418" s="23"/>
      <c r="C418" s="23"/>
      <c r="D418" s="23"/>
    </row>
    <row r="419" ht="15.75" customHeight="1">
      <c r="A419" s="23"/>
      <c r="B419" s="23"/>
      <c r="C419" s="23"/>
      <c r="D419" s="23"/>
    </row>
    <row r="420" ht="15.75" customHeight="1">
      <c r="A420" s="23"/>
      <c r="B420" s="23"/>
      <c r="C420" s="23"/>
      <c r="D420" s="23"/>
    </row>
    <row r="421" ht="15.75" customHeight="1">
      <c r="A421" s="23"/>
      <c r="B421" s="23"/>
      <c r="C421" s="23"/>
      <c r="D421" s="23"/>
    </row>
    <row r="422" ht="15.75" customHeight="1">
      <c r="A422" s="23"/>
      <c r="B422" s="23"/>
      <c r="C422" s="23"/>
      <c r="D422" s="23"/>
    </row>
    <row r="423" ht="15.75" customHeight="1">
      <c r="A423" s="23"/>
      <c r="B423" s="23"/>
      <c r="C423" s="23"/>
      <c r="D423" s="23"/>
    </row>
    <row r="424" ht="15.75" customHeight="1">
      <c r="A424" s="23"/>
      <c r="B424" s="23"/>
      <c r="C424" s="23"/>
      <c r="D424" s="23"/>
    </row>
    <row r="425" ht="15.75" customHeight="1">
      <c r="A425" s="23"/>
      <c r="B425" s="23"/>
      <c r="C425" s="23"/>
      <c r="D425" s="23"/>
    </row>
    <row r="426" ht="15.75" customHeight="1">
      <c r="A426" s="23"/>
      <c r="B426" s="23"/>
      <c r="C426" s="23"/>
      <c r="D426" s="23"/>
    </row>
    <row r="427" ht="15.75" customHeight="1">
      <c r="A427" s="23"/>
      <c r="B427" s="23"/>
      <c r="C427" s="23"/>
      <c r="D427" s="23"/>
    </row>
    <row r="428" ht="15.75" customHeight="1">
      <c r="A428" s="23"/>
      <c r="B428" s="23"/>
      <c r="C428" s="23"/>
      <c r="D428" s="23"/>
    </row>
    <row r="429" ht="15.75" customHeight="1">
      <c r="A429" s="23"/>
      <c r="B429" s="23"/>
      <c r="C429" s="23"/>
      <c r="D429" s="23"/>
    </row>
    <row r="430" ht="15.75" customHeight="1">
      <c r="A430" s="23"/>
      <c r="B430" s="23"/>
      <c r="C430" s="23"/>
      <c r="D430" s="23"/>
    </row>
    <row r="431" ht="15.75" customHeight="1">
      <c r="A431" s="23"/>
      <c r="B431" s="23"/>
      <c r="C431" s="23"/>
      <c r="D431" s="23"/>
    </row>
    <row r="432" ht="15.75" customHeight="1">
      <c r="A432" s="23"/>
      <c r="B432" s="23"/>
      <c r="C432" s="23"/>
      <c r="D432" s="23"/>
    </row>
    <row r="433" ht="15.75" customHeight="1">
      <c r="A433" s="23"/>
      <c r="B433" s="23"/>
      <c r="C433" s="23"/>
      <c r="D433" s="23"/>
    </row>
    <row r="434" ht="15.75" customHeight="1">
      <c r="A434" s="23"/>
      <c r="B434" s="23"/>
      <c r="C434" s="23"/>
      <c r="D434" s="23"/>
    </row>
    <row r="435" ht="15.75" customHeight="1">
      <c r="A435" s="23"/>
      <c r="B435" s="23"/>
      <c r="C435" s="23"/>
      <c r="D435" s="23"/>
    </row>
    <row r="436" ht="15.75" customHeight="1">
      <c r="A436" s="23"/>
      <c r="B436" s="23"/>
      <c r="C436" s="23"/>
      <c r="D436" s="23"/>
    </row>
    <row r="437" ht="15.75" customHeight="1">
      <c r="A437" s="23"/>
      <c r="B437" s="23"/>
      <c r="C437" s="23"/>
      <c r="D437" s="23"/>
    </row>
    <row r="438" ht="15.75" customHeight="1">
      <c r="A438" s="23"/>
      <c r="B438" s="23"/>
      <c r="C438" s="23"/>
      <c r="D438" s="23"/>
    </row>
    <row r="439" ht="15.75" customHeight="1">
      <c r="A439" s="23"/>
      <c r="B439" s="23"/>
      <c r="C439" s="23"/>
      <c r="D439" s="23"/>
    </row>
    <row r="440" ht="15.75" customHeight="1">
      <c r="A440" s="23"/>
      <c r="B440" s="23"/>
      <c r="C440" s="23"/>
      <c r="D440" s="23"/>
    </row>
    <row r="441" ht="15.75" customHeight="1">
      <c r="A441" s="23"/>
      <c r="B441" s="23"/>
      <c r="C441" s="23"/>
      <c r="D441" s="23"/>
    </row>
    <row r="442" ht="15.75" customHeight="1">
      <c r="A442" s="23"/>
      <c r="B442" s="23"/>
      <c r="C442" s="23"/>
      <c r="D442" s="23"/>
    </row>
    <row r="443" ht="15.75" customHeight="1">
      <c r="A443" s="23"/>
      <c r="B443" s="23"/>
      <c r="C443" s="23"/>
      <c r="D443" s="23"/>
    </row>
    <row r="444" ht="15.75" customHeight="1">
      <c r="A444" s="23"/>
      <c r="B444" s="23"/>
      <c r="C444" s="23"/>
      <c r="D444" s="23"/>
    </row>
    <row r="445" ht="15.75" customHeight="1">
      <c r="A445" s="23"/>
      <c r="B445" s="23"/>
      <c r="C445" s="23"/>
      <c r="D445" s="23"/>
    </row>
    <row r="446" ht="15.75" customHeight="1">
      <c r="A446" s="23"/>
      <c r="B446" s="23"/>
      <c r="C446" s="23"/>
      <c r="D446" s="23"/>
    </row>
    <row r="447" ht="15.75" customHeight="1">
      <c r="A447" s="23"/>
      <c r="B447" s="23"/>
      <c r="C447" s="23"/>
      <c r="D447" s="23"/>
    </row>
    <row r="448" ht="15.75" customHeight="1">
      <c r="A448" s="23"/>
      <c r="B448" s="23"/>
      <c r="C448" s="23"/>
      <c r="D448" s="23"/>
    </row>
    <row r="449" ht="15.75" customHeight="1">
      <c r="A449" s="23"/>
      <c r="B449" s="23"/>
      <c r="C449" s="23"/>
      <c r="D449" s="23"/>
    </row>
    <row r="450" ht="15.75" customHeight="1">
      <c r="A450" s="23"/>
      <c r="B450" s="23"/>
      <c r="C450" s="23"/>
      <c r="D450" s="23"/>
    </row>
    <row r="451" ht="15.75" customHeight="1">
      <c r="A451" s="23"/>
      <c r="B451" s="23"/>
      <c r="C451" s="23"/>
      <c r="D451" s="23"/>
    </row>
    <row r="452" ht="15.75" customHeight="1">
      <c r="A452" s="23"/>
      <c r="B452" s="23"/>
      <c r="C452" s="23"/>
      <c r="D452" s="23"/>
    </row>
    <row r="453" ht="15.75" customHeight="1">
      <c r="A453" s="23"/>
      <c r="B453" s="23"/>
      <c r="C453" s="23"/>
      <c r="D453" s="23"/>
    </row>
    <row r="454" ht="15.75" customHeight="1">
      <c r="A454" s="23"/>
      <c r="B454" s="23"/>
      <c r="C454" s="23"/>
      <c r="D454" s="23"/>
    </row>
    <row r="455" ht="15.75" customHeight="1">
      <c r="A455" s="23"/>
      <c r="B455" s="23"/>
      <c r="C455" s="23"/>
      <c r="D455" s="23"/>
    </row>
    <row r="456" ht="15.75" customHeight="1">
      <c r="A456" s="23"/>
      <c r="B456" s="23"/>
      <c r="C456" s="23"/>
      <c r="D456" s="23"/>
    </row>
    <row r="457" ht="15.75" customHeight="1">
      <c r="A457" s="23"/>
      <c r="B457" s="23"/>
      <c r="C457" s="23"/>
      <c r="D457" s="23"/>
    </row>
    <row r="458" ht="15.75" customHeight="1">
      <c r="A458" s="23"/>
      <c r="B458" s="23"/>
      <c r="C458" s="23"/>
      <c r="D458" s="23"/>
    </row>
    <row r="459" ht="15.75" customHeight="1">
      <c r="A459" s="23"/>
      <c r="B459" s="23"/>
      <c r="C459" s="23"/>
      <c r="D459" s="23"/>
    </row>
    <row r="460" ht="15.75" customHeight="1">
      <c r="A460" s="23"/>
      <c r="B460" s="23"/>
      <c r="C460" s="23"/>
      <c r="D460" s="23"/>
    </row>
    <row r="461" ht="15.75" customHeight="1">
      <c r="A461" s="23"/>
      <c r="B461" s="23"/>
      <c r="C461" s="23"/>
      <c r="D461" s="23"/>
    </row>
    <row r="462" ht="15.75" customHeight="1">
      <c r="A462" s="23"/>
      <c r="B462" s="23"/>
      <c r="C462" s="23"/>
      <c r="D462" s="23"/>
    </row>
    <row r="463" ht="15.75" customHeight="1">
      <c r="A463" s="23"/>
      <c r="B463" s="23"/>
      <c r="C463" s="23"/>
      <c r="D463" s="23"/>
    </row>
    <row r="464" ht="15.75" customHeight="1">
      <c r="A464" s="23"/>
      <c r="B464" s="23"/>
      <c r="C464" s="23"/>
      <c r="D464" s="23"/>
    </row>
    <row r="465" ht="15.75" customHeight="1">
      <c r="A465" s="23"/>
      <c r="B465" s="23"/>
      <c r="C465" s="23"/>
      <c r="D465" s="23"/>
    </row>
    <row r="466" ht="15.75" customHeight="1">
      <c r="A466" s="23"/>
      <c r="B466" s="23"/>
      <c r="C466" s="23"/>
      <c r="D466" s="23"/>
    </row>
    <row r="467" ht="15.75" customHeight="1">
      <c r="A467" s="23"/>
      <c r="B467" s="23"/>
      <c r="C467" s="23"/>
      <c r="D467" s="23"/>
    </row>
    <row r="468" ht="15.75" customHeight="1">
      <c r="A468" s="23"/>
      <c r="B468" s="23"/>
      <c r="C468" s="23"/>
      <c r="D468" s="23"/>
    </row>
    <row r="469" ht="15.75" customHeight="1">
      <c r="A469" s="23"/>
      <c r="B469" s="23"/>
      <c r="C469" s="23"/>
      <c r="D469" s="23"/>
    </row>
    <row r="470" ht="15.75" customHeight="1">
      <c r="A470" s="23"/>
      <c r="B470" s="23"/>
      <c r="C470" s="23"/>
      <c r="D470" s="23"/>
    </row>
    <row r="471" ht="15.75" customHeight="1">
      <c r="A471" s="23"/>
      <c r="B471" s="23"/>
      <c r="C471" s="23"/>
      <c r="D471" s="23"/>
    </row>
    <row r="472" ht="15.75" customHeight="1">
      <c r="A472" s="23"/>
      <c r="B472" s="23"/>
      <c r="C472" s="23"/>
      <c r="D472" s="23"/>
    </row>
    <row r="473" ht="15.75" customHeight="1">
      <c r="A473" s="23"/>
      <c r="B473" s="23"/>
      <c r="C473" s="23"/>
      <c r="D473" s="23"/>
    </row>
    <row r="474" ht="15.75" customHeight="1">
      <c r="A474" s="23"/>
      <c r="B474" s="23"/>
      <c r="C474" s="23"/>
      <c r="D474" s="23"/>
    </row>
    <row r="475" ht="15.75" customHeight="1">
      <c r="A475" s="23"/>
      <c r="B475" s="23"/>
      <c r="C475" s="23"/>
      <c r="D475" s="23"/>
    </row>
    <row r="476" ht="15.75" customHeight="1">
      <c r="A476" s="23"/>
      <c r="B476" s="23"/>
      <c r="C476" s="23"/>
      <c r="D476" s="23"/>
    </row>
    <row r="477" ht="15.75" customHeight="1">
      <c r="A477" s="23"/>
      <c r="B477" s="23"/>
      <c r="C477" s="23"/>
      <c r="D477" s="23"/>
    </row>
    <row r="478" ht="15.75" customHeight="1">
      <c r="A478" s="23"/>
      <c r="B478" s="23"/>
      <c r="C478" s="23"/>
      <c r="D478" s="23"/>
    </row>
    <row r="479" ht="15.75" customHeight="1">
      <c r="A479" s="23"/>
      <c r="B479" s="23"/>
      <c r="C479" s="23"/>
      <c r="D479" s="23"/>
    </row>
    <row r="480" ht="15.75" customHeight="1">
      <c r="A480" s="23"/>
      <c r="B480" s="23"/>
      <c r="C480" s="23"/>
      <c r="D480" s="23"/>
    </row>
    <row r="481" ht="15.75" customHeight="1">
      <c r="A481" s="23"/>
      <c r="B481" s="23"/>
      <c r="C481" s="23"/>
      <c r="D481" s="23"/>
    </row>
    <row r="482" ht="15.75" customHeight="1">
      <c r="A482" s="23"/>
      <c r="B482" s="23"/>
      <c r="C482" s="23"/>
      <c r="D482" s="23"/>
    </row>
    <row r="483" ht="15.75" customHeight="1">
      <c r="A483" s="23"/>
      <c r="B483" s="23"/>
      <c r="C483" s="23"/>
      <c r="D483" s="23"/>
    </row>
    <row r="484" ht="15.75" customHeight="1">
      <c r="A484" s="23"/>
      <c r="B484" s="23"/>
      <c r="C484" s="23"/>
      <c r="D484" s="23"/>
    </row>
    <row r="485" ht="15.75" customHeight="1">
      <c r="A485" s="23"/>
      <c r="B485" s="23"/>
      <c r="C485" s="23"/>
      <c r="D485" s="23"/>
    </row>
    <row r="486" ht="15.75" customHeight="1">
      <c r="A486" s="23"/>
      <c r="B486" s="23"/>
      <c r="C486" s="23"/>
      <c r="D486" s="23"/>
    </row>
    <row r="487" ht="15.75" customHeight="1">
      <c r="A487" s="23"/>
      <c r="B487" s="23"/>
      <c r="C487" s="23"/>
      <c r="D487" s="23"/>
    </row>
    <row r="488" ht="15.75" customHeight="1">
      <c r="A488" s="23"/>
      <c r="B488" s="23"/>
      <c r="C488" s="23"/>
      <c r="D488" s="23"/>
    </row>
    <row r="489" ht="15.75" customHeight="1">
      <c r="A489" s="23"/>
      <c r="B489" s="23"/>
      <c r="C489" s="23"/>
      <c r="D489" s="23"/>
    </row>
    <row r="490" ht="15.75" customHeight="1">
      <c r="A490" s="23"/>
      <c r="B490" s="23"/>
      <c r="C490" s="23"/>
      <c r="D490" s="23"/>
    </row>
    <row r="491" ht="15.75" customHeight="1">
      <c r="A491" s="23"/>
      <c r="B491" s="23"/>
      <c r="C491" s="23"/>
      <c r="D491" s="23"/>
    </row>
    <row r="492" ht="15.75" customHeight="1">
      <c r="A492" s="23"/>
      <c r="B492" s="23"/>
      <c r="C492" s="23"/>
      <c r="D492" s="23"/>
    </row>
    <row r="493" ht="15.75" customHeight="1">
      <c r="A493" s="23"/>
      <c r="B493" s="23"/>
      <c r="C493" s="23"/>
      <c r="D493" s="23"/>
    </row>
    <row r="494" ht="15.75" customHeight="1">
      <c r="A494" s="23"/>
      <c r="B494" s="23"/>
      <c r="C494" s="23"/>
      <c r="D494" s="23"/>
    </row>
    <row r="495" ht="15.75" customHeight="1">
      <c r="A495" s="23"/>
      <c r="B495" s="23"/>
      <c r="C495" s="23"/>
      <c r="D495" s="23"/>
    </row>
    <row r="496" ht="15.75" customHeight="1">
      <c r="A496" s="23"/>
      <c r="B496" s="23"/>
      <c r="C496" s="23"/>
      <c r="D496" s="23"/>
    </row>
    <row r="497" ht="15.75" customHeight="1">
      <c r="A497" s="23"/>
      <c r="B497" s="23"/>
      <c r="C497" s="23"/>
      <c r="D497" s="23"/>
    </row>
    <row r="498" ht="15.75" customHeight="1">
      <c r="A498" s="23"/>
      <c r="B498" s="23"/>
      <c r="C498" s="23"/>
      <c r="D498" s="23"/>
    </row>
    <row r="499" ht="15.75" customHeight="1">
      <c r="A499" s="23"/>
      <c r="B499" s="23"/>
      <c r="C499" s="23"/>
      <c r="D499" s="23"/>
    </row>
    <row r="500" ht="15.75" customHeight="1">
      <c r="A500" s="23"/>
      <c r="B500" s="23"/>
      <c r="C500" s="23"/>
      <c r="D500" s="23"/>
    </row>
    <row r="501" ht="15.75" customHeight="1">
      <c r="A501" s="23"/>
      <c r="B501" s="23"/>
      <c r="C501" s="23"/>
      <c r="D501" s="23"/>
    </row>
    <row r="502" ht="15.75" customHeight="1">
      <c r="A502" s="23"/>
      <c r="B502" s="23"/>
      <c r="C502" s="23"/>
      <c r="D502" s="23"/>
    </row>
    <row r="503" ht="15.75" customHeight="1">
      <c r="A503" s="23"/>
      <c r="B503" s="23"/>
      <c r="C503" s="23"/>
      <c r="D503" s="23"/>
    </row>
    <row r="504" ht="15.75" customHeight="1">
      <c r="A504" s="23"/>
      <c r="B504" s="23"/>
      <c r="C504" s="23"/>
      <c r="D504" s="23"/>
    </row>
    <row r="505" ht="15.75" customHeight="1">
      <c r="A505" s="23"/>
      <c r="B505" s="23"/>
      <c r="C505" s="23"/>
      <c r="D505" s="23"/>
    </row>
    <row r="506" ht="15.75" customHeight="1">
      <c r="A506" s="23"/>
      <c r="B506" s="23"/>
      <c r="C506" s="23"/>
      <c r="D506" s="23"/>
    </row>
    <row r="507" ht="15.75" customHeight="1">
      <c r="A507" s="23"/>
      <c r="B507" s="23"/>
      <c r="C507" s="23"/>
      <c r="D507" s="23"/>
    </row>
    <row r="508" ht="15.75" customHeight="1">
      <c r="A508" s="23"/>
      <c r="B508" s="23"/>
      <c r="C508" s="23"/>
      <c r="D508" s="23"/>
    </row>
    <row r="509" ht="15.75" customHeight="1">
      <c r="A509" s="23"/>
      <c r="B509" s="23"/>
      <c r="C509" s="23"/>
      <c r="D509" s="23"/>
    </row>
    <row r="510" ht="15.75" customHeight="1">
      <c r="A510" s="23"/>
      <c r="B510" s="23"/>
      <c r="C510" s="23"/>
      <c r="D510" s="23"/>
    </row>
    <row r="511" ht="15.75" customHeight="1">
      <c r="A511" s="23"/>
      <c r="B511" s="23"/>
      <c r="C511" s="23"/>
      <c r="D511" s="23"/>
    </row>
    <row r="512" ht="15.75" customHeight="1">
      <c r="A512" s="23"/>
      <c r="B512" s="23"/>
      <c r="C512" s="23"/>
      <c r="D512" s="23"/>
    </row>
    <row r="513" ht="15.75" customHeight="1">
      <c r="A513" s="23"/>
      <c r="B513" s="23"/>
      <c r="C513" s="23"/>
      <c r="D513" s="23"/>
    </row>
    <row r="514" ht="15.75" customHeight="1">
      <c r="A514" s="23"/>
      <c r="B514" s="23"/>
      <c r="C514" s="23"/>
      <c r="D514" s="23"/>
    </row>
    <row r="515" ht="15.75" customHeight="1">
      <c r="A515" s="23"/>
      <c r="B515" s="23"/>
      <c r="C515" s="23"/>
      <c r="D515" s="23"/>
    </row>
    <row r="516" ht="15.75" customHeight="1">
      <c r="A516" s="23"/>
      <c r="B516" s="23"/>
      <c r="C516" s="23"/>
      <c r="D516" s="23"/>
    </row>
    <row r="517" ht="15.75" customHeight="1">
      <c r="A517" s="23"/>
      <c r="B517" s="23"/>
      <c r="C517" s="23"/>
      <c r="D517" s="23"/>
    </row>
    <row r="518" ht="15.75" customHeight="1">
      <c r="A518" s="23"/>
      <c r="B518" s="23"/>
      <c r="C518" s="23"/>
      <c r="D518" s="23"/>
    </row>
    <row r="519" ht="15.75" customHeight="1">
      <c r="A519" s="23"/>
      <c r="B519" s="23"/>
      <c r="C519" s="23"/>
      <c r="D519" s="23"/>
    </row>
    <row r="520" ht="15.75" customHeight="1">
      <c r="A520" s="23"/>
      <c r="B520" s="23"/>
      <c r="C520" s="23"/>
      <c r="D520" s="23"/>
    </row>
    <row r="521" ht="15.75" customHeight="1">
      <c r="A521" s="23"/>
      <c r="B521" s="23"/>
      <c r="C521" s="23"/>
      <c r="D521" s="23"/>
    </row>
    <row r="522" ht="15.75" customHeight="1">
      <c r="A522" s="23"/>
      <c r="B522" s="23"/>
      <c r="C522" s="23"/>
      <c r="D522" s="23"/>
    </row>
    <row r="523" ht="15.75" customHeight="1">
      <c r="A523" s="23"/>
      <c r="B523" s="23"/>
      <c r="C523" s="23"/>
      <c r="D523" s="23"/>
    </row>
    <row r="524" ht="15.75" customHeight="1">
      <c r="A524" s="23"/>
      <c r="B524" s="23"/>
      <c r="C524" s="23"/>
      <c r="D524" s="23"/>
    </row>
    <row r="525" ht="15.75" customHeight="1">
      <c r="A525" s="23"/>
      <c r="B525" s="23"/>
      <c r="C525" s="23"/>
      <c r="D525" s="23"/>
    </row>
    <row r="526" ht="15.75" customHeight="1">
      <c r="A526" s="23"/>
      <c r="B526" s="23"/>
      <c r="C526" s="23"/>
      <c r="D526" s="23"/>
    </row>
    <row r="527" ht="15.75" customHeight="1">
      <c r="A527" s="23"/>
      <c r="B527" s="23"/>
      <c r="C527" s="23"/>
      <c r="D527" s="23"/>
    </row>
    <row r="528" ht="15.75" customHeight="1">
      <c r="A528" s="23"/>
      <c r="B528" s="23"/>
      <c r="C528" s="23"/>
      <c r="D528" s="23"/>
    </row>
    <row r="529" ht="15.75" customHeight="1">
      <c r="A529" s="23"/>
      <c r="B529" s="23"/>
      <c r="C529" s="23"/>
      <c r="D529" s="23"/>
    </row>
    <row r="530" ht="15.75" customHeight="1">
      <c r="A530" s="23"/>
      <c r="B530" s="23"/>
      <c r="C530" s="23"/>
      <c r="D530" s="23"/>
    </row>
    <row r="531" ht="15.75" customHeight="1">
      <c r="A531" s="23"/>
      <c r="B531" s="23"/>
      <c r="C531" s="23"/>
      <c r="D531" s="23"/>
    </row>
    <row r="532" ht="15.75" customHeight="1">
      <c r="A532" s="23"/>
      <c r="B532" s="23"/>
      <c r="C532" s="23"/>
      <c r="D532" s="23"/>
    </row>
    <row r="533" ht="15.75" customHeight="1">
      <c r="A533" s="23"/>
      <c r="B533" s="23"/>
      <c r="C533" s="23"/>
      <c r="D533" s="23"/>
    </row>
    <row r="534" ht="15.75" customHeight="1">
      <c r="A534" s="23"/>
      <c r="B534" s="23"/>
      <c r="C534" s="23"/>
      <c r="D534" s="23"/>
    </row>
    <row r="535" ht="15.75" customHeight="1">
      <c r="A535" s="23"/>
      <c r="B535" s="23"/>
      <c r="C535" s="23"/>
      <c r="D535" s="23"/>
    </row>
    <row r="536" ht="15.75" customHeight="1">
      <c r="A536" s="23"/>
      <c r="B536" s="23"/>
      <c r="C536" s="23"/>
      <c r="D536" s="23"/>
    </row>
    <row r="537" ht="15.75" customHeight="1">
      <c r="A537" s="23"/>
      <c r="B537" s="23"/>
      <c r="C537" s="23"/>
      <c r="D537" s="23"/>
    </row>
    <row r="538" ht="15.75" customHeight="1">
      <c r="A538" s="23"/>
      <c r="B538" s="23"/>
      <c r="C538" s="23"/>
      <c r="D538" s="23"/>
    </row>
    <row r="539" ht="15.75" customHeight="1">
      <c r="A539" s="23"/>
      <c r="B539" s="23"/>
      <c r="C539" s="23"/>
      <c r="D539" s="23"/>
    </row>
    <row r="540" ht="15.75" customHeight="1">
      <c r="A540" s="23"/>
      <c r="B540" s="23"/>
      <c r="C540" s="23"/>
      <c r="D540" s="23"/>
    </row>
    <row r="541" ht="15.75" customHeight="1">
      <c r="A541" s="23"/>
      <c r="B541" s="23"/>
      <c r="C541" s="23"/>
      <c r="D541" s="23"/>
    </row>
    <row r="542" ht="15.75" customHeight="1">
      <c r="A542" s="23"/>
      <c r="B542" s="23"/>
      <c r="C542" s="23"/>
      <c r="D542" s="23"/>
    </row>
    <row r="543" ht="15.75" customHeight="1">
      <c r="A543" s="23"/>
      <c r="B543" s="23"/>
      <c r="C543" s="23"/>
      <c r="D543" s="23"/>
    </row>
    <row r="544" ht="15.75" customHeight="1">
      <c r="A544" s="23"/>
      <c r="B544" s="23"/>
      <c r="C544" s="23"/>
      <c r="D544" s="23"/>
    </row>
    <row r="545" ht="15.75" customHeight="1">
      <c r="A545" s="23"/>
      <c r="B545" s="23"/>
      <c r="C545" s="23"/>
      <c r="D545" s="23"/>
    </row>
    <row r="546" ht="15.75" customHeight="1">
      <c r="A546" s="23"/>
      <c r="B546" s="23"/>
      <c r="C546" s="23"/>
      <c r="D546" s="23"/>
    </row>
    <row r="547" ht="15.75" customHeight="1">
      <c r="A547" s="23"/>
      <c r="B547" s="23"/>
      <c r="C547" s="23"/>
      <c r="D547" s="23"/>
    </row>
    <row r="548" ht="15.75" customHeight="1">
      <c r="A548" s="23"/>
      <c r="B548" s="23"/>
      <c r="C548" s="23"/>
      <c r="D548" s="23"/>
    </row>
    <row r="549" ht="15.75" customHeight="1">
      <c r="A549" s="23"/>
      <c r="B549" s="23"/>
      <c r="C549" s="23"/>
      <c r="D549" s="23"/>
    </row>
    <row r="550" ht="15.75" customHeight="1">
      <c r="A550" s="23"/>
      <c r="B550" s="23"/>
      <c r="C550" s="23"/>
      <c r="D550" s="23"/>
    </row>
    <row r="551" ht="15.75" customHeight="1">
      <c r="A551" s="23"/>
      <c r="B551" s="23"/>
      <c r="C551" s="23"/>
      <c r="D551" s="23"/>
    </row>
    <row r="552" ht="15.75" customHeight="1">
      <c r="A552" s="23"/>
      <c r="B552" s="23"/>
      <c r="C552" s="23"/>
      <c r="D552" s="23"/>
    </row>
    <row r="553" ht="15.75" customHeight="1">
      <c r="A553" s="23"/>
      <c r="B553" s="23"/>
      <c r="C553" s="23"/>
      <c r="D553" s="23"/>
    </row>
    <row r="554" ht="15.75" customHeight="1">
      <c r="A554" s="23"/>
      <c r="B554" s="23"/>
      <c r="C554" s="23"/>
      <c r="D554" s="23"/>
    </row>
    <row r="555" ht="15.75" customHeight="1">
      <c r="A555" s="23"/>
      <c r="B555" s="23"/>
      <c r="C555" s="23"/>
      <c r="D555" s="23"/>
    </row>
    <row r="556" ht="15.75" customHeight="1">
      <c r="A556" s="23"/>
      <c r="B556" s="23"/>
      <c r="C556" s="23"/>
      <c r="D556" s="23"/>
    </row>
    <row r="557" ht="15.75" customHeight="1">
      <c r="A557" s="23"/>
      <c r="B557" s="23"/>
      <c r="C557" s="23"/>
      <c r="D557" s="23"/>
    </row>
    <row r="558" ht="15.75" customHeight="1">
      <c r="A558" s="23"/>
      <c r="B558" s="23"/>
      <c r="C558" s="23"/>
      <c r="D558" s="23"/>
    </row>
    <row r="559" ht="15.75" customHeight="1">
      <c r="A559" s="23"/>
      <c r="B559" s="23"/>
      <c r="C559" s="23"/>
      <c r="D559" s="23"/>
    </row>
    <row r="560" ht="15.75" customHeight="1">
      <c r="A560" s="23"/>
      <c r="B560" s="23"/>
      <c r="C560" s="23"/>
      <c r="D560" s="23"/>
    </row>
    <row r="561" ht="15.75" customHeight="1">
      <c r="A561" s="23"/>
      <c r="B561" s="23"/>
      <c r="C561" s="23"/>
      <c r="D561" s="23"/>
    </row>
    <row r="562" ht="15.75" customHeight="1">
      <c r="A562" s="23"/>
      <c r="B562" s="23"/>
      <c r="C562" s="23"/>
      <c r="D562" s="23"/>
    </row>
    <row r="563" ht="15.75" customHeight="1">
      <c r="A563" s="23"/>
      <c r="B563" s="23"/>
      <c r="C563" s="23"/>
      <c r="D563" s="23"/>
    </row>
    <row r="564" ht="15.75" customHeight="1">
      <c r="A564" s="23"/>
      <c r="B564" s="23"/>
      <c r="C564" s="23"/>
      <c r="D564" s="23"/>
    </row>
    <row r="565" ht="15.75" customHeight="1">
      <c r="A565" s="23"/>
      <c r="B565" s="23"/>
      <c r="C565" s="23"/>
      <c r="D565" s="23"/>
    </row>
    <row r="566" ht="15.75" customHeight="1">
      <c r="A566" s="23"/>
      <c r="B566" s="23"/>
      <c r="C566" s="23"/>
      <c r="D566" s="23"/>
    </row>
    <row r="567" ht="15.75" customHeight="1">
      <c r="A567" s="23"/>
      <c r="B567" s="23"/>
      <c r="C567" s="23"/>
      <c r="D567" s="23"/>
    </row>
    <row r="568" ht="15.75" customHeight="1">
      <c r="A568" s="23"/>
      <c r="B568" s="23"/>
      <c r="C568" s="23"/>
      <c r="D568" s="23"/>
    </row>
    <row r="569" ht="15.75" customHeight="1">
      <c r="A569" s="23"/>
      <c r="B569" s="23"/>
      <c r="C569" s="23"/>
      <c r="D569" s="23"/>
    </row>
    <row r="570" ht="15.75" customHeight="1">
      <c r="A570" s="23"/>
      <c r="B570" s="23"/>
      <c r="C570" s="23"/>
      <c r="D570" s="23"/>
    </row>
    <row r="571" ht="15.75" customHeight="1">
      <c r="A571" s="23"/>
      <c r="B571" s="23"/>
      <c r="C571" s="23"/>
      <c r="D571" s="23"/>
    </row>
    <row r="572" ht="15.75" customHeight="1">
      <c r="A572" s="23"/>
      <c r="B572" s="23"/>
      <c r="C572" s="23"/>
      <c r="D572" s="23"/>
    </row>
    <row r="573" ht="15.75" customHeight="1">
      <c r="A573" s="23"/>
      <c r="B573" s="23"/>
      <c r="C573" s="23"/>
      <c r="D573" s="23"/>
    </row>
    <row r="574" ht="15.75" customHeight="1">
      <c r="A574" s="23"/>
      <c r="B574" s="23"/>
      <c r="C574" s="23"/>
      <c r="D574" s="23"/>
    </row>
    <row r="575" ht="15.75" customHeight="1">
      <c r="A575" s="23"/>
      <c r="B575" s="23"/>
      <c r="C575" s="23"/>
      <c r="D575" s="23"/>
    </row>
    <row r="576" ht="15.75" customHeight="1">
      <c r="A576" s="23"/>
      <c r="B576" s="23"/>
      <c r="C576" s="23"/>
      <c r="D576" s="23"/>
    </row>
    <row r="577" ht="15.75" customHeight="1">
      <c r="A577" s="23"/>
      <c r="B577" s="23"/>
      <c r="C577" s="23"/>
      <c r="D577" s="23"/>
    </row>
    <row r="578" ht="15.75" customHeight="1">
      <c r="A578" s="23"/>
      <c r="B578" s="23"/>
      <c r="C578" s="23"/>
      <c r="D578" s="23"/>
    </row>
    <row r="579" ht="15.75" customHeight="1">
      <c r="A579" s="23"/>
      <c r="B579" s="23"/>
      <c r="C579" s="23"/>
      <c r="D579" s="23"/>
    </row>
    <row r="580" ht="15.75" customHeight="1">
      <c r="A580" s="23"/>
      <c r="B580" s="23"/>
      <c r="C580" s="23"/>
      <c r="D580" s="23"/>
    </row>
    <row r="581" ht="15.75" customHeight="1">
      <c r="A581" s="23"/>
      <c r="B581" s="23"/>
      <c r="C581" s="23"/>
      <c r="D581" s="23"/>
    </row>
    <row r="582" ht="15.75" customHeight="1">
      <c r="A582" s="23"/>
      <c r="B582" s="23"/>
      <c r="C582" s="23"/>
      <c r="D582" s="23"/>
    </row>
    <row r="583" ht="15.75" customHeight="1">
      <c r="A583" s="23"/>
      <c r="B583" s="23"/>
      <c r="C583" s="23"/>
      <c r="D583" s="23"/>
    </row>
    <row r="584" ht="15.75" customHeight="1">
      <c r="A584" s="23"/>
      <c r="B584" s="23"/>
      <c r="C584" s="23"/>
      <c r="D584" s="23"/>
    </row>
    <row r="585" ht="15.75" customHeight="1">
      <c r="A585" s="23"/>
      <c r="B585" s="23"/>
      <c r="C585" s="23"/>
      <c r="D585" s="23"/>
    </row>
    <row r="586" ht="15.75" customHeight="1">
      <c r="A586" s="23"/>
      <c r="B586" s="23"/>
      <c r="C586" s="23"/>
      <c r="D586" s="23"/>
    </row>
    <row r="587" ht="15.75" customHeight="1">
      <c r="A587" s="23"/>
      <c r="B587" s="23"/>
      <c r="C587" s="23"/>
      <c r="D587" s="23"/>
    </row>
    <row r="588" ht="15.75" customHeight="1">
      <c r="A588" s="23"/>
      <c r="B588" s="23"/>
      <c r="C588" s="23"/>
      <c r="D588" s="23"/>
    </row>
    <row r="589" ht="15.75" customHeight="1">
      <c r="A589" s="23"/>
      <c r="B589" s="23"/>
      <c r="C589" s="23"/>
      <c r="D589" s="23"/>
    </row>
    <row r="590" ht="15.75" customHeight="1">
      <c r="A590" s="23"/>
      <c r="B590" s="23"/>
      <c r="C590" s="23"/>
      <c r="D590" s="23"/>
    </row>
    <row r="591" ht="15.75" customHeight="1">
      <c r="A591" s="23"/>
      <c r="B591" s="23"/>
      <c r="C591" s="23"/>
      <c r="D591" s="23"/>
    </row>
    <row r="592" ht="15.75" customHeight="1">
      <c r="A592" s="23"/>
      <c r="B592" s="23"/>
      <c r="C592" s="23"/>
      <c r="D592" s="23"/>
    </row>
    <row r="593" ht="15.75" customHeight="1">
      <c r="A593" s="23"/>
      <c r="B593" s="23"/>
      <c r="C593" s="23"/>
      <c r="D593" s="23"/>
    </row>
    <row r="594" ht="15.75" customHeight="1">
      <c r="A594" s="23"/>
      <c r="B594" s="23"/>
      <c r="C594" s="23"/>
      <c r="D594" s="23"/>
    </row>
    <row r="595" ht="15.75" customHeight="1">
      <c r="A595" s="23"/>
      <c r="B595" s="23"/>
      <c r="C595" s="23"/>
      <c r="D595" s="23"/>
    </row>
    <row r="596" ht="15.75" customHeight="1">
      <c r="A596" s="23"/>
      <c r="B596" s="23"/>
      <c r="C596" s="23"/>
      <c r="D596" s="23"/>
    </row>
    <row r="597" ht="15.75" customHeight="1">
      <c r="A597" s="23"/>
      <c r="B597" s="23"/>
      <c r="C597" s="23"/>
      <c r="D597" s="23"/>
    </row>
    <row r="598" ht="15.75" customHeight="1">
      <c r="A598" s="23"/>
      <c r="B598" s="23"/>
      <c r="C598" s="23"/>
      <c r="D598" s="23"/>
    </row>
    <row r="599" ht="15.75" customHeight="1">
      <c r="A599" s="23"/>
      <c r="B599" s="23"/>
      <c r="C599" s="23"/>
      <c r="D599" s="23"/>
    </row>
    <row r="600" ht="15.75" customHeight="1">
      <c r="A600" s="23"/>
      <c r="B600" s="23"/>
      <c r="C600" s="23"/>
      <c r="D600" s="23"/>
    </row>
    <row r="601" ht="15.75" customHeight="1">
      <c r="A601" s="23"/>
      <c r="B601" s="23"/>
      <c r="C601" s="23"/>
      <c r="D601" s="23"/>
    </row>
    <row r="602" ht="15.75" customHeight="1">
      <c r="A602" s="23"/>
      <c r="B602" s="23"/>
      <c r="C602" s="23"/>
      <c r="D602" s="23"/>
    </row>
    <row r="603" ht="15.75" customHeight="1">
      <c r="A603" s="23"/>
      <c r="B603" s="23"/>
      <c r="C603" s="23"/>
      <c r="D603" s="23"/>
    </row>
    <row r="604" ht="15.75" customHeight="1">
      <c r="A604" s="23"/>
      <c r="B604" s="23"/>
      <c r="C604" s="23"/>
      <c r="D604" s="23"/>
    </row>
    <row r="605" ht="15.75" customHeight="1">
      <c r="A605" s="23"/>
      <c r="B605" s="23"/>
      <c r="C605" s="23"/>
      <c r="D605" s="23"/>
    </row>
    <row r="606" ht="15.75" customHeight="1">
      <c r="A606" s="23"/>
      <c r="B606" s="23"/>
      <c r="C606" s="23"/>
      <c r="D606" s="23"/>
    </row>
    <row r="607" ht="15.75" customHeight="1">
      <c r="A607" s="23"/>
      <c r="B607" s="23"/>
      <c r="C607" s="23"/>
      <c r="D607" s="23"/>
    </row>
    <row r="608" ht="15.75" customHeight="1">
      <c r="A608" s="23"/>
      <c r="B608" s="23"/>
      <c r="C608" s="23"/>
      <c r="D608" s="23"/>
    </row>
    <row r="609" ht="15.75" customHeight="1">
      <c r="A609" s="23"/>
      <c r="B609" s="23"/>
      <c r="C609" s="23"/>
      <c r="D609" s="23"/>
    </row>
    <row r="610" ht="15.75" customHeight="1">
      <c r="A610" s="23"/>
      <c r="B610" s="23"/>
      <c r="C610" s="23"/>
      <c r="D610" s="23"/>
    </row>
    <row r="611" ht="15.75" customHeight="1">
      <c r="A611" s="23"/>
      <c r="B611" s="23"/>
      <c r="C611" s="23"/>
      <c r="D611" s="23"/>
    </row>
    <row r="612" ht="15.75" customHeight="1">
      <c r="A612" s="23"/>
      <c r="B612" s="23"/>
      <c r="C612" s="23"/>
      <c r="D612" s="23"/>
    </row>
    <row r="613" ht="15.75" customHeight="1">
      <c r="A613" s="23"/>
      <c r="B613" s="23"/>
      <c r="C613" s="23"/>
      <c r="D613" s="23"/>
    </row>
    <row r="614" ht="15.75" customHeight="1">
      <c r="A614" s="23"/>
      <c r="B614" s="23"/>
      <c r="C614" s="23"/>
      <c r="D614" s="23"/>
    </row>
    <row r="615" ht="15.75" customHeight="1">
      <c r="A615" s="23"/>
      <c r="B615" s="23"/>
      <c r="C615" s="23"/>
      <c r="D615" s="23"/>
    </row>
    <row r="616" ht="15.75" customHeight="1">
      <c r="A616" s="23"/>
      <c r="B616" s="23"/>
      <c r="C616" s="23"/>
      <c r="D616" s="23"/>
    </row>
    <row r="617" ht="15.75" customHeight="1">
      <c r="A617" s="23"/>
      <c r="B617" s="23"/>
      <c r="C617" s="23"/>
      <c r="D617" s="23"/>
    </row>
    <row r="618" ht="15.75" customHeight="1">
      <c r="A618" s="23"/>
      <c r="B618" s="23"/>
      <c r="C618" s="23"/>
      <c r="D618" s="23"/>
    </row>
    <row r="619" ht="15.75" customHeight="1">
      <c r="A619" s="23"/>
      <c r="B619" s="23"/>
      <c r="C619" s="23"/>
      <c r="D619" s="23"/>
    </row>
    <row r="620" ht="15.75" customHeight="1">
      <c r="A620" s="23"/>
      <c r="B620" s="23"/>
      <c r="C620" s="23"/>
      <c r="D620" s="23"/>
    </row>
    <row r="621" ht="15.75" customHeight="1">
      <c r="A621" s="23"/>
      <c r="B621" s="23"/>
      <c r="C621" s="23"/>
      <c r="D621" s="23"/>
    </row>
    <row r="622" ht="15.75" customHeight="1">
      <c r="A622" s="23"/>
      <c r="B622" s="23"/>
      <c r="C622" s="23"/>
      <c r="D622" s="23"/>
    </row>
    <row r="623" ht="15.75" customHeight="1">
      <c r="A623" s="23"/>
      <c r="B623" s="23"/>
      <c r="C623" s="23"/>
      <c r="D623" s="23"/>
    </row>
    <row r="624" ht="15.75" customHeight="1">
      <c r="A624" s="23"/>
      <c r="B624" s="23"/>
      <c r="C624" s="23"/>
      <c r="D624" s="23"/>
    </row>
    <row r="625" ht="15.75" customHeight="1">
      <c r="A625" s="23"/>
      <c r="B625" s="23"/>
      <c r="C625" s="23"/>
      <c r="D625" s="23"/>
    </row>
    <row r="626" ht="15.75" customHeight="1">
      <c r="A626" s="23"/>
      <c r="B626" s="23"/>
      <c r="C626" s="23"/>
      <c r="D626" s="23"/>
    </row>
    <row r="627" ht="15.75" customHeight="1">
      <c r="A627" s="23"/>
      <c r="B627" s="23"/>
      <c r="C627" s="23"/>
      <c r="D627" s="23"/>
    </row>
    <row r="628" ht="15.75" customHeight="1">
      <c r="A628" s="23"/>
      <c r="B628" s="23"/>
      <c r="C628" s="23"/>
      <c r="D628" s="23"/>
    </row>
    <row r="629" ht="15.75" customHeight="1">
      <c r="A629" s="23"/>
      <c r="B629" s="23"/>
      <c r="C629" s="23"/>
      <c r="D629" s="23"/>
    </row>
    <row r="630" ht="15.75" customHeight="1">
      <c r="A630" s="23"/>
      <c r="B630" s="23"/>
      <c r="C630" s="23"/>
      <c r="D630" s="23"/>
    </row>
    <row r="631" ht="15.75" customHeight="1">
      <c r="A631" s="23"/>
      <c r="B631" s="23"/>
      <c r="C631" s="23"/>
      <c r="D631" s="23"/>
    </row>
    <row r="632" ht="15.75" customHeight="1">
      <c r="A632" s="23"/>
      <c r="B632" s="23"/>
      <c r="C632" s="23"/>
      <c r="D632" s="23"/>
    </row>
    <row r="633" ht="15.75" customHeight="1">
      <c r="A633" s="23"/>
      <c r="B633" s="23"/>
      <c r="C633" s="23"/>
      <c r="D633" s="23"/>
    </row>
    <row r="634" ht="15.75" customHeight="1">
      <c r="A634" s="23"/>
      <c r="B634" s="23"/>
      <c r="C634" s="23"/>
      <c r="D634" s="23"/>
    </row>
    <row r="635" ht="15.75" customHeight="1">
      <c r="A635" s="23"/>
      <c r="B635" s="23"/>
      <c r="C635" s="23"/>
      <c r="D635" s="23"/>
    </row>
    <row r="636" ht="15.75" customHeight="1">
      <c r="A636" s="23"/>
      <c r="B636" s="23"/>
      <c r="C636" s="23"/>
      <c r="D636" s="23"/>
    </row>
    <row r="637" ht="15.75" customHeight="1">
      <c r="A637" s="23"/>
      <c r="B637" s="23"/>
      <c r="C637" s="23"/>
      <c r="D637" s="23"/>
    </row>
    <row r="638" ht="15.75" customHeight="1">
      <c r="A638" s="23"/>
      <c r="B638" s="23"/>
      <c r="C638" s="23"/>
      <c r="D638" s="23"/>
    </row>
    <row r="639" ht="15.75" customHeight="1">
      <c r="A639" s="23"/>
      <c r="B639" s="23"/>
      <c r="C639" s="23"/>
      <c r="D639" s="23"/>
    </row>
    <row r="640" ht="15.75" customHeight="1">
      <c r="A640" s="23"/>
      <c r="B640" s="23"/>
      <c r="C640" s="23"/>
      <c r="D640" s="23"/>
    </row>
    <row r="641" ht="15.75" customHeight="1">
      <c r="A641" s="23"/>
      <c r="B641" s="23"/>
      <c r="C641" s="23"/>
      <c r="D641" s="23"/>
    </row>
    <row r="642" ht="15.75" customHeight="1">
      <c r="A642" s="23"/>
      <c r="B642" s="23"/>
      <c r="C642" s="23"/>
      <c r="D642" s="23"/>
    </row>
    <row r="643" ht="15.75" customHeight="1">
      <c r="A643" s="23"/>
      <c r="B643" s="23"/>
      <c r="C643" s="23"/>
      <c r="D643" s="23"/>
    </row>
    <row r="644" ht="15.75" customHeight="1">
      <c r="A644" s="23"/>
      <c r="B644" s="23"/>
      <c r="C644" s="23"/>
      <c r="D644" s="23"/>
    </row>
    <row r="645" ht="15.75" customHeight="1">
      <c r="A645" s="23"/>
      <c r="B645" s="23"/>
      <c r="C645" s="23"/>
      <c r="D645" s="23"/>
    </row>
    <row r="646" ht="15.75" customHeight="1">
      <c r="A646" s="23"/>
      <c r="B646" s="23"/>
      <c r="C646" s="23"/>
      <c r="D646" s="23"/>
    </row>
    <row r="647" ht="15.75" customHeight="1">
      <c r="A647" s="23"/>
      <c r="B647" s="23"/>
      <c r="C647" s="23"/>
      <c r="D647" s="23"/>
    </row>
    <row r="648" ht="15.75" customHeight="1">
      <c r="A648" s="23"/>
      <c r="B648" s="23"/>
      <c r="C648" s="23"/>
      <c r="D648" s="23"/>
    </row>
    <row r="649" ht="15.75" customHeight="1">
      <c r="A649" s="23"/>
      <c r="B649" s="23"/>
      <c r="C649" s="23"/>
      <c r="D649" s="23"/>
    </row>
    <row r="650" ht="15.75" customHeight="1">
      <c r="A650" s="23"/>
      <c r="B650" s="23"/>
      <c r="C650" s="23"/>
      <c r="D650" s="23"/>
    </row>
    <row r="651" ht="15.75" customHeight="1">
      <c r="A651" s="23"/>
      <c r="B651" s="23"/>
      <c r="C651" s="23"/>
      <c r="D651" s="23"/>
    </row>
    <row r="652" ht="15.75" customHeight="1">
      <c r="A652" s="23"/>
      <c r="B652" s="23"/>
      <c r="C652" s="23"/>
      <c r="D652" s="23"/>
    </row>
    <row r="653" ht="15.75" customHeight="1">
      <c r="A653" s="23"/>
      <c r="B653" s="23"/>
      <c r="C653" s="23"/>
      <c r="D653" s="23"/>
    </row>
    <row r="654" ht="15.75" customHeight="1">
      <c r="A654" s="23"/>
      <c r="B654" s="23"/>
      <c r="C654" s="23"/>
      <c r="D654" s="23"/>
    </row>
    <row r="655" ht="15.75" customHeight="1">
      <c r="A655" s="23"/>
      <c r="B655" s="23"/>
      <c r="C655" s="23"/>
      <c r="D655" s="23"/>
    </row>
    <row r="656" ht="15.75" customHeight="1">
      <c r="A656" s="23"/>
      <c r="B656" s="23"/>
      <c r="C656" s="23"/>
      <c r="D656" s="23"/>
    </row>
    <row r="657" ht="15.75" customHeight="1">
      <c r="A657" s="23"/>
      <c r="B657" s="23"/>
      <c r="C657" s="23"/>
      <c r="D657" s="23"/>
    </row>
    <row r="658" ht="15.75" customHeight="1">
      <c r="A658" s="23"/>
      <c r="B658" s="23"/>
      <c r="C658" s="23"/>
      <c r="D658" s="23"/>
    </row>
    <row r="659" ht="15.75" customHeight="1">
      <c r="A659" s="23"/>
      <c r="B659" s="23"/>
      <c r="C659" s="23"/>
      <c r="D659" s="23"/>
    </row>
    <row r="660" ht="15.75" customHeight="1">
      <c r="A660" s="23"/>
      <c r="B660" s="23"/>
      <c r="C660" s="23"/>
      <c r="D660" s="23"/>
    </row>
    <row r="661" ht="15.75" customHeight="1">
      <c r="A661" s="23"/>
      <c r="B661" s="23"/>
      <c r="C661" s="23"/>
      <c r="D661" s="23"/>
    </row>
    <row r="662" ht="15.75" customHeight="1">
      <c r="A662" s="23"/>
      <c r="B662" s="23"/>
      <c r="C662" s="23"/>
      <c r="D662" s="23"/>
    </row>
    <row r="663" ht="15.75" customHeight="1">
      <c r="A663" s="23"/>
      <c r="B663" s="23"/>
      <c r="C663" s="23"/>
      <c r="D663" s="23"/>
    </row>
    <row r="664" ht="15.75" customHeight="1">
      <c r="A664" s="23"/>
      <c r="B664" s="23"/>
      <c r="C664" s="23"/>
      <c r="D664" s="23"/>
    </row>
    <row r="665" ht="15.75" customHeight="1">
      <c r="A665" s="23"/>
      <c r="B665" s="23"/>
      <c r="C665" s="23"/>
      <c r="D665" s="23"/>
    </row>
    <row r="666" ht="15.75" customHeight="1">
      <c r="A666" s="23"/>
      <c r="B666" s="23"/>
      <c r="C666" s="23"/>
      <c r="D666" s="23"/>
    </row>
    <row r="667" ht="15.75" customHeight="1">
      <c r="A667" s="23"/>
      <c r="B667" s="23"/>
      <c r="C667" s="23"/>
      <c r="D667" s="23"/>
    </row>
    <row r="668" ht="15.75" customHeight="1">
      <c r="A668" s="23"/>
      <c r="B668" s="23"/>
      <c r="C668" s="23"/>
      <c r="D668" s="23"/>
    </row>
    <row r="669" ht="15.75" customHeight="1">
      <c r="A669" s="23"/>
      <c r="B669" s="23"/>
      <c r="C669" s="23"/>
      <c r="D669" s="23"/>
    </row>
    <row r="670" ht="15.75" customHeight="1">
      <c r="A670" s="23"/>
      <c r="B670" s="23"/>
      <c r="C670" s="23"/>
      <c r="D670" s="23"/>
    </row>
    <row r="671" ht="15.75" customHeight="1">
      <c r="A671" s="23"/>
      <c r="B671" s="23"/>
      <c r="C671" s="23"/>
      <c r="D671" s="23"/>
    </row>
    <row r="672" ht="15.75" customHeight="1">
      <c r="A672" s="23"/>
      <c r="B672" s="23"/>
      <c r="C672" s="23"/>
      <c r="D672" s="23"/>
    </row>
    <row r="673" ht="15.75" customHeight="1">
      <c r="A673" s="23"/>
      <c r="B673" s="23"/>
      <c r="C673" s="23"/>
      <c r="D673" s="23"/>
    </row>
    <row r="674" ht="15.75" customHeight="1">
      <c r="A674" s="23"/>
      <c r="B674" s="23"/>
      <c r="C674" s="23"/>
      <c r="D674" s="23"/>
    </row>
    <row r="675" ht="15.75" customHeight="1">
      <c r="A675" s="23"/>
      <c r="B675" s="23"/>
      <c r="C675" s="23"/>
      <c r="D675" s="23"/>
    </row>
    <row r="676" ht="15.75" customHeight="1">
      <c r="A676" s="23"/>
      <c r="B676" s="23"/>
      <c r="C676" s="23"/>
      <c r="D676" s="23"/>
    </row>
    <row r="677" ht="15.75" customHeight="1">
      <c r="A677" s="23"/>
      <c r="B677" s="23"/>
      <c r="C677" s="23"/>
      <c r="D677" s="23"/>
    </row>
    <row r="678" ht="15.75" customHeight="1">
      <c r="A678" s="23"/>
      <c r="B678" s="23"/>
      <c r="C678" s="23"/>
      <c r="D678" s="23"/>
    </row>
    <row r="679" ht="15.75" customHeight="1">
      <c r="A679" s="23"/>
      <c r="B679" s="23"/>
      <c r="C679" s="23"/>
      <c r="D679" s="23"/>
    </row>
    <row r="680" ht="15.75" customHeight="1">
      <c r="A680" s="23"/>
      <c r="B680" s="23"/>
      <c r="C680" s="23"/>
      <c r="D680" s="23"/>
    </row>
    <row r="681" ht="15.75" customHeight="1">
      <c r="A681" s="23"/>
      <c r="B681" s="23"/>
      <c r="C681" s="23"/>
      <c r="D681" s="23"/>
    </row>
    <row r="682" ht="15.75" customHeight="1">
      <c r="A682" s="23"/>
      <c r="B682" s="23"/>
      <c r="C682" s="23"/>
      <c r="D682" s="23"/>
    </row>
    <row r="683" ht="15.75" customHeight="1">
      <c r="A683" s="23"/>
      <c r="B683" s="23"/>
      <c r="C683" s="23"/>
      <c r="D683" s="23"/>
    </row>
    <row r="684" ht="15.75" customHeight="1">
      <c r="A684" s="23"/>
      <c r="B684" s="23"/>
      <c r="C684" s="23"/>
      <c r="D684" s="23"/>
    </row>
    <row r="685" ht="15.75" customHeight="1">
      <c r="A685" s="23"/>
      <c r="B685" s="23"/>
      <c r="C685" s="23"/>
      <c r="D685" s="23"/>
    </row>
    <row r="686" ht="15.75" customHeight="1">
      <c r="A686" s="23"/>
      <c r="B686" s="23"/>
      <c r="C686" s="23"/>
      <c r="D686" s="23"/>
    </row>
    <row r="687" ht="15.75" customHeight="1">
      <c r="A687" s="23"/>
      <c r="B687" s="23"/>
      <c r="C687" s="23"/>
      <c r="D687" s="23"/>
    </row>
    <row r="688" ht="15.75" customHeight="1">
      <c r="A688" s="23"/>
      <c r="B688" s="23"/>
      <c r="C688" s="23"/>
      <c r="D688" s="23"/>
    </row>
    <row r="689" ht="15.75" customHeight="1">
      <c r="A689" s="23"/>
      <c r="B689" s="23"/>
      <c r="C689" s="23"/>
      <c r="D689" s="23"/>
    </row>
    <row r="690" ht="15.75" customHeight="1">
      <c r="A690" s="23"/>
      <c r="B690" s="23"/>
      <c r="C690" s="23"/>
      <c r="D690" s="23"/>
    </row>
    <row r="691" ht="15.75" customHeight="1">
      <c r="A691" s="23"/>
      <c r="B691" s="23"/>
      <c r="C691" s="23"/>
      <c r="D691" s="23"/>
    </row>
    <row r="692" ht="15.75" customHeight="1">
      <c r="A692" s="23"/>
      <c r="B692" s="23"/>
      <c r="C692" s="23"/>
      <c r="D692" s="23"/>
    </row>
    <row r="693" ht="15.75" customHeight="1">
      <c r="A693" s="23"/>
      <c r="B693" s="23"/>
      <c r="C693" s="23"/>
      <c r="D693" s="23"/>
    </row>
    <row r="694" ht="15.75" customHeight="1">
      <c r="A694" s="23"/>
      <c r="B694" s="23"/>
      <c r="C694" s="23"/>
      <c r="D694" s="23"/>
    </row>
    <row r="695" ht="15.75" customHeight="1">
      <c r="A695" s="23"/>
      <c r="B695" s="23"/>
      <c r="C695" s="23"/>
      <c r="D695" s="23"/>
    </row>
    <row r="696" ht="15.75" customHeight="1">
      <c r="A696" s="23"/>
      <c r="B696" s="23"/>
      <c r="C696" s="23"/>
      <c r="D696" s="23"/>
    </row>
    <row r="697" ht="15.75" customHeight="1">
      <c r="A697" s="23"/>
      <c r="B697" s="23"/>
      <c r="C697" s="23"/>
      <c r="D697" s="23"/>
    </row>
    <row r="698" ht="15.75" customHeight="1">
      <c r="A698" s="23"/>
      <c r="B698" s="23"/>
      <c r="C698" s="23"/>
      <c r="D698" s="23"/>
    </row>
    <row r="699" ht="15.75" customHeight="1">
      <c r="A699" s="23"/>
      <c r="B699" s="23"/>
      <c r="C699" s="23"/>
      <c r="D699" s="23"/>
    </row>
    <row r="700" ht="15.75" customHeight="1">
      <c r="A700" s="23"/>
      <c r="B700" s="23"/>
      <c r="C700" s="23"/>
      <c r="D700" s="23"/>
    </row>
    <row r="701" ht="15.75" customHeight="1">
      <c r="A701" s="23"/>
      <c r="B701" s="23"/>
      <c r="C701" s="23"/>
      <c r="D701" s="23"/>
    </row>
    <row r="702" ht="15.75" customHeight="1">
      <c r="A702" s="23"/>
      <c r="B702" s="23"/>
      <c r="C702" s="23"/>
      <c r="D702" s="23"/>
    </row>
    <row r="703" ht="15.75" customHeight="1">
      <c r="A703" s="23"/>
      <c r="B703" s="23"/>
      <c r="C703" s="23"/>
      <c r="D703" s="23"/>
    </row>
    <row r="704" ht="15.75" customHeight="1">
      <c r="A704" s="23"/>
      <c r="B704" s="23"/>
      <c r="C704" s="23"/>
      <c r="D704" s="23"/>
    </row>
    <row r="705" ht="15.75" customHeight="1">
      <c r="A705" s="23"/>
      <c r="B705" s="23"/>
      <c r="C705" s="23"/>
      <c r="D705" s="23"/>
    </row>
    <row r="706" ht="15.75" customHeight="1">
      <c r="A706" s="23"/>
      <c r="B706" s="23"/>
      <c r="C706" s="23"/>
      <c r="D706" s="23"/>
    </row>
    <row r="707" ht="15.75" customHeight="1">
      <c r="A707" s="23"/>
      <c r="B707" s="23"/>
      <c r="C707" s="23"/>
      <c r="D707" s="23"/>
    </row>
    <row r="708" ht="15.75" customHeight="1">
      <c r="A708" s="23"/>
      <c r="B708" s="23"/>
      <c r="C708" s="23"/>
      <c r="D708" s="23"/>
    </row>
    <row r="709" ht="15.75" customHeight="1">
      <c r="A709" s="23"/>
      <c r="B709" s="23"/>
      <c r="C709" s="23"/>
      <c r="D709" s="23"/>
    </row>
    <row r="710" ht="15.75" customHeight="1">
      <c r="A710" s="23"/>
      <c r="B710" s="23"/>
      <c r="C710" s="23"/>
      <c r="D710" s="23"/>
    </row>
    <row r="711" ht="15.75" customHeight="1">
      <c r="A711" s="23"/>
      <c r="B711" s="23"/>
      <c r="C711" s="23"/>
      <c r="D711" s="23"/>
    </row>
    <row r="712" ht="15.75" customHeight="1">
      <c r="A712" s="23"/>
      <c r="B712" s="23"/>
      <c r="C712" s="23"/>
      <c r="D712" s="23"/>
    </row>
    <row r="713" ht="15.75" customHeight="1">
      <c r="A713" s="23"/>
      <c r="B713" s="23"/>
      <c r="C713" s="23"/>
      <c r="D713" s="23"/>
    </row>
    <row r="714" ht="15.75" customHeight="1">
      <c r="A714" s="23"/>
      <c r="B714" s="23"/>
      <c r="C714" s="23"/>
      <c r="D714" s="23"/>
    </row>
    <row r="715" ht="15.75" customHeight="1">
      <c r="A715" s="23"/>
      <c r="B715" s="23"/>
      <c r="C715" s="23"/>
      <c r="D715" s="23"/>
    </row>
    <row r="716" ht="15.75" customHeight="1">
      <c r="A716" s="23"/>
      <c r="B716" s="23"/>
      <c r="C716" s="23"/>
      <c r="D716" s="23"/>
    </row>
    <row r="717" ht="15.75" customHeight="1">
      <c r="A717" s="23"/>
      <c r="B717" s="23"/>
      <c r="C717" s="23"/>
      <c r="D717" s="23"/>
    </row>
    <row r="718" ht="15.75" customHeight="1">
      <c r="A718" s="23"/>
      <c r="B718" s="23"/>
      <c r="C718" s="23"/>
      <c r="D718" s="23"/>
    </row>
    <row r="719" ht="15.75" customHeight="1">
      <c r="A719" s="23"/>
      <c r="B719" s="23"/>
      <c r="C719" s="23"/>
      <c r="D719" s="23"/>
    </row>
    <row r="720" ht="15.75" customHeight="1">
      <c r="A720" s="23"/>
      <c r="B720" s="23"/>
      <c r="C720" s="23"/>
      <c r="D720" s="23"/>
    </row>
    <row r="721" ht="15.75" customHeight="1">
      <c r="A721" s="23"/>
      <c r="B721" s="23"/>
      <c r="C721" s="23"/>
      <c r="D721" s="23"/>
    </row>
    <row r="722" ht="15.75" customHeight="1">
      <c r="A722" s="23"/>
      <c r="B722" s="23"/>
      <c r="C722" s="23"/>
      <c r="D722" s="23"/>
    </row>
    <row r="723" ht="15.75" customHeight="1">
      <c r="A723" s="23"/>
      <c r="B723" s="23"/>
      <c r="C723" s="23"/>
      <c r="D723" s="23"/>
    </row>
    <row r="724" ht="15.75" customHeight="1">
      <c r="A724" s="23"/>
      <c r="B724" s="23"/>
      <c r="C724" s="23"/>
      <c r="D724" s="23"/>
    </row>
    <row r="725" ht="15.75" customHeight="1">
      <c r="A725" s="23"/>
      <c r="B725" s="23"/>
      <c r="C725" s="23"/>
      <c r="D725" s="23"/>
    </row>
    <row r="726" ht="15.75" customHeight="1">
      <c r="A726" s="23"/>
      <c r="B726" s="23"/>
      <c r="C726" s="23"/>
      <c r="D726" s="23"/>
    </row>
    <row r="727" ht="15.75" customHeight="1">
      <c r="A727" s="23"/>
      <c r="B727" s="23"/>
      <c r="C727" s="23"/>
      <c r="D727" s="23"/>
    </row>
    <row r="728" ht="15.75" customHeight="1">
      <c r="A728" s="23"/>
      <c r="B728" s="23"/>
      <c r="C728" s="23"/>
      <c r="D728" s="23"/>
    </row>
    <row r="729" ht="15.75" customHeight="1">
      <c r="A729" s="23"/>
      <c r="B729" s="23"/>
      <c r="C729" s="23"/>
      <c r="D729" s="23"/>
    </row>
    <row r="730" ht="15.75" customHeight="1">
      <c r="A730" s="23"/>
      <c r="B730" s="23"/>
      <c r="C730" s="23"/>
      <c r="D730" s="23"/>
    </row>
    <row r="731" ht="15.75" customHeight="1">
      <c r="A731" s="23"/>
      <c r="B731" s="23"/>
      <c r="C731" s="23"/>
      <c r="D731" s="23"/>
    </row>
    <row r="732" ht="15.75" customHeight="1">
      <c r="A732" s="23"/>
      <c r="B732" s="23"/>
      <c r="C732" s="23"/>
      <c r="D732" s="23"/>
    </row>
    <row r="733" ht="15.75" customHeight="1">
      <c r="A733" s="23"/>
      <c r="B733" s="23"/>
      <c r="C733" s="23"/>
      <c r="D733" s="23"/>
    </row>
    <row r="734" ht="15.75" customHeight="1">
      <c r="A734" s="23"/>
      <c r="B734" s="23"/>
      <c r="C734" s="23"/>
      <c r="D734" s="23"/>
    </row>
    <row r="735" ht="15.75" customHeight="1">
      <c r="A735" s="23"/>
      <c r="B735" s="23"/>
      <c r="C735" s="23"/>
      <c r="D735" s="23"/>
    </row>
    <row r="736" ht="15.75" customHeight="1">
      <c r="A736" s="23"/>
      <c r="B736" s="23"/>
      <c r="C736" s="23"/>
      <c r="D736" s="23"/>
    </row>
    <row r="737" ht="15.75" customHeight="1">
      <c r="A737" s="23"/>
      <c r="B737" s="23"/>
      <c r="C737" s="23"/>
      <c r="D737" s="23"/>
    </row>
    <row r="738" ht="15.75" customHeight="1">
      <c r="A738" s="23"/>
      <c r="B738" s="23"/>
      <c r="C738" s="23"/>
      <c r="D738" s="23"/>
    </row>
    <row r="739" ht="15.75" customHeight="1">
      <c r="A739" s="23"/>
      <c r="B739" s="23"/>
      <c r="C739" s="23"/>
      <c r="D739" s="23"/>
    </row>
    <row r="740" ht="15.75" customHeight="1">
      <c r="A740" s="23"/>
      <c r="B740" s="23"/>
      <c r="C740" s="23"/>
      <c r="D740" s="23"/>
    </row>
    <row r="741" ht="15.75" customHeight="1">
      <c r="A741" s="23"/>
      <c r="B741" s="23"/>
      <c r="C741" s="23"/>
      <c r="D741" s="23"/>
    </row>
    <row r="742" ht="15.75" customHeight="1">
      <c r="A742" s="23"/>
      <c r="B742" s="23"/>
      <c r="C742" s="23"/>
      <c r="D742" s="23"/>
    </row>
    <row r="743" ht="15.75" customHeight="1">
      <c r="A743" s="23"/>
      <c r="B743" s="23"/>
      <c r="C743" s="23"/>
      <c r="D743" s="23"/>
    </row>
    <row r="744" ht="15.75" customHeight="1">
      <c r="A744" s="23"/>
      <c r="B744" s="23"/>
      <c r="C744" s="23"/>
      <c r="D744" s="23"/>
    </row>
    <row r="745" ht="15.75" customHeight="1">
      <c r="A745" s="23"/>
      <c r="B745" s="23"/>
      <c r="C745" s="23"/>
      <c r="D745" s="23"/>
    </row>
    <row r="746" ht="15.75" customHeight="1">
      <c r="A746" s="23"/>
      <c r="B746" s="23"/>
      <c r="C746" s="23"/>
      <c r="D746" s="23"/>
    </row>
    <row r="747" ht="15.75" customHeight="1">
      <c r="A747" s="23"/>
      <c r="B747" s="23"/>
      <c r="C747" s="23"/>
      <c r="D747" s="23"/>
    </row>
    <row r="748" ht="15.75" customHeight="1">
      <c r="A748" s="23"/>
      <c r="B748" s="23"/>
      <c r="C748" s="23"/>
      <c r="D748" s="23"/>
    </row>
    <row r="749" ht="15.75" customHeight="1">
      <c r="A749" s="23"/>
      <c r="B749" s="23"/>
      <c r="C749" s="23"/>
      <c r="D749" s="23"/>
    </row>
    <row r="750" ht="15.75" customHeight="1">
      <c r="A750" s="23"/>
      <c r="B750" s="23"/>
      <c r="C750" s="23"/>
      <c r="D750" s="23"/>
    </row>
    <row r="751" ht="15.75" customHeight="1">
      <c r="A751" s="23"/>
      <c r="B751" s="23"/>
      <c r="C751" s="23"/>
      <c r="D751" s="23"/>
    </row>
    <row r="752" ht="15.75" customHeight="1">
      <c r="A752" s="23"/>
      <c r="B752" s="23"/>
      <c r="C752" s="23"/>
      <c r="D752" s="23"/>
    </row>
    <row r="753" ht="15.75" customHeight="1">
      <c r="A753" s="23"/>
      <c r="B753" s="23"/>
      <c r="C753" s="23"/>
      <c r="D753" s="23"/>
    </row>
    <row r="754" ht="15.75" customHeight="1">
      <c r="A754" s="23"/>
      <c r="B754" s="23"/>
      <c r="C754" s="23"/>
      <c r="D754" s="23"/>
    </row>
    <row r="755" ht="15.75" customHeight="1">
      <c r="A755" s="23"/>
      <c r="B755" s="23"/>
      <c r="C755" s="23"/>
      <c r="D755" s="23"/>
    </row>
    <row r="756" ht="15.75" customHeight="1">
      <c r="A756" s="23"/>
      <c r="B756" s="23"/>
      <c r="C756" s="23"/>
      <c r="D756" s="23"/>
    </row>
    <row r="757" ht="15.75" customHeight="1">
      <c r="A757" s="23"/>
      <c r="B757" s="23"/>
      <c r="C757" s="23"/>
      <c r="D757" s="23"/>
    </row>
    <row r="758" ht="15.75" customHeight="1">
      <c r="A758" s="23"/>
      <c r="B758" s="23"/>
      <c r="C758" s="23"/>
      <c r="D758" s="23"/>
    </row>
    <row r="759" ht="15.75" customHeight="1">
      <c r="A759" s="23"/>
      <c r="B759" s="23"/>
      <c r="C759" s="23"/>
      <c r="D759" s="23"/>
    </row>
    <row r="760" ht="15.75" customHeight="1">
      <c r="A760" s="23"/>
      <c r="B760" s="23"/>
      <c r="C760" s="23"/>
      <c r="D760" s="23"/>
    </row>
    <row r="761" ht="15.75" customHeight="1">
      <c r="A761" s="23"/>
      <c r="B761" s="23"/>
      <c r="C761" s="23"/>
      <c r="D761" s="23"/>
    </row>
    <row r="762" ht="15.75" customHeight="1">
      <c r="A762" s="23"/>
      <c r="B762" s="23"/>
      <c r="C762" s="23"/>
      <c r="D762" s="23"/>
    </row>
    <row r="763" ht="15.75" customHeight="1">
      <c r="A763" s="23"/>
      <c r="B763" s="23"/>
      <c r="C763" s="23"/>
      <c r="D763" s="23"/>
    </row>
    <row r="764" ht="15.75" customHeight="1">
      <c r="A764" s="23"/>
      <c r="B764" s="23"/>
      <c r="C764" s="23"/>
      <c r="D764" s="23"/>
    </row>
    <row r="765" ht="15.75" customHeight="1">
      <c r="A765" s="23"/>
      <c r="B765" s="23"/>
      <c r="C765" s="23"/>
      <c r="D765" s="23"/>
    </row>
    <row r="766" ht="15.75" customHeight="1">
      <c r="A766" s="23"/>
      <c r="B766" s="23"/>
      <c r="C766" s="23"/>
      <c r="D766" s="23"/>
    </row>
    <row r="767" ht="15.75" customHeight="1">
      <c r="A767" s="23"/>
      <c r="B767" s="23"/>
      <c r="C767" s="23"/>
      <c r="D767" s="23"/>
    </row>
    <row r="768" ht="15.75" customHeight="1">
      <c r="A768" s="23"/>
      <c r="B768" s="23"/>
      <c r="C768" s="23"/>
      <c r="D768" s="23"/>
    </row>
    <row r="769" ht="15.75" customHeight="1">
      <c r="A769" s="23"/>
      <c r="B769" s="23"/>
      <c r="C769" s="23"/>
      <c r="D769" s="23"/>
    </row>
    <row r="770" ht="15.75" customHeight="1">
      <c r="A770" s="23"/>
      <c r="B770" s="23"/>
      <c r="C770" s="23"/>
      <c r="D770" s="23"/>
    </row>
    <row r="771" ht="15.75" customHeight="1">
      <c r="A771" s="23"/>
      <c r="B771" s="23"/>
      <c r="C771" s="23"/>
      <c r="D771" s="23"/>
    </row>
    <row r="772" ht="15.75" customHeight="1">
      <c r="A772" s="23"/>
      <c r="B772" s="23"/>
      <c r="C772" s="23"/>
      <c r="D772" s="23"/>
    </row>
    <row r="773" ht="15.75" customHeight="1">
      <c r="A773" s="23"/>
      <c r="B773" s="23"/>
      <c r="C773" s="23"/>
      <c r="D773" s="23"/>
    </row>
    <row r="774" ht="15.75" customHeight="1">
      <c r="A774" s="23"/>
      <c r="B774" s="23"/>
      <c r="C774" s="23"/>
      <c r="D774" s="23"/>
    </row>
    <row r="775" ht="15.75" customHeight="1">
      <c r="A775" s="23"/>
      <c r="B775" s="23"/>
      <c r="C775" s="23"/>
      <c r="D775" s="23"/>
    </row>
    <row r="776" ht="15.75" customHeight="1">
      <c r="A776" s="23"/>
      <c r="B776" s="23"/>
      <c r="C776" s="23"/>
      <c r="D776" s="23"/>
    </row>
    <row r="777" ht="15.75" customHeight="1">
      <c r="A777" s="23"/>
      <c r="B777" s="23"/>
      <c r="C777" s="23"/>
      <c r="D777" s="23"/>
    </row>
    <row r="778" ht="15.75" customHeight="1">
      <c r="A778" s="23"/>
      <c r="B778" s="23"/>
      <c r="C778" s="23"/>
      <c r="D778" s="23"/>
    </row>
    <row r="779" ht="15.75" customHeight="1">
      <c r="A779" s="23"/>
      <c r="B779" s="23"/>
      <c r="C779" s="23"/>
      <c r="D779" s="23"/>
    </row>
    <row r="780" ht="15.75" customHeight="1">
      <c r="A780" s="23"/>
      <c r="B780" s="23"/>
      <c r="C780" s="23"/>
      <c r="D780" s="23"/>
    </row>
    <row r="781" ht="15.75" customHeight="1">
      <c r="A781" s="23"/>
      <c r="B781" s="23"/>
      <c r="C781" s="23"/>
      <c r="D781" s="23"/>
    </row>
    <row r="782" ht="15.75" customHeight="1">
      <c r="A782" s="23"/>
      <c r="B782" s="23"/>
      <c r="C782" s="23"/>
      <c r="D782" s="23"/>
    </row>
    <row r="783" ht="15.75" customHeight="1">
      <c r="A783" s="23"/>
      <c r="B783" s="23"/>
      <c r="C783" s="23"/>
      <c r="D783" s="23"/>
    </row>
    <row r="784" ht="15.75" customHeight="1">
      <c r="A784" s="23"/>
      <c r="B784" s="23"/>
      <c r="C784" s="23"/>
      <c r="D784" s="23"/>
    </row>
    <row r="785" ht="15.75" customHeight="1">
      <c r="A785" s="23"/>
      <c r="B785" s="23"/>
      <c r="C785" s="23"/>
      <c r="D785" s="23"/>
    </row>
    <row r="786" ht="15.75" customHeight="1">
      <c r="A786" s="23"/>
      <c r="B786" s="23"/>
      <c r="C786" s="23"/>
      <c r="D786" s="23"/>
    </row>
    <row r="787" ht="15.75" customHeight="1">
      <c r="A787" s="23"/>
      <c r="B787" s="23"/>
      <c r="C787" s="23"/>
      <c r="D787" s="23"/>
    </row>
    <row r="788" ht="15.75" customHeight="1">
      <c r="A788" s="23"/>
      <c r="B788" s="23"/>
      <c r="C788" s="23"/>
      <c r="D788" s="23"/>
    </row>
    <row r="789" ht="15.75" customHeight="1">
      <c r="A789" s="23"/>
      <c r="B789" s="23"/>
      <c r="C789" s="23"/>
      <c r="D789" s="23"/>
    </row>
    <row r="790" ht="15.75" customHeight="1">
      <c r="A790" s="23"/>
      <c r="B790" s="23"/>
      <c r="C790" s="23"/>
      <c r="D790" s="23"/>
    </row>
    <row r="791" ht="15.75" customHeight="1">
      <c r="A791" s="23"/>
      <c r="B791" s="23"/>
      <c r="C791" s="23"/>
      <c r="D791" s="23"/>
    </row>
    <row r="792" ht="15.75" customHeight="1">
      <c r="A792" s="23"/>
      <c r="B792" s="23"/>
      <c r="C792" s="23"/>
      <c r="D792" s="23"/>
    </row>
    <row r="793" ht="15.75" customHeight="1">
      <c r="A793" s="23"/>
      <c r="B793" s="23"/>
      <c r="C793" s="23"/>
      <c r="D793" s="23"/>
    </row>
    <row r="794" ht="15.75" customHeight="1">
      <c r="A794" s="23"/>
      <c r="B794" s="23"/>
      <c r="C794" s="23"/>
      <c r="D794" s="23"/>
    </row>
    <row r="795" ht="15.75" customHeight="1">
      <c r="A795" s="23"/>
      <c r="B795" s="23"/>
      <c r="C795" s="23"/>
      <c r="D795" s="23"/>
    </row>
    <row r="796" ht="15.75" customHeight="1">
      <c r="A796" s="23"/>
      <c r="B796" s="23"/>
      <c r="C796" s="23"/>
      <c r="D796" s="23"/>
    </row>
    <row r="797" ht="15.75" customHeight="1">
      <c r="A797" s="23"/>
      <c r="B797" s="23"/>
      <c r="C797" s="23"/>
      <c r="D797" s="23"/>
    </row>
    <row r="798" ht="15.75" customHeight="1">
      <c r="A798" s="23"/>
      <c r="B798" s="23"/>
      <c r="C798" s="23"/>
      <c r="D798" s="23"/>
    </row>
    <row r="799" ht="15.75" customHeight="1">
      <c r="A799" s="23"/>
      <c r="B799" s="23"/>
      <c r="C799" s="23"/>
      <c r="D799" s="23"/>
    </row>
    <row r="800" ht="15.75" customHeight="1">
      <c r="A800" s="23"/>
      <c r="B800" s="23"/>
      <c r="C800" s="23"/>
      <c r="D800" s="23"/>
    </row>
    <row r="801" ht="15.75" customHeight="1">
      <c r="A801" s="23"/>
      <c r="B801" s="23"/>
      <c r="C801" s="23"/>
      <c r="D801" s="23"/>
    </row>
    <row r="802" ht="15.75" customHeight="1">
      <c r="A802" s="23"/>
      <c r="B802" s="23"/>
      <c r="C802" s="23"/>
      <c r="D802" s="23"/>
    </row>
    <row r="803" ht="15.75" customHeight="1">
      <c r="A803" s="23"/>
      <c r="B803" s="23"/>
      <c r="C803" s="23"/>
      <c r="D803" s="23"/>
    </row>
    <row r="804" ht="15.75" customHeight="1">
      <c r="A804" s="23"/>
      <c r="B804" s="23"/>
      <c r="C804" s="23"/>
      <c r="D804" s="23"/>
    </row>
    <row r="805" ht="15.75" customHeight="1">
      <c r="A805" s="23"/>
      <c r="B805" s="23"/>
      <c r="C805" s="23"/>
      <c r="D805" s="23"/>
    </row>
    <row r="806" ht="15.75" customHeight="1">
      <c r="A806" s="23"/>
      <c r="B806" s="23"/>
      <c r="C806" s="23"/>
      <c r="D806" s="23"/>
    </row>
    <row r="807" ht="15.75" customHeight="1">
      <c r="A807" s="23"/>
      <c r="B807" s="23"/>
      <c r="C807" s="23"/>
      <c r="D807" s="23"/>
    </row>
    <row r="808" ht="15.75" customHeight="1">
      <c r="A808" s="23"/>
      <c r="B808" s="23"/>
      <c r="C808" s="23"/>
      <c r="D808" s="23"/>
    </row>
    <row r="809" ht="15.75" customHeight="1">
      <c r="A809" s="23"/>
      <c r="B809" s="23"/>
      <c r="C809" s="23"/>
      <c r="D809" s="23"/>
    </row>
    <row r="810" ht="15.75" customHeight="1">
      <c r="A810" s="23"/>
      <c r="B810" s="23"/>
      <c r="C810" s="23"/>
      <c r="D810" s="23"/>
    </row>
    <row r="811" ht="15.75" customHeight="1">
      <c r="A811" s="23"/>
      <c r="B811" s="23"/>
      <c r="C811" s="23"/>
      <c r="D811" s="23"/>
    </row>
    <row r="812" ht="15.75" customHeight="1">
      <c r="A812" s="23"/>
      <c r="B812" s="23"/>
      <c r="C812" s="23"/>
      <c r="D812" s="23"/>
    </row>
    <row r="813" ht="15.75" customHeight="1">
      <c r="A813" s="23"/>
      <c r="B813" s="23"/>
      <c r="C813" s="23"/>
      <c r="D813" s="23"/>
    </row>
    <row r="814" ht="15.75" customHeight="1">
      <c r="A814" s="23"/>
      <c r="B814" s="23"/>
      <c r="C814" s="23"/>
      <c r="D814" s="23"/>
    </row>
    <row r="815" ht="15.75" customHeight="1">
      <c r="A815" s="23"/>
      <c r="B815" s="23"/>
      <c r="C815" s="23"/>
      <c r="D815" s="23"/>
    </row>
    <row r="816" ht="15.75" customHeight="1">
      <c r="A816" s="23"/>
      <c r="B816" s="23"/>
      <c r="C816" s="23"/>
      <c r="D816" s="23"/>
    </row>
    <row r="817" ht="15.75" customHeight="1">
      <c r="A817" s="23"/>
      <c r="B817" s="23"/>
      <c r="C817" s="23"/>
      <c r="D817" s="23"/>
    </row>
    <row r="818" ht="15.75" customHeight="1">
      <c r="A818" s="23"/>
      <c r="B818" s="23"/>
      <c r="C818" s="23"/>
      <c r="D818" s="23"/>
    </row>
    <row r="819" ht="15.75" customHeight="1">
      <c r="A819" s="23"/>
      <c r="B819" s="23"/>
      <c r="C819" s="23"/>
      <c r="D819" s="23"/>
    </row>
    <row r="820" ht="15.75" customHeight="1">
      <c r="A820" s="23"/>
      <c r="B820" s="23"/>
      <c r="C820" s="23"/>
      <c r="D820" s="23"/>
    </row>
    <row r="821" ht="15.75" customHeight="1">
      <c r="A821" s="23"/>
      <c r="B821" s="23"/>
      <c r="C821" s="23"/>
      <c r="D821" s="23"/>
    </row>
    <row r="822" ht="15.75" customHeight="1">
      <c r="A822" s="23"/>
      <c r="B822" s="23"/>
      <c r="C822" s="23"/>
      <c r="D822" s="23"/>
    </row>
    <row r="823" ht="15.75" customHeight="1">
      <c r="A823" s="23"/>
      <c r="B823" s="23"/>
      <c r="C823" s="23"/>
      <c r="D823" s="23"/>
    </row>
    <row r="824" ht="15.75" customHeight="1">
      <c r="A824" s="23"/>
      <c r="B824" s="23"/>
      <c r="C824" s="23"/>
      <c r="D824" s="23"/>
    </row>
    <row r="825" ht="15.75" customHeight="1">
      <c r="A825" s="23"/>
      <c r="B825" s="23"/>
      <c r="C825" s="23"/>
      <c r="D825" s="23"/>
    </row>
    <row r="826" ht="15.75" customHeight="1">
      <c r="A826" s="23"/>
      <c r="B826" s="23"/>
      <c r="C826" s="23"/>
      <c r="D826" s="23"/>
    </row>
    <row r="827" ht="15.75" customHeight="1">
      <c r="A827" s="23"/>
      <c r="B827" s="23"/>
      <c r="C827" s="23"/>
      <c r="D827" s="23"/>
    </row>
    <row r="828" ht="15.75" customHeight="1">
      <c r="A828" s="23"/>
      <c r="B828" s="23"/>
      <c r="C828" s="23"/>
      <c r="D828" s="23"/>
    </row>
    <row r="829" ht="15.75" customHeight="1">
      <c r="A829" s="23"/>
      <c r="B829" s="23"/>
      <c r="C829" s="23"/>
      <c r="D829" s="23"/>
    </row>
    <row r="830" ht="15.75" customHeight="1">
      <c r="A830" s="23"/>
      <c r="B830" s="23"/>
      <c r="C830" s="23"/>
      <c r="D830" s="23"/>
    </row>
    <row r="831" ht="15.75" customHeight="1">
      <c r="A831" s="23"/>
      <c r="B831" s="23"/>
      <c r="C831" s="23"/>
      <c r="D831" s="23"/>
    </row>
    <row r="832" ht="15.75" customHeight="1">
      <c r="A832" s="23"/>
      <c r="B832" s="23"/>
      <c r="C832" s="23"/>
      <c r="D832" s="23"/>
    </row>
    <row r="833" ht="15.75" customHeight="1">
      <c r="A833" s="23"/>
      <c r="B833" s="23"/>
      <c r="C833" s="23"/>
      <c r="D833" s="23"/>
    </row>
    <row r="834" ht="15.75" customHeight="1">
      <c r="A834" s="23"/>
      <c r="B834" s="23"/>
      <c r="C834" s="23"/>
      <c r="D834" s="23"/>
    </row>
    <row r="835" ht="15.75" customHeight="1">
      <c r="A835" s="23"/>
      <c r="B835" s="23"/>
      <c r="C835" s="23"/>
      <c r="D835" s="23"/>
    </row>
    <row r="836" ht="15.75" customHeight="1">
      <c r="A836" s="23"/>
      <c r="B836" s="23"/>
      <c r="C836" s="23"/>
      <c r="D836" s="23"/>
    </row>
    <row r="837" ht="15.75" customHeight="1">
      <c r="A837" s="23"/>
      <c r="B837" s="23"/>
      <c r="C837" s="23"/>
      <c r="D837" s="23"/>
    </row>
    <row r="838" ht="15.75" customHeight="1">
      <c r="A838" s="23"/>
      <c r="B838" s="23"/>
      <c r="C838" s="23"/>
      <c r="D838" s="23"/>
    </row>
    <row r="839" ht="15.75" customHeight="1">
      <c r="A839" s="23"/>
      <c r="B839" s="23"/>
      <c r="C839" s="23"/>
      <c r="D839" s="23"/>
    </row>
    <row r="840" ht="15.75" customHeight="1">
      <c r="A840" s="23"/>
      <c r="B840" s="23"/>
      <c r="C840" s="23"/>
      <c r="D840" s="23"/>
    </row>
    <row r="841" ht="15.75" customHeight="1">
      <c r="A841" s="23"/>
      <c r="B841" s="23"/>
      <c r="C841" s="23"/>
      <c r="D841" s="23"/>
    </row>
    <row r="842" ht="15.75" customHeight="1">
      <c r="A842" s="23"/>
      <c r="B842" s="23"/>
      <c r="C842" s="23"/>
      <c r="D842" s="23"/>
    </row>
    <row r="843" ht="15.75" customHeight="1">
      <c r="A843" s="23"/>
      <c r="B843" s="23"/>
      <c r="C843" s="23"/>
      <c r="D843" s="23"/>
    </row>
    <row r="844" ht="15.75" customHeight="1">
      <c r="A844" s="23"/>
      <c r="B844" s="23"/>
      <c r="C844" s="23"/>
      <c r="D844" s="23"/>
    </row>
    <row r="845" ht="15.75" customHeight="1">
      <c r="A845" s="23"/>
      <c r="B845" s="23"/>
      <c r="C845" s="23"/>
      <c r="D845" s="23"/>
    </row>
    <row r="846" ht="15.75" customHeight="1">
      <c r="A846" s="23"/>
      <c r="B846" s="23"/>
      <c r="C846" s="23"/>
      <c r="D846" s="23"/>
    </row>
    <row r="847" ht="15.75" customHeight="1">
      <c r="A847" s="23"/>
      <c r="B847" s="23"/>
      <c r="C847" s="23"/>
      <c r="D847" s="23"/>
    </row>
    <row r="848" ht="15.75" customHeight="1">
      <c r="A848" s="23"/>
      <c r="B848" s="23"/>
      <c r="C848" s="23"/>
      <c r="D848" s="23"/>
    </row>
    <row r="849" ht="15.75" customHeight="1">
      <c r="A849" s="23"/>
      <c r="B849" s="23"/>
      <c r="C849" s="23"/>
      <c r="D849" s="23"/>
    </row>
    <row r="850" ht="15.75" customHeight="1">
      <c r="A850" s="23"/>
      <c r="B850" s="23"/>
      <c r="C850" s="23"/>
      <c r="D850" s="23"/>
    </row>
    <row r="851" ht="15.75" customHeight="1">
      <c r="A851" s="23"/>
      <c r="B851" s="23"/>
      <c r="C851" s="23"/>
      <c r="D851" s="23"/>
    </row>
    <row r="852" ht="15.75" customHeight="1">
      <c r="A852" s="23"/>
      <c r="B852" s="23"/>
      <c r="C852" s="23"/>
      <c r="D852" s="23"/>
    </row>
    <row r="853" ht="15.75" customHeight="1">
      <c r="A853" s="23"/>
      <c r="B853" s="23"/>
      <c r="C853" s="23"/>
      <c r="D853" s="23"/>
    </row>
    <row r="854" ht="15.75" customHeight="1">
      <c r="A854" s="23"/>
      <c r="B854" s="23"/>
      <c r="C854" s="23"/>
      <c r="D854" s="23"/>
    </row>
    <row r="855" ht="15.75" customHeight="1">
      <c r="A855" s="23"/>
      <c r="B855" s="23"/>
      <c r="C855" s="23"/>
      <c r="D855" s="23"/>
    </row>
    <row r="856" ht="15.75" customHeight="1">
      <c r="A856" s="23"/>
      <c r="B856" s="23"/>
      <c r="C856" s="23"/>
      <c r="D856" s="23"/>
    </row>
    <row r="857" ht="15.75" customHeight="1">
      <c r="A857" s="23"/>
      <c r="B857" s="23"/>
      <c r="C857" s="23"/>
      <c r="D857" s="23"/>
    </row>
    <row r="858" ht="15.75" customHeight="1">
      <c r="A858" s="23"/>
      <c r="B858" s="23"/>
      <c r="C858" s="23"/>
      <c r="D858" s="23"/>
    </row>
    <row r="859" ht="15.75" customHeight="1">
      <c r="A859" s="23"/>
      <c r="B859" s="23"/>
      <c r="C859" s="23"/>
      <c r="D859" s="23"/>
    </row>
    <row r="860" ht="15.75" customHeight="1">
      <c r="A860" s="23"/>
      <c r="B860" s="23"/>
      <c r="C860" s="23"/>
      <c r="D860" s="23"/>
    </row>
    <row r="861" ht="15.75" customHeight="1">
      <c r="A861" s="23"/>
      <c r="B861" s="23"/>
      <c r="C861" s="23"/>
      <c r="D861" s="23"/>
    </row>
    <row r="862" ht="15.75" customHeight="1">
      <c r="A862" s="23"/>
      <c r="B862" s="23"/>
      <c r="C862" s="23"/>
      <c r="D862" s="23"/>
    </row>
    <row r="863" ht="15.75" customHeight="1">
      <c r="A863" s="23"/>
      <c r="B863" s="23"/>
      <c r="C863" s="23"/>
      <c r="D863" s="23"/>
    </row>
    <row r="864" ht="15.75" customHeight="1">
      <c r="A864" s="23"/>
      <c r="B864" s="23"/>
      <c r="C864" s="23"/>
      <c r="D864" s="23"/>
    </row>
    <row r="865" ht="15.75" customHeight="1">
      <c r="A865" s="23"/>
      <c r="B865" s="23"/>
      <c r="C865" s="23"/>
      <c r="D865" s="23"/>
    </row>
    <row r="866" ht="15.75" customHeight="1">
      <c r="A866" s="23"/>
      <c r="B866" s="23"/>
      <c r="C866" s="23"/>
      <c r="D866" s="23"/>
    </row>
    <row r="867" ht="15.75" customHeight="1">
      <c r="A867" s="23"/>
      <c r="B867" s="23"/>
      <c r="C867" s="23"/>
      <c r="D867" s="23"/>
    </row>
    <row r="868" ht="15.75" customHeight="1">
      <c r="A868" s="23"/>
      <c r="B868" s="23"/>
      <c r="C868" s="23"/>
      <c r="D868" s="23"/>
    </row>
    <row r="869" ht="15.75" customHeight="1">
      <c r="A869" s="23"/>
      <c r="B869" s="23"/>
      <c r="C869" s="23"/>
      <c r="D869" s="23"/>
    </row>
    <row r="870" ht="15.75" customHeight="1">
      <c r="A870" s="23"/>
      <c r="B870" s="23"/>
      <c r="C870" s="23"/>
      <c r="D870" s="23"/>
    </row>
    <row r="871" ht="15.75" customHeight="1">
      <c r="A871" s="23"/>
      <c r="B871" s="23"/>
      <c r="C871" s="23"/>
      <c r="D871" s="23"/>
    </row>
    <row r="872" ht="15.75" customHeight="1">
      <c r="A872" s="23"/>
      <c r="B872" s="23"/>
      <c r="C872" s="23"/>
      <c r="D872" s="23"/>
    </row>
    <row r="873" ht="15.75" customHeight="1">
      <c r="A873" s="23"/>
      <c r="B873" s="23"/>
      <c r="C873" s="23"/>
      <c r="D873" s="23"/>
    </row>
    <row r="874" ht="15.75" customHeight="1">
      <c r="A874" s="23"/>
      <c r="B874" s="23"/>
      <c r="C874" s="23"/>
      <c r="D874" s="23"/>
    </row>
    <row r="875" ht="15.75" customHeight="1">
      <c r="A875" s="23"/>
      <c r="B875" s="23"/>
      <c r="C875" s="23"/>
      <c r="D875" s="23"/>
    </row>
    <row r="876" ht="15.75" customHeight="1">
      <c r="A876" s="23"/>
      <c r="B876" s="23"/>
      <c r="C876" s="23"/>
      <c r="D876" s="23"/>
    </row>
    <row r="877" ht="15.75" customHeight="1">
      <c r="A877" s="23"/>
      <c r="B877" s="23"/>
      <c r="C877" s="23"/>
      <c r="D877" s="23"/>
    </row>
    <row r="878" ht="15.75" customHeight="1">
      <c r="A878" s="23"/>
      <c r="B878" s="23"/>
      <c r="C878" s="23"/>
      <c r="D878" s="23"/>
    </row>
    <row r="879" ht="15.75" customHeight="1">
      <c r="A879" s="23"/>
      <c r="B879" s="23"/>
      <c r="C879" s="23"/>
      <c r="D879" s="23"/>
    </row>
    <row r="880" ht="15.75" customHeight="1">
      <c r="A880" s="23"/>
      <c r="B880" s="23"/>
      <c r="C880" s="23"/>
      <c r="D880" s="23"/>
    </row>
    <row r="881" ht="15.75" customHeight="1">
      <c r="A881" s="23"/>
      <c r="B881" s="23"/>
      <c r="C881" s="23"/>
      <c r="D881" s="23"/>
    </row>
    <row r="882" ht="15.75" customHeight="1">
      <c r="A882" s="23"/>
      <c r="B882" s="23"/>
      <c r="C882" s="23"/>
      <c r="D882" s="23"/>
    </row>
    <row r="883" ht="15.75" customHeight="1">
      <c r="A883" s="23"/>
      <c r="B883" s="23"/>
      <c r="C883" s="23"/>
      <c r="D883" s="23"/>
    </row>
    <row r="884" ht="15.75" customHeight="1">
      <c r="A884" s="23"/>
      <c r="B884" s="23"/>
      <c r="C884" s="23"/>
      <c r="D884" s="23"/>
    </row>
    <row r="885" ht="15.75" customHeight="1">
      <c r="A885" s="23"/>
      <c r="B885" s="23"/>
      <c r="C885" s="23"/>
      <c r="D885" s="23"/>
    </row>
    <row r="886" ht="15.75" customHeight="1">
      <c r="A886" s="23"/>
      <c r="B886" s="23"/>
      <c r="C886" s="23"/>
      <c r="D886" s="23"/>
    </row>
    <row r="887" ht="15.75" customHeight="1">
      <c r="A887" s="23"/>
      <c r="B887" s="23"/>
      <c r="C887" s="23"/>
      <c r="D887" s="23"/>
    </row>
    <row r="888" ht="15.75" customHeight="1">
      <c r="A888" s="23"/>
      <c r="B888" s="23"/>
      <c r="C888" s="23"/>
      <c r="D888" s="23"/>
    </row>
    <row r="889" ht="15.75" customHeight="1">
      <c r="A889" s="23"/>
      <c r="B889" s="23"/>
      <c r="C889" s="23"/>
      <c r="D889" s="23"/>
    </row>
    <row r="890" ht="15.75" customHeight="1">
      <c r="A890" s="23"/>
      <c r="B890" s="23"/>
      <c r="C890" s="23"/>
      <c r="D890" s="23"/>
    </row>
    <row r="891" ht="15.75" customHeight="1">
      <c r="A891" s="23"/>
      <c r="B891" s="23"/>
      <c r="C891" s="23"/>
      <c r="D891" s="23"/>
    </row>
    <row r="892" ht="15.75" customHeight="1">
      <c r="A892" s="23"/>
      <c r="B892" s="23"/>
      <c r="C892" s="23"/>
      <c r="D892" s="23"/>
    </row>
    <row r="893" ht="15.75" customHeight="1">
      <c r="A893" s="23"/>
      <c r="B893" s="23"/>
      <c r="C893" s="23"/>
      <c r="D893" s="23"/>
    </row>
    <row r="894" ht="15.75" customHeight="1">
      <c r="A894" s="23"/>
      <c r="B894" s="23"/>
      <c r="C894" s="23"/>
      <c r="D894" s="23"/>
    </row>
    <row r="895" ht="15.75" customHeight="1">
      <c r="A895" s="23"/>
      <c r="B895" s="23"/>
      <c r="C895" s="23"/>
      <c r="D895" s="23"/>
    </row>
    <row r="896" ht="15.75" customHeight="1">
      <c r="A896" s="23"/>
      <c r="B896" s="23"/>
      <c r="C896" s="23"/>
      <c r="D896" s="23"/>
    </row>
    <row r="897" ht="15.75" customHeight="1">
      <c r="A897" s="23"/>
      <c r="B897" s="23"/>
      <c r="C897" s="23"/>
      <c r="D897" s="23"/>
    </row>
    <row r="898" ht="15.75" customHeight="1">
      <c r="A898" s="23"/>
      <c r="B898" s="23"/>
      <c r="C898" s="23"/>
      <c r="D898" s="23"/>
    </row>
    <row r="899" ht="15.75" customHeight="1">
      <c r="A899" s="23"/>
      <c r="B899" s="23"/>
      <c r="C899" s="23"/>
      <c r="D899" s="23"/>
    </row>
    <row r="900" ht="15.75" customHeight="1">
      <c r="A900" s="23"/>
      <c r="B900" s="23"/>
      <c r="C900" s="23"/>
      <c r="D900" s="23"/>
    </row>
    <row r="901" ht="15.75" customHeight="1">
      <c r="A901" s="23"/>
      <c r="B901" s="23"/>
      <c r="C901" s="23"/>
      <c r="D901" s="23"/>
    </row>
    <row r="902" ht="15.75" customHeight="1">
      <c r="A902" s="23"/>
      <c r="B902" s="23"/>
      <c r="C902" s="23"/>
      <c r="D902" s="23"/>
    </row>
    <row r="903" ht="15.75" customHeight="1">
      <c r="A903" s="23"/>
      <c r="B903" s="23"/>
      <c r="C903" s="23"/>
      <c r="D903" s="23"/>
    </row>
    <row r="904" ht="15.75" customHeight="1">
      <c r="A904" s="23"/>
      <c r="B904" s="23"/>
      <c r="C904" s="23"/>
      <c r="D904" s="23"/>
    </row>
    <row r="905" ht="15.75" customHeight="1">
      <c r="A905" s="23"/>
      <c r="B905" s="23"/>
      <c r="C905" s="23"/>
      <c r="D905" s="23"/>
    </row>
    <row r="906" ht="15.75" customHeight="1">
      <c r="A906" s="23"/>
      <c r="B906" s="23"/>
      <c r="C906" s="23"/>
      <c r="D906" s="23"/>
    </row>
    <row r="907" ht="15.75" customHeight="1">
      <c r="A907" s="23"/>
      <c r="B907" s="23"/>
      <c r="C907" s="23"/>
      <c r="D907" s="23"/>
    </row>
    <row r="908" ht="15.75" customHeight="1">
      <c r="A908" s="23"/>
      <c r="B908" s="23"/>
      <c r="C908" s="23"/>
      <c r="D908" s="23"/>
    </row>
    <row r="909" ht="15.75" customHeight="1">
      <c r="A909" s="23"/>
      <c r="B909" s="23"/>
      <c r="C909" s="23"/>
      <c r="D909" s="23"/>
    </row>
    <row r="910" ht="15.75" customHeight="1">
      <c r="A910" s="23"/>
      <c r="B910" s="23"/>
      <c r="C910" s="23"/>
      <c r="D910" s="23"/>
    </row>
    <row r="911" ht="15.75" customHeight="1">
      <c r="A911" s="23"/>
      <c r="B911" s="23"/>
      <c r="C911" s="23"/>
      <c r="D911" s="23"/>
    </row>
    <row r="912" ht="15.75" customHeight="1">
      <c r="A912" s="23"/>
      <c r="B912" s="23"/>
      <c r="C912" s="23"/>
      <c r="D912" s="23"/>
    </row>
    <row r="913" ht="15.75" customHeight="1">
      <c r="A913" s="23"/>
      <c r="B913" s="23"/>
      <c r="C913" s="23"/>
      <c r="D913" s="23"/>
    </row>
    <row r="914" ht="15.75" customHeight="1">
      <c r="A914" s="23"/>
      <c r="B914" s="23"/>
      <c r="C914" s="23"/>
      <c r="D914" s="23"/>
    </row>
    <row r="915" ht="15.75" customHeight="1">
      <c r="A915" s="23"/>
      <c r="B915" s="23"/>
      <c r="C915" s="23"/>
      <c r="D915" s="23"/>
    </row>
    <row r="916" ht="15.75" customHeight="1">
      <c r="A916" s="23"/>
      <c r="B916" s="23"/>
      <c r="C916" s="23"/>
      <c r="D916" s="23"/>
    </row>
    <row r="917" ht="15.75" customHeight="1">
      <c r="A917" s="23"/>
      <c r="B917" s="23"/>
      <c r="C917" s="23"/>
      <c r="D917" s="23"/>
    </row>
    <row r="918" ht="15.75" customHeight="1">
      <c r="A918" s="23"/>
      <c r="B918" s="23"/>
      <c r="C918" s="23"/>
      <c r="D918" s="23"/>
    </row>
    <row r="919" ht="15.75" customHeight="1">
      <c r="A919" s="23"/>
      <c r="B919" s="23"/>
      <c r="C919" s="23"/>
      <c r="D919" s="23"/>
    </row>
    <row r="920" ht="15.75" customHeight="1">
      <c r="A920" s="23"/>
      <c r="B920" s="23"/>
      <c r="C920" s="23"/>
      <c r="D920" s="23"/>
    </row>
    <row r="921" ht="15.75" customHeight="1">
      <c r="A921" s="23"/>
      <c r="B921" s="23"/>
      <c r="C921" s="23"/>
      <c r="D921" s="23"/>
    </row>
    <row r="922" ht="15.75" customHeight="1">
      <c r="A922" s="23"/>
      <c r="B922" s="23"/>
      <c r="C922" s="23"/>
      <c r="D922" s="23"/>
    </row>
    <row r="923" ht="15.75" customHeight="1">
      <c r="A923" s="23"/>
      <c r="B923" s="23"/>
      <c r="C923" s="23"/>
      <c r="D923" s="23"/>
    </row>
    <row r="924" ht="15.75" customHeight="1">
      <c r="A924" s="23"/>
      <c r="B924" s="23"/>
      <c r="C924" s="23"/>
      <c r="D924" s="23"/>
    </row>
    <row r="925" ht="15.75" customHeight="1">
      <c r="A925" s="23"/>
      <c r="B925" s="23"/>
      <c r="C925" s="23"/>
      <c r="D925" s="23"/>
    </row>
    <row r="926" ht="15.75" customHeight="1">
      <c r="A926" s="23"/>
      <c r="B926" s="23"/>
      <c r="C926" s="23"/>
      <c r="D926" s="23"/>
    </row>
    <row r="927" ht="15.75" customHeight="1">
      <c r="A927" s="23"/>
      <c r="B927" s="23"/>
      <c r="C927" s="23"/>
      <c r="D927" s="23"/>
    </row>
    <row r="928" ht="15.75" customHeight="1">
      <c r="A928" s="23"/>
      <c r="B928" s="23"/>
      <c r="C928" s="23"/>
      <c r="D928" s="23"/>
    </row>
    <row r="929" ht="15.75" customHeight="1">
      <c r="A929" s="23"/>
      <c r="B929" s="23"/>
      <c r="C929" s="23"/>
      <c r="D929" s="23"/>
    </row>
    <row r="930" ht="15.75" customHeight="1">
      <c r="A930" s="23"/>
      <c r="B930" s="23"/>
      <c r="C930" s="23"/>
      <c r="D930" s="23"/>
    </row>
    <row r="931" ht="15.75" customHeight="1">
      <c r="A931" s="23"/>
      <c r="B931" s="23"/>
      <c r="C931" s="23"/>
      <c r="D931" s="23"/>
    </row>
    <row r="932" ht="15.75" customHeight="1">
      <c r="A932" s="23"/>
      <c r="B932" s="23"/>
      <c r="C932" s="23"/>
      <c r="D932" s="23"/>
    </row>
    <row r="933" ht="15.75" customHeight="1">
      <c r="A933" s="23"/>
      <c r="B933" s="23"/>
      <c r="C933" s="23"/>
      <c r="D933" s="23"/>
    </row>
    <row r="934" ht="15.75" customHeight="1">
      <c r="A934" s="23"/>
      <c r="B934" s="23"/>
      <c r="C934" s="23"/>
      <c r="D934" s="23"/>
    </row>
    <row r="935" ht="15.75" customHeight="1">
      <c r="A935" s="23"/>
      <c r="B935" s="23"/>
      <c r="C935" s="23"/>
      <c r="D935" s="23"/>
    </row>
    <row r="936" ht="15.75" customHeight="1">
      <c r="A936" s="23"/>
      <c r="B936" s="23"/>
      <c r="C936" s="23"/>
      <c r="D936" s="23"/>
    </row>
    <row r="937" ht="15.75" customHeight="1">
      <c r="A937" s="23"/>
      <c r="B937" s="23"/>
      <c r="C937" s="23"/>
      <c r="D937" s="23"/>
    </row>
    <row r="938" ht="15.75" customHeight="1">
      <c r="A938" s="23"/>
      <c r="B938" s="23"/>
      <c r="C938" s="23"/>
      <c r="D938" s="23"/>
    </row>
    <row r="939" ht="15.75" customHeight="1">
      <c r="A939" s="23"/>
      <c r="B939" s="23"/>
      <c r="C939" s="23"/>
      <c r="D939" s="23"/>
    </row>
    <row r="940" ht="15.75" customHeight="1">
      <c r="A940" s="23"/>
      <c r="B940" s="23"/>
      <c r="C940" s="23"/>
      <c r="D940" s="23"/>
    </row>
    <row r="941" ht="15.75" customHeight="1">
      <c r="A941" s="23"/>
      <c r="B941" s="23"/>
      <c r="C941" s="23"/>
      <c r="D941" s="23"/>
    </row>
    <row r="942" ht="15.75" customHeight="1">
      <c r="A942" s="23"/>
      <c r="B942" s="23"/>
      <c r="C942" s="23"/>
      <c r="D942" s="23"/>
    </row>
    <row r="943" ht="15.75" customHeight="1">
      <c r="A943" s="23"/>
      <c r="B943" s="23"/>
      <c r="C943" s="23"/>
      <c r="D943" s="23"/>
    </row>
    <row r="944" ht="15.75" customHeight="1">
      <c r="A944" s="23"/>
      <c r="B944" s="23"/>
      <c r="C944" s="23"/>
      <c r="D944" s="23"/>
    </row>
    <row r="945" ht="15.75" customHeight="1">
      <c r="A945" s="23"/>
      <c r="B945" s="23"/>
      <c r="C945" s="23"/>
      <c r="D945" s="23"/>
    </row>
    <row r="946" ht="15.75" customHeight="1">
      <c r="A946" s="23"/>
      <c r="B946" s="23"/>
      <c r="C946" s="23"/>
      <c r="D946" s="23"/>
    </row>
    <row r="947" ht="15.75" customHeight="1">
      <c r="A947" s="23"/>
      <c r="B947" s="23"/>
      <c r="C947" s="23"/>
      <c r="D947" s="23"/>
    </row>
    <row r="948" ht="15.75" customHeight="1">
      <c r="A948" s="23"/>
      <c r="B948" s="23"/>
      <c r="C948" s="23"/>
      <c r="D948" s="23"/>
    </row>
    <row r="949" ht="15.75" customHeight="1">
      <c r="A949" s="23"/>
      <c r="B949" s="23"/>
      <c r="C949" s="23"/>
      <c r="D949" s="23"/>
    </row>
    <row r="950" ht="15.75" customHeight="1">
      <c r="A950" s="23"/>
      <c r="B950" s="23"/>
      <c r="C950" s="23"/>
      <c r="D950" s="23"/>
    </row>
    <row r="951" ht="15.75" customHeight="1">
      <c r="A951" s="23"/>
      <c r="B951" s="23"/>
      <c r="C951" s="23"/>
      <c r="D951" s="23"/>
    </row>
    <row r="952" ht="15.75" customHeight="1">
      <c r="A952" s="23"/>
      <c r="B952" s="23"/>
      <c r="C952" s="23"/>
      <c r="D952" s="23"/>
    </row>
    <row r="953" ht="15.75" customHeight="1">
      <c r="A953" s="23"/>
      <c r="B953" s="23"/>
      <c r="C953" s="23"/>
      <c r="D953" s="23"/>
    </row>
    <row r="954" ht="15.75" customHeight="1">
      <c r="A954" s="23"/>
      <c r="B954" s="23"/>
      <c r="C954" s="23"/>
      <c r="D954" s="23"/>
    </row>
    <row r="955" ht="15.75" customHeight="1">
      <c r="A955" s="23"/>
      <c r="B955" s="23"/>
      <c r="C955" s="23"/>
      <c r="D955" s="23"/>
    </row>
    <row r="956" ht="15.75" customHeight="1">
      <c r="A956" s="23"/>
      <c r="B956" s="23"/>
      <c r="C956" s="23"/>
      <c r="D956" s="23"/>
    </row>
    <row r="957" ht="15.75" customHeight="1">
      <c r="A957" s="23"/>
      <c r="B957" s="23"/>
      <c r="C957" s="23"/>
      <c r="D957" s="23"/>
    </row>
    <row r="958" ht="15.75" customHeight="1">
      <c r="A958" s="23"/>
      <c r="B958" s="23"/>
      <c r="C958" s="23"/>
      <c r="D958" s="23"/>
    </row>
    <row r="959" ht="15.75" customHeight="1">
      <c r="A959" s="23"/>
      <c r="B959" s="23"/>
      <c r="C959" s="23"/>
      <c r="D959" s="23"/>
    </row>
    <row r="960" ht="15.75" customHeight="1">
      <c r="A960" s="23"/>
      <c r="B960" s="23"/>
      <c r="C960" s="23"/>
      <c r="D960" s="23"/>
    </row>
    <row r="961" ht="15.75" customHeight="1">
      <c r="A961" s="23"/>
      <c r="B961" s="23"/>
      <c r="C961" s="23"/>
      <c r="D961" s="23"/>
    </row>
    <row r="962" ht="15.75" customHeight="1">
      <c r="A962" s="23"/>
      <c r="B962" s="23"/>
      <c r="C962" s="23"/>
      <c r="D962" s="23"/>
    </row>
    <row r="963" ht="15.75" customHeight="1">
      <c r="A963" s="23"/>
      <c r="B963" s="23"/>
      <c r="C963" s="23"/>
      <c r="D963" s="23"/>
    </row>
    <row r="964" ht="15.75" customHeight="1">
      <c r="A964" s="23"/>
      <c r="B964" s="23"/>
      <c r="C964" s="23"/>
      <c r="D964" s="23"/>
    </row>
    <row r="965" ht="15.75" customHeight="1">
      <c r="A965" s="23"/>
      <c r="B965" s="23"/>
      <c r="C965" s="23"/>
      <c r="D965" s="23"/>
    </row>
    <row r="966" ht="15.75" customHeight="1">
      <c r="A966" s="23"/>
      <c r="B966" s="23"/>
      <c r="C966" s="23"/>
      <c r="D966" s="23"/>
    </row>
    <row r="967" ht="15.75" customHeight="1">
      <c r="A967" s="23"/>
      <c r="B967" s="23"/>
      <c r="C967" s="23"/>
      <c r="D967" s="23"/>
    </row>
    <row r="968" ht="15.75" customHeight="1">
      <c r="A968" s="23"/>
      <c r="B968" s="23"/>
      <c r="C968" s="23"/>
      <c r="D968" s="23"/>
    </row>
    <row r="969" ht="15.75" customHeight="1">
      <c r="A969" s="23"/>
      <c r="B969" s="23"/>
      <c r="C969" s="23"/>
      <c r="D969" s="23"/>
    </row>
    <row r="970" ht="15.75" customHeight="1">
      <c r="A970" s="23"/>
      <c r="B970" s="23"/>
      <c r="C970" s="23"/>
      <c r="D970" s="23"/>
    </row>
    <row r="971" ht="15.75" customHeight="1">
      <c r="A971" s="23"/>
      <c r="B971" s="23"/>
      <c r="C971" s="23"/>
      <c r="D971" s="23"/>
    </row>
    <row r="972" ht="15.75" customHeight="1">
      <c r="A972" s="23"/>
      <c r="B972" s="23"/>
      <c r="C972" s="23"/>
      <c r="D972" s="23"/>
    </row>
    <row r="973" ht="15.75" customHeight="1">
      <c r="A973" s="23"/>
      <c r="B973" s="23"/>
      <c r="C973" s="23"/>
      <c r="D973" s="23"/>
    </row>
    <row r="974" ht="15.75" customHeight="1">
      <c r="A974" s="23"/>
      <c r="B974" s="23"/>
      <c r="C974" s="23"/>
      <c r="D974" s="23"/>
    </row>
    <row r="975" ht="15.75" customHeight="1">
      <c r="A975" s="23"/>
      <c r="B975" s="23"/>
      <c r="C975" s="23"/>
      <c r="D975" s="23"/>
    </row>
    <row r="976" ht="15.75" customHeight="1">
      <c r="A976" s="23"/>
      <c r="B976" s="23"/>
      <c r="C976" s="23"/>
      <c r="D976" s="23"/>
    </row>
    <row r="977" ht="15.75" customHeight="1">
      <c r="A977" s="23"/>
      <c r="B977" s="23"/>
      <c r="C977" s="23"/>
      <c r="D977" s="23"/>
    </row>
    <row r="978" ht="15.75" customHeight="1">
      <c r="A978" s="23"/>
      <c r="B978" s="23"/>
      <c r="C978" s="23"/>
      <c r="D978" s="23"/>
    </row>
    <row r="979" ht="15.75" customHeight="1">
      <c r="A979" s="23"/>
      <c r="B979" s="23"/>
      <c r="C979" s="23"/>
      <c r="D979" s="23"/>
    </row>
    <row r="980" ht="15.75" customHeight="1">
      <c r="A980" s="23"/>
      <c r="B980" s="23"/>
      <c r="C980" s="23"/>
      <c r="D980" s="23"/>
    </row>
    <row r="981" ht="15.75" customHeight="1">
      <c r="A981" s="23"/>
      <c r="B981" s="23"/>
      <c r="C981" s="23"/>
      <c r="D981" s="23"/>
    </row>
    <row r="982" ht="15.75" customHeight="1">
      <c r="A982" s="23"/>
      <c r="B982" s="23"/>
      <c r="C982" s="23"/>
      <c r="D982" s="23"/>
    </row>
    <row r="983" ht="15.75" customHeight="1">
      <c r="A983" s="23"/>
      <c r="B983" s="23"/>
      <c r="C983" s="23"/>
      <c r="D983" s="23"/>
    </row>
    <row r="984" ht="15.75" customHeight="1">
      <c r="A984" s="23"/>
      <c r="B984" s="23"/>
      <c r="C984" s="23"/>
      <c r="D984" s="23"/>
    </row>
    <row r="985" ht="15.75" customHeight="1">
      <c r="A985" s="23"/>
      <c r="B985" s="23"/>
      <c r="C985" s="23"/>
      <c r="D985" s="23"/>
    </row>
    <row r="986" ht="15.75" customHeight="1">
      <c r="A986" s="23"/>
      <c r="B986" s="23"/>
      <c r="C986" s="23"/>
      <c r="D986" s="23"/>
    </row>
    <row r="987" ht="15.75" customHeight="1">
      <c r="A987" s="23"/>
      <c r="B987" s="23"/>
      <c r="C987" s="23"/>
      <c r="D987" s="23"/>
    </row>
    <row r="988" ht="15.75" customHeight="1">
      <c r="A988" s="23"/>
      <c r="B988" s="23"/>
      <c r="C988" s="23"/>
      <c r="D988" s="23"/>
    </row>
    <row r="989" ht="15.75" customHeight="1">
      <c r="A989" s="23"/>
      <c r="B989" s="23"/>
      <c r="C989" s="23"/>
      <c r="D989" s="23"/>
    </row>
    <row r="990" ht="15.75" customHeight="1">
      <c r="A990" s="23"/>
      <c r="B990" s="23"/>
      <c r="C990" s="23"/>
      <c r="D990" s="23"/>
    </row>
    <row r="991" ht="15.75" customHeight="1">
      <c r="A991" s="23"/>
      <c r="B991" s="23"/>
      <c r="C991" s="23"/>
      <c r="D991" s="23"/>
    </row>
    <row r="992" ht="15.75" customHeight="1">
      <c r="A992" s="23"/>
      <c r="B992" s="23"/>
      <c r="C992" s="23"/>
      <c r="D992" s="23"/>
    </row>
    <row r="993" ht="15.75" customHeight="1">
      <c r="A993" s="23"/>
      <c r="B993" s="23"/>
      <c r="C993" s="23"/>
      <c r="D993" s="23"/>
    </row>
    <row r="994" ht="15.75" customHeight="1">
      <c r="A994" s="23"/>
      <c r="B994" s="23"/>
      <c r="C994" s="23"/>
      <c r="D994" s="23"/>
    </row>
    <row r="995" ht="15.75" customHeight="1">
      <c r="A995" s="23"/>
      <c r="B995" s="23"/>
      <c r="C995" s="23"/>
      <c r="D995" s="23"/>
    </row>
    <row r="996" ht="15.75" customHeight="1">
      <c r="A996" s="23"/>
      <c r="B996" s="23"/>
      <c r="C996" s="23"/>
      <c r="D996" s="23"/>
    </row>
    <row r="997" ht="15.75" customHeight="1">
      <c r="A997" s="23"/>
      <c r="B997" s="23"/>
      <c r="C997" s="23"/>
      <c r="D997" s="23"/>
    </row>
    <row r="998" ht="15.75" customHeight="1">
      <c r="A998" s="23"/>
      <c r="B998" s="23"/>
      <c r="C998" s="23"/>
      <c r="D998" s="23"/>
    </row>
    <row r="999" ht="15.75" customHeight="1">
      <c r="A999" s="23"/>
      <c r="B999" s="23"/>
      <c r="C999" s="23"/>
      <c r="D999" s="23"/>
    </row>
    <row r="1000" ht="15.75" customHeight="1">
      <c r="A1000" s="23"/>
      <c r="B1000" s="23"/>
      <c r="C1000" s="23"/>
      <c r="D1000" s="2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22.25"/>
    <col customWidth="1" min="3" max="6" width="12.63"/>
  </cols>
  <sheetData>
    <row r="1" ht="15.75" customHeight="1">
      <c r="A1" s="1"/>
      <c r="B1" s="1"/>
      <c r="C1" s="2" t="s">
        <v>0</v>
      </c>
      <c r="E1" s="2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2</v>
      </c>
      <c r="B2" s="1"/>
      <c r="C2" s="4"/>
      <c r="D2" s="5"/>
      <c r="E2" s="4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3</v>
      </c>
      <c r="C3" s="6"/>
      <c r="D3" s="7">
        <f>sum('Financial Model (1)'!C66:N66)</f>
        <v>392518.5639</v>
      </c>
      <c r="E3" s="6"/>
      <c r="F3" s="7">
        <f>sum('Financial Model (1)'!O66:Z66)</f>
        <v>1952807.071</v>
      </c>
      <c r="G3" s="1"/>
      <c r="H3" s="8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/>
      <c r="B4" s="5"/>
      <c r="C4" s="4"/>
      <c r="D4" s="5"/>
      <c r="E4" s="4"/>
      <c r="F4" s="5"/>
      <c r="G4" s="1"/>
      <c r="I4" s="1"/>
      <c r="J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9" t="s">
        <v>5</v>
      </c>
      <c r="B5" s="10"/>
      <c r="C5" s="11"/>
      <c r="D5" s="10"/>
      <c r="E5" s="11"/>
      <c r="F5" s="10"/>
      <c r="G5" s="1"/>
      <c r="H5" s="1" t="s">
        <v>6</v>
      </c>
      <c r="I5" s="1"/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1"/>
      <c r="B6" s="10" t="s">
        <v>7</v>
      </c>
      <c r="C6" s="12">
        <f t="shared" ref="C6:C9" si="1">D6/$D$3</f>
        <v>0.0758577037</v>
      </c>
      <c r="D6" s="13">
        <f>sum('Financial Model (1)'!C71:N71)</f>
        <v>29775.55692</v>
      </c>
      <c r="E6" s="12">
        <f t="shared" ref="E6:E9" si="2">F6/$F$3</f>
        <v>0.03921750042</v>
      </c>
      <c r="F6" s="13">
        <f>sum('Financial Model (1)'!O71:Z71)</f>
        <v>76584.21212</v>
      </c>
      <c r="G6" s="1"/>
      <c r="H6" s="14" t="str">
        <f>HYPERLINK("https://marker.io?utm_source=spreadsheet&amp;utm_medium=template&amp;utm_campaign=saas-financial-model","https://marker.io")</f>
        <v>https://marker.io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1"/>
      <c r="B7" s="10" t="s">
        <v>8</v>
      </c>
      <c r="C7" s="12">
        <f t="shared" si="1"/>
        <v>0.06057180247</v>
      </c>
      <c r="D7" s="15">
        <f>sum('Financial Model (1)'!C77:N77)</f>
        <v>23775.55692</v>
      </c>
      <c r="E7" s="12">
        <f t="shared" si="2"/>
        <v>0.03614500028</v>
      </c>
      <c r="F7" s="15">
        <f>sum('Financial Model (1)'!O77:Z77)</f>
        <v>70584.21212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1"/>
      <c r="B8" s="10" t="s">
        <v>9</v>
      </c>
      <c r="C8" s="12">
        <f t="shared" si="1"/>
        <v>0.7031514567</v>
      </c>
      <c r="D8" s="16">
        <f>sum('Financial Model (1)'!C80:N80)</f>
        <v>276000</v>
      </c>
      <c r="E8" s="12">
        <f t="shared" si="2"/>
        <v>0.2027850093</v>
      </c>
      <c r="F8" s="16">
        <f>sum('Financial Model (1)'!O80:Z80)</f>
        <v>396000</v>
      </c>
      <c r="G8" s="1"/>
      <c r="H8" s="1"/>
      <c r="I8" s="1"/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1"/>
      <c r="B9" s="10" t="s">
        <v>10</v>
      </c>
      <c r="C9" s="12">
        <f t="shared" si="1"/>
        <v>0.4239391848</v>
      </c>
      <c r="D9" s="16">
        <f>sum('Financial Model (1)'!C83:N83)</f>
        <v>166404</v>
      </c>
      <c r="E9" s="12">
        <f t="shared" si="2"/>
        <v>0.08521271891</v>
      </c>
      <c r="F9" s="16">
        <f>sum('Financial Model (1)'!O83:Z83)</f>
        <v>166404</v>
      </c>
      <c r="G9" s="1"/>
      <c r="H9" s="1"/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6"/>
      <c r="B10" s="17"/>
      <c r="C10" s="6"/>
      <c r="D10" s="17"/>
      <c r="E10" s="6"/>
      <c r="F10" s="17"/>
      <c r="G10" s="1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3" t="s">
        <v>11</v>
      </c>
      <c r="B11" s="1"/>
      <c r="C11" s="18"/>
      <c r="D11" s="19">
        <f>D3-sum(D6:D9)</f>
        <v>-103436.5499</v>
      </c>
      <c r="E11" s="18"/>
      <c r="F11" s="19">
        <f>F3-sum(F6:F9)</f>
        <v>1243234.646</v>
      </c>
      <c r="G11" s="1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8" t="s">
        <v>12</v>
      </c>
      <c r="B14" s="20"/>
      <c r="C14" s="21"/>
      <c r="D14" s="20"/>
      <c r="E14" s="20"/>
      <c r="F14" s="22">
        <f>sumif('Financial Model (1)'!C87:Z87,"&lt;0")</f>
        <v>-132357.3437</v>
      </c>
      <c r="G14" s="1"/>
      <c r="H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3"/>
      <c r="B221" s="23"/>
    </row>
    <row r="222" ht="15.75" customHeight="1">
      <c r="A222" s="23"/>
      <c r="B222" s="23"/>
    </row>
    <row r="223" ht="15.75" customHeight="1">
      <c r="A223" s="23"/>
      <c r="B223" s="23"/>
    </row>
    <row r="224" ht="15.75" customHeight="1">
      <c r="A224" s="23"/>
      <c r="B224" s="23"/>
    </row>
    <row r="225" ht="15.75" customHeight="1">
      <c r="A225" s="23"/>
      <c r="B225" s="23"/>
    </row>
    <row r="226" ht="15.75" customHeight="1">
      <c r="A226" s="23"/>
      <c r="B226" s="23"/>
    </row>
    <row r="227" ht="15.75" customHeight="1">
      <c r="A227" s="23"/>
      <c r="B227" s="23"/>
    </row>
    <row r="228" ht="15.75" customHeight="1">
      <c r="A228" s="23"/>
      <c r="B228" s="23"/>
    </row>
    <row r="229" ht="15.75" customHeight="1">
      <c r="A229" s="23"/>
      <c r="B229" s="23"/>
    </row>
    <row r="230" ht="15.75" customHeight="1">
      <c r="A230" s="23"/>
      <c r="B230" s="23"/>
    </row>
    <row r="231" ht="15.75" customHeight="1">
      <c r="A231" s="23"/>
      <c r="B231" s="23"/>
    </row>
    <row r="232" ht="15.75" customHeight="1">
      <c r="A232" s="23"/>
      <c r="B232" s="23"/>
    </row>
    <row r="233" ht="15.75" customHeight="1">
      <c r="A233" s="23"/>
      <c r="B233" s="23"/>
    </row>
    <row r="234" ht="15.75" customHeight="1">
      <c r="A234" s="23"/>
      <c r="B234" s="23"/>
    </row>
    <row r="235" ht="15.75" customHeight="1">
      <c r="A235" s="23"/>
      <c r="B235" s="23"/>
    </row>
    <row r="236" ht="15.75" customHeight="1">
      <c r="A236" s="23"/>
      <c r="B236" s="23"/>
    </row>
    <row r="237" ht="15.75" customHeight="1">
      <c r="A237" s="23"/>
      <c r="B237" s="23"/>
    </row>
    <row r="238" ht="15.75" customHeight="1">
      <c r="A238" s="23"/>
      <c r="B238" s="23"/>
    </row>
    <row r="239" ht="15.75" customHeight="1">
      <c r="A239" s="23"/>
      <c r="B239" s="23"/>
    </row>
    <row r="240" ht="15.75" customHeight="1">
      <c r="A240" s="23"/>
      <c r="B240" s="23"/>
    </row>
    <row r="241" ht="15.75" customHeight="1">
      <c r="A241" s="23"/>
      <c r="B241" s="23"/>
    </row>
    <row r="242" ht="15.75" customHeight="1">
      <c r="A242" s="23"/>
      <c r="B242" s="23"/>
    </row>
    <row r="243" ht="15.75" customHeight="1">
      <c r="A243" s="23"/>
      <c r="B243" s="23"/>
    </row>
    <row r="244" ht="15.75" customHeight="1">
      <c r="A244" s="23"/>
      <c r="B244" s="23"/>
    </row>
    <row r="245" ht="15.75" customHeight="1">
      <c r="A245" s="23"/>
      <c r="B245" s="23"/>
    </row>
    <row r="246" ht="15.75" customHeight="1">
      <c r="A246" s="23"/>
      <c r="B246" s="23"/>
    </row>
    <row r="247" ht="15.75" customHeight="1">
      <c r="A247" s="23"/>
      <c r="B247" s="23"/>
    </row>
    <row r="248" ht="15.75" customHeight="1">
      <c r="A248" s="23"/>
      <c r="B248" s="23"/>
    </row>
    <row r="249" ht="15.75" customHeight="1">
      <c r="A249" s="23"/>
      <c r="B249" s="23"/>
    </row>
    <row r="250" ht="15.75" customHeight="1">
      <c r="A250" s="23"/>
      <c r="B250" s="23"/>
    </row>
    <row r="251" ht="15.75" customHeight="1">
      <c r="A251" s="23"/>
      <c r="B251" s="23"/>
    </row>
    <row r="252" ht="15.75" customHeight="1">
      <c r="A252" s="23"/>
      <c r="B252" s="23"/>
    </row>
    <row r="253" ht="15.75" customHeight="1">
      <c r="A253" s="23"/>
      <c r="B253" s="23"/>
    </row>
    <row r="254" ht="15.75" customHeight="1">
      <c r="A254" s="23"/>
      <c r="B254" s="23"/>
    </row>
    <row r="255" ht="15.75" customHeight="1">
      <c r="A255" s="23"/>
      <c r="B255" s="23"/>
    </row>
    <row r="256" ht="15.75" customHeight="1">
      <c r="A256" s="23"/>
      <c r="B256" s="23"/>
    </row>
    <row r="257" ht="15.75" customHeight="1">
      <c r="A257" s="23"/>
      <c r="B257" s="23"/>
    </row>
    <row r="258" ht="15.75" customHeight="1">
      <c r="A258" s="23"/>
      <c r="B258" s="23"/>
    </row>
    <row r="259" ht="15.75" customHeight="1">
      <c r="A259" s="23"/>
      <c r="B259" s="23"/>
    </row>
    <row r="260" ht="15.75" customHeight="1">
      <c r="A260" s="23"/>
      <c r="B260" s="23"/>
    </row>
    <row r="261" ht="15.75" customHeight="1">
      <c r="A261" s="23"/>
      <c r="B261" s="23"/>
    </row>
    <row r="262" ht="15.75" customHeight="1">
      <c r="A262" s="23"/>
      <c r="B262" s="23"/>
    </row>
    <row r="263" ht="15.75" customHeight="1">
      <c r="A263" s="23"/>
      <c r="B263" s="23"/>
    </row>
    <row r="264" ht="15.75" customHeight="1">
      <c r="A264" s="23"/>
      <c r="B264" s="23"/>
    </row>
    <row r="265" ht="15.75" customHeight="1">
      <c r="A265" s="23"/>
      <c r="B265" s="23"/>
    </row>
    <row r="266" ht="15.75" customHeight="1">
      <c r="A266" s="23"/>
      <c r="B266" s="23"/>
    </row>
    <row r="267" ht="15.75" customHeight="1">
      <c r="A267" s="23"/>
      <c r="B267" s="23"/>
    </row>
    <row r="268" ht="15.75" customHeight="1">
      <c r="A268" s="23"/>
      <c r="B268" s="23"/>
    </row>
    <row r="269" ht="15.75" customHeight="1">
      <c r="A269" s="23"/>
      <c r="B269" s="23"/>
    </row>
    <row r="270" ht="15.75" customHeight="1">
      <c r="A270" s="23"/>
      <c r="B270" s="23"/>
    </row>
    <row r="271" ht="15.75" customHeight="1">
      <c r="A271" s="23"/>
      <c r="B271" s="23"/>
    </row>
    <row r="272" ht="15.75" customHeight="1">
      <c r="A272" s="23"/>
      <c r="B272" s="23"/>
    </row>
    <row r="273" ht="15.75" customHeight="1">
      <c r="A273" s="23"/>
      <c r="B273" s="23"/>
    </row>
    <row r="274" ht="15.75" customHeight="1">
      <c r="A274" s="23"/>
      <c r="B274" s="23"/>
    </row>
    <row r="275" ht="15.75" customHeight="1">
      <c r="A275" s="23"/>
      <c r="B275" s="23"/>
    </row>
    <row r="276" ht="15.75" customHeight="1">
      <c r="A276" s="23"/>
      <c r="B276" s="23"/>
    </row>
    <row r="277" ht="15.75" customHeight="1">
      <c r="A277" s="23"/>
      <c r="B277" s="23"/>
    </row>
    <row r="278" ht="15.75" customHeight="1">
      <c r="A278" s="23"/>
      <c r="B278" s="23"/>
    </row>
    <row r="279" ht="15.75" customHeight="1">
      <c r="A279" s="23"/>
      <c r="B279" s="23"/>
    </row>
    <row r="280" ht="15.75" customHeight="1">
      <c r="A280" s="23"/>
      <c r="B280" s="23"/>
    </row>
    <row r="281" ht="15.75" customHeight="1">
      <c r="A281" s="23"/>
      <c r="B281" s="23"/>
    </row>
    <row r="282" ht="15.75" customHeight="1">
      <c r="A282" s="23"/>
      <c r="B282" s="23"/>
    </row>
    <row r="283" ht="15.75" customHeight="1">
      <c r="A283" s="23"/>
      <c r="B283" s="23"/>
    </row>
    <row r="284" ht="15.75" customHeight="1">
      <c r="A284" s="23"/>
      <c r="B284" s="23"/>
    </row>
    <row r="285" ht="15.75" customHeight="1">
      <c r="A285" s="23"/>
      <c r="B285" s="23"/>
    </row>
    <row r="286" ht="15.75" customHeight="1">
      <c r="A286" s="23"/>
      <c r="B286" s="23"/>
    </row>
    <row r="287" ht="15.75" customHeight="1">
      <c r="A287" s="23"/>
      <c r="B287" s="23"/>
    </row>
    <row r="288" ht="15.75" customHeight="1">
      <c r="A288" s="23"/>
      <c r="B288" s="23"/>
    </row>
    <row r="289" ht="15.75" customHeight="1">
      <c r="A289" s="23"/>
      <c r="B289" s="23"/>
    </row>
    <row r="290" ht="15.75" customHeight="1">
      <c r="A290" s="23"/>
      <c r="B290" s="23"/>
    </row>
    <row r="291" ht="15.75" customHeight="1">
      <c r="A291" s="23"/>
      <c r="B291" s="23"/>
    </row>
    <row r="292" ht="15.75" customHeight="1">
      <c r="A292" s="23"/>
      <c r="B292" s="23"/>
    </row>
    <row r="293" ht="15.75" customHeight="1">
      <c r="A293" s="23"/>
      <c r="B293" s="23"/>
    </row>
    <row r="294" ht="15.75" customHeight="1">
      <c r="A294" s="23"/>
      <c r="B294" s="23"/>
    </row>
    <row r="295" ht="15.75" customHeight="1">
      <c r="A295" s="23"/>
      <c r="B295" s="23"/>
    </row>
    <row r="296" ht="15.75" customHeight="1">
      <c r="A296" s="23"/>
      <c r="B296" s="23"/>
    </row>
    <row r="297" ht="15.75" customHeight="1">
      <c r="A297" s="23"/>
      <c r="B297" s="23"/>
    </row>
    <row r="298" ht="15.75" customHeight="1">
      <c r="A298" s="23"/>
      <c r="B298" s="23"/>
    </row>
    <row r="299" ht="15.75" customHeight="1">
      <c r="A299" s="23"/>
      <c r="B299" s="23"/>
    </row>
    <row r="300" ht="15.75" customHeight="1">
      <c r="A300" s="23"/>
      <c r="B300" s="23"/>
    </row>
    <row r="301" ht="15.75" customHeight="1">
      <c r="A301" s="23"/>
      <c r="B301" s="23"/>
    </row>
    <row r="302" ht="15.75" customHeight="1">
      <c r="A302" s="23"/>
      <c r="B302" s="23"/>
    </row>
    <row r="303" ht="15.75" customHeight="1">
      <c r="A303" s="23"/>
      <c r="B303" s="23"/>
    </row>
    <row r="304" ht="15.75" customHeight="1">
      <c r="A304" s="23"/>
      <c r="B304" s="23"/>
    </row>
    <row r="305" ht="15.75" customHeight="1">
      <c r="A305" s="23"/>
      <c r="B305" s="23"/>
    </row>
    <row r="306" ht="15.75" customHeight="1">
      <c r="A306" s="23"/>
      <c r="B306" s="23"/>
    </row>
    <row r="307" ht="15.75" customHeight="1">
      <c r="A307" s="23"/>
      <c r="B307" s="23"/>
    </row>
    <row r="308" ht="15.75" customHeight="1">
      <c r="A308" s="23"/>
      <c r="B308" s="23"/>
    </row>
    <row r="309" ht="15.75" customHeight="1">
      <c r="A309" s="23"/>
      <c r="B309" s="23"/>
    </row>
    <row r="310" ht="15.75" customHeight="1">
      <c r="A310" s="23"/>
      <c r="B310" s="23"/>
    </row>
    <row r="311" ht="15.75" customHeight="1">
      <c r="A311" s="23"/>
      <c r="B311" s="23"/>
    </row>
    <row r="312" ht="15.75" customHeight="1">
      <c r="A312" s="23"/>
      <c r="B312" s="23"/>
    </row>
    <row r="313" ht="15.75" customHeight="1">
      <c r="A313" s="23"/>
      <c r="B313" s="23"/>
    </row>
    <row r="314" ht="15.75" customHeight="1">
      <c r="A314" s="23"/>
      <c r="B314" s="23"/>
    </row>
    <row r="315" ht="15.75" customHeight="1">
      <c r="A315" s="23"/>
      <c r="B315" s="23"/>
    </row>
    <row r="316" ht="15.75" customHeight="1">
      <c r="A316" s="23"/>
      <c r="B316" s="23"/>
    </row>
    <row r="317" ht="15.75" customHeight="1">
      <c r="A317" s="23"/>
      <c r="B317" s="23"/>
    </row>
    <row r="318" ht="15.75" customHeight="1">
      <c r="A318" s="23"/>
      <c r="B318" s="23"/>
    </row>
    <row r="319" ht="15.75" customHeight="1">
      <c r="A319" s="23"/>
      <c r="B319" s="23"/>
    </row>
    <row r="320" ht="15.75" customHeight="1">
      <c r="A320" s="23"/>
      <c r="B320" s="23"/>
    </row>
    <row r="321" ht="15.75" customHeight="1">
      <c r="A321" s="23"/>
      <c r="B321" s="23"/>
    </row>
    <row r="322" ht="15.75" customHeight="1">
      <c r="A322" s="23"/>
      <c r="B322" s="23"/>
    </row>
    <row r="323" ht="15.75" customHeight="1">
      <c r="A323" s="23"/>
      <c r="B323" s="23"/>
    </row>
    <row r="324" ht="15.75" customHeight="1">
      <c r="A324" s="23"/>
      <c r="B324" s="23"/>
    </row>
    <row r="325" ht="15.75" customHeight="1">
      <c r="A325" s="23"/>
      <c r="B325" s="23"/>
    </row>
    <row r="326" ht="15.75" customHeight="1">
      <c r="A326" s="23"/>
      <c r="B326" s="23"/>
    </row>
    <row r="327" ht="15.75" customHeight="1">
      <c r="A327" s="23"/>
      <c r="B327" s="23"/>
    </row>
    <row r="328" ht="15.75" customHeight="1">
      <c r="A328" s="23"/>
      <c r="B328" s="23"/>
    </row>
    <row r="329" ht="15.75" customHeight="1">
      <c r="A329" s="23"/>
      <c r="B329" s="23"/>
    </row>
    <row r="330" ht="15.75" customHeight="1">
      <c r="A330" s="23"/>
      <c r="B330" s="23"/>
    </row>
    <row r="331" ht="15.75" customHeight="1">
      <c r="A331" s="23"/>
      <c r="B331" s="23"/>
    </row>
    <row r="332" ht="15.75" customHeight="1">
      <c r="A332" s="23"/>
      <c r="B332" s="23"/>
    </row>
    <row r="333" ht="15.75" customHeight="1">
      <c r="A333" s="23"/>
      <c r="B333" s="23"/>
    </row>
    <row r="334" ht="15.75" customHeight="1">
      <c r="A334" s="23"/>
      <c r="B334" s="23"/>
    </row>
    <row r="335" ht="15.75" customHeight="1">
      <c r="A335" s="23"/>
      <c r="B335" s="23"/>
    </row>
    <row r="336" ht="15.75" customHeight="1">
      <c r="A336" s="23"/>
      <c r="B336" s="23"/>
    </row>
    <row r="337" ht="15.75" customHeight="1">
      <c r="A337" s="23"/>
      <c r="B337" s="23"/>
    </row>
    <row r="338" ht="15.75" customHeight="1">
      <c r="A338" s="23"/>
      <c r="B338" s="23"/>
    </row>
    <row r="339" ht="15.75" customHeight="1">
      <c r="A339" s="23"/>
      <c r="B339" s="23"/>
    </row>
    <row r="340" ht="15.75" customHeight="1">
      <c r="A340" s="23"/>
      <c r="B340" s="23"/>
    </row>
    <row r="341" ht="15.75" customHeight="1">
      <c r="A341" s="23"/>
      <c r="B341" s="23"/>
    </row>
    <row r="342" ht="15.75" customHeight="1">
      <c r="A342" s="23"/>
      <c r="B342" s="23"/>
    </row>
    <row r="343" ht="15.75" customHeight="1">
      <c r="A343" s="23"/>
      <c r="B343" s="23"/>
    </row>
    <row r="344" ht="15.75" customHeight="1">
      <c r="A344" s="23"/>
      <c r="B344" s="23"/>
    </row>
    <row r="345" ht="15.75" customHeight="1">
      <c r="A345" s="23"/>
      <c r="B345" s="23"/>
    </row>
    <row r="346" ht="15.75" customHeight="1">
      <c r="A346" s="23"/>
      <c r="B346" s="23"/>
    </row>
    <row r="347" ht="15.75" customHeight="1">
      <c r="A347" s="23"/>
      <c r="B347" s="23"/>
    </row>
    <row r="348" ht="15.75" customHeight="1">
      <c r="A348" s="23"/>
      <c r="B348" s="23"/>
    </row>
    <row r="349" ht="15.75" customHeight="1">
      <c r="A349" s="23"/>
      <c r="B349" s="23"/>
    </row>
    <row r="350" ht="15.75" customHeight="1">
      <c r="A350" s="23"/>
      <c r="B350" s="23"/>
    </row>
    <row r="351" ht="15.75" customHeight="1">
      <c r="A351" s="23"/>
      <c r="B351" s="23"/>
    </row>
    <row r="352" ht="15.75" customHeight="1">
      <c r="A352" s="23"/>
      <c r="B352" s="23"/>
    </row>
    <row r="353" ht="15.75" customHeight="1">
      <c r="A353" s="23"/>
      <c r="B353" s="23"/>
    </row>
    <row r="354" ht="15.75" customHeight="1">
      <c r="A354" s="23"/>
      <c r="B354" s="23"/>
    </row>
    <row r="355" ht="15.75" customHeight="1">
      <c r="A355" s="23"/>
      <c r="B355" s="23"/>
    </row>
    <row r="356" ht="15.75" customHeight="1">
      <c r="A356" s="23"/>
      <c r="B356" s="23"/>
    </row>
    <row r="357" ht="15.75" customHeight="1">
      <c r="A357" s="23"/>
      <c r="B357" s="23"/>
    </row>
    <row r="358" ht="15.75" customHeight="1">
      <c r="A358" s="23"/>
      <c r="B358" s="23"/>
    </row>
    <row r="359" ht="15.75" customHeight="1">
      <c r="A359" s="23"/>
      <c r="B359" s="23"/>
    </row>
    <row r="360" ht="15.75" customHeight="1">
      <c r="A360" s="23"/>
      <c r="B360" s="23"/>
    </row>
    <row r="361" ht="15.75" customHeight="1">
      <c r="A361" s="23"/>
      <c r="B361" s="23"/>
    </row>
    <row r="362" ht="15.75" customHeight="1">
      <c r="A362" s="23"/>
      <c r="B362" s="23"/>
    </row>
    <row r="363" ht="15.75" customHeight="1">
      <c r="A363" s="23"/>
      <c r="B363" s="23"/>
    </row>
    <row r="364" ht="15.75" customHeight="1">
      <c r="A364" s="23"/>
      <c r="B364" s="23"/>
    </row>
    <row r="365" ht="15.75" customHeight="1">
      <c r="A365" s="23"/>
      <c r="B365" s="23"/>
    </row>
    <row r="366" ht="15.75" customHeight="1">
      <c r="A366" s="23"/>
      <c r="B366" s="23"/>
    </row>
    <row r="367" ht="15.75" customHeight="1">
      <c r="A367" s="23"/>
      <c r="B367" s="23"/>
    </row>
    <row r="368" ht="15.75" customHeight="1">
      <c r="A368" s="23"/>
      <c r="B368" s="23"/>
    </row>
    <row r="369" ht="15.75" customHeight="1">
      <c r="A369" s="23"/>
      <c r="B369" s="23"/>
    </row>
    <row r="370" ht="15.75" customHeight="1">
      <c r="A370" s="23"/>
      <c r="B370" s="23"/>
    </row>
    <row r="371" ht="15.75" customHeight="1">
      <c r="A371" s="23"/>
      <c r="B371" s="23"/>
    </row>
    <row r="372" ht="15.75" customHeight="1">
      <c r="A372" s="23"/>
      <c r="B372" s="23"/>
    </row>
    <row r="373" ht="15.75" customHeight="1">
      <c r="A373" s="23"/>
      <c r="B373" s="23"/>
    </row>
    <row r="374" ht="15.75" customHeight="1">
      <c r="A374" s="23"/>
      <c r="B374" s="23"/>
    </row>
    <row r="375" ht="15.75" customHeight="1">
      <c r="A375" s="23"/>
      <c r="B375" s="23"/>
    </row>
    <row r="376" ht="15.75" customHeight="1">
      <c r="A376" s="23"/>
      <c r="B376" s="23"/>
    </row>
    <row r="377" ht="15.75" customHeight="1">
      <c r="A377" s="23"/>
      <c r="B377" s="23"/>
    </row>
    <row r="378" ht="15.75" customHeight="1">
      <c r="A378" s="23"/>
      <c r="B378" s="23"/>
    </row>
    <row r="379" ht="15.75" customHeight="1">
      <c r="A379" s="23"/>
      <c r="B379" s="23"/>
    </row>
    <row r="380" ht="15.75" customHeight="1">
      <c r="A380" s="23"/>
      <c r="B380" s="23"/>
    </row>
    <row r="381" ht="15.75" customHeight="1">
      <c r="A381" s="23"/>
      <c r="B381" s="23"/>
    </row>
    <row r="382" ht="15.75" customHeight="1">
      <c r="A382" s="23"/>
      <c r="B382" s="23"/>
    </row>
    <row r="383" ht="15.75" customHeight="1">
      <c r="A383" s="23"/>
      <c r="B383" s="23"/>
    </row>
    <row r="384" ht="15.75" customHeight="1">
      <c r="A384" s="23"/>
      <c r="B384" s="23"/>
    </row>
    <row r="385" ht="15.75" customHeight="1">
      <c r="A385" s="23"/>
      <c r="B385" s="23"/>
    </row>
    <row r="386" ht="15.75" customHeight="1">
      <c r="A386" s="23"/>
      <c r="B386" s="23"/>
    </row>
    <row r="387" ht="15.75" customHeight="1">
      <c r="A387" s="23"/>
      <c r="B387" s="23"/>
    </row>
    <row r="388" ht="15.75" customHeight="1">
      <c r="A388" s="23"/>
      <c r="B388" s="23"/>
    </row>
    <row r="389" ht="15.75" customHeight="1">
      <c r="A389" s="23"/>
      <c r="B389" s="23"/>
    </row>
    <row r="390" ht="15.75" customHeight="1">
      <c r="A390" s="23"/>
      <c r="B390" s="23"/>
    </row>
    <row r="391" ht="15.75" customHeight="1">
      <c r="A391" s="23"/>
      <c r="B391" s="23"/>
    </row>
    <row r="392" ht="15.75" customHeight="1">
      <c r="A392" s="23"/>
      <c r="B392" s="23"/>
    </row>
    <row r="393" ht="15.75" customHeight="1">
      <c r="A393" s="23"/>
      <c r="B393" s="23"/>
    </row>
    <row r="394" ht="15.75" customHeight="1">
      <c r="A394" s="23"/>
      <c r="B394" s="23"/>
    </row>
    <row r="395" ht="15.75" customHeight="1">
      <c r="A395" s="23"/>
      <c r="B395" s="23"/>
    </row>
    <row r="396" ht="15.75" customHeight="1">
      <c r="A396" s="23"/>
      <c r="B396" s="23"/>
    </row>
    <row r="397" ht="15.75" customHeight="1">
      <c r="A397" s="23"/>
      <c r="B397" s="23"/>
    </row>
    <row r="398" ht="15.75" customHeight="1">
      <c r="A398" s="23"/>
      <c r="B398" s="23"/>
    </row>
    <row r="399" ht="15.75" customHeight="1">
      <c r="A399" s="23"/>
      <c r="B399" s="23"/>
    </row>
    <row r="400" ht="15.75" customHeight="1">
      <c r="A400" s="23"/>
      <c r="B400" s="23"/>
    </row>
    <row r="401" ht="15.75" customHeight="1">
      <c r="A401" s="23"/>
      <c r="B401" s="23"/>
    </row>
    <row r="402" ht="15.75" customHeight="1">
      <c r="A402" s="23"/>
      <c r="B402" s="23"/>
    </row>
    <row r="403" ht="15.75" customHeight="1">
      <c r="A403" s="23"/>
      <c r="B403" s="23"/>
    </row>
    <row r="404" ht="15.75" customHeight="1">
      <c r="A404" s="23"/>
      <c r="B404" s="23"/>
    </row>
    <row r="405" ht="15.75" customHeight="1">
      <c r="A405" s="23"/>
      <c r="B405" s="23"/>
    </row>
    <row r="406" ht="15.75" customHeight="1">
      <c r="A406" s="23"/>
      <c r="B406" s="23"/>
    </row>
    <row r="407" ht="15.75" customHeight="1">
      <c r="A407" s="23"/>
      <c r="B407" s="23"/>
    </row>
    <row r="408" ht="15.75" customHeight="1">
      <c r="A408" s="23"/>
      <c r="B408" s="23"/>
    </row>
    <row r="409" ht="15.75" customHeight="1">
      <c r="A409" s="23"/>
      <c r="B409" s="23"/>
    </row>
    <row r="410" ht="15.75" customHeight="1">
      <c r="A410" s="23"/>
      <c r="B410" s="23"/>
    </row>
    <row r="411" ht="15.75" customHeight="1">
      <c r="A411" s="23"/>
      <c r="B411" s="23"/>
    </row>
    <row r="412" ht="15.75" customHeight="1">
      <c r="A412" s="23"/>
      <c r="B412" s="23"/>
    </row>
    <row r="413" ht="15.75" customHeight="1">
      <c r="A413" s="23"/>
      <c r="B413" s="23"/>
    </row>
    <row r="414" ht="15.75" customHeight="1">
      <c r="A414" s="23"/>
      <c r="B414" s="23"/>
    </row>
    <row r="415" ht="15.75" customHeight="1">
      <c r="A415" s="23"/>
      <c r="B415" s="23"/>
    </row>
    <row r="416" ht="15.75" customHeight="1">
      <c r="A416" s="23"/>
      <c r="B416" s="23"/>
    </row>
    <row r="417" ht="15.75" customHeight="1">
      <c r="A417" s="23"/>
      <c r="B417" s="23"/>
    </row>
    <row r="418" ht="15.75" customHeight="1">
      <c r="A418" s="23"/>
      <c r="B418" s="23"/>
    </row>
    <row r="419" ht="15.75" customHeight="1">
      <c r="A419" s="23"/>
      <c r="B419" s="23"/>
    </row>
    <row r="420" ht="15.75" customHeight="1">
      <c r="A420" s="23"/>
      <c r="B420" s="23"/>
    </row>
    <row r="421" ht="15.75" customHeight="1">
      <c r="A421" s="23"/>
      <c r="B421" s="23"/>
    </row>
    <row r="422" ht="15.75" customHeight="1">
      <c r="A422" s="23"/>
      <c r="B422" s="23"/>
    </row>
    <row r="423" ht="15.75" customHeight="1">
      <c r="A423" s="23"/>
      <c r="B423" s="23"/>
    </row>
    <row r="424" ht="15.75" customHeight="1">
      <c r="A424" s="23"/>
      <c r="B424" s="23"/>
    </row>
    <row r="425" ht="15.75" customHeight="1">
      <c r="A425" s="23"/>
      <c r="B425" s="23"/>
    </row>
    <row r="426" ht="15.75" customHeight="1">
      <c r="A426" s="23"/>
      <c r="B426" s="23"/>
    </row>
    <row r="427" ht="15.75" customHeight="1">
      <c r="A427" s="23"/>
      <c r="B427" s="23"/>
    </row>
    <row r="428" ht="15.75" customHeight="1">
      <c r="A428" s="23"/>
      <c r="B428" s="23"/>
    </row>
    <row r="429" ht="15.75" customHeight="1">
      <c r="A429" s="23"/>
      <c r="B429" s="23"/>
    </row>
    <row r="430" ht="15.75" customHeight="1">
      <c r="A430" s="23"/>
      <c r="B430" s="23"/>
    </row>
    <row r="431" ht="15.75" customHeight="1">
      <c r="A431" s="23"/>
      <c r="B431" s="23"/>
    </row>
    <row r="432" ht="15.75" customHeight="1">
      <c r="A432" s="23"/>
      <c r="B432" s="23"/>
    </row>
    <row r="433" ht="15.75" customHeight="1">
      <c r="A433" s="23"/>
      <c r="B433" s="23"/>
    </row>
    <row r="434" ht="15.75" customHeight="1">
      <c r="A434" s="23"/>
      <c r="B434" s="23"/>
    </row>
    <row r="435" ht="15.75" customHeight="1">
      <c r="A435" s="23"/>
      <c r="B435" s="23"/>
    </row>
    <row r="436" ht="15.75" customHeight="1">
      <c r="A436" s="23"/>
      <c r="B436" s="23"/>
    </row>
    <row r="437" ht="15.75" customHeight="1">
      <c r="A437" s="23"/>
      <c r="B437" s="23"/>
    </row>
    <row r="438" ht="15.75" customHeight="1">
      <c r="A438" s="23"/>
      <c r="B438" s="23"/>
    </row>
    <row r="439" ht="15.75" customHeight="1">
      <c r="A439" s="23"/>
      <c r="B439" s="23"/>
    </row>
    <row r="440" ht="15.75" customHeight="1">
      <c r="A440" s="23"/>
      <c r="B440" s="23"/>
    </row>
    <row r="441" ht="15.75" customHeight="1">
      <c r="A441" s="23"/>
      <c r="B441" s="23"/>
    </row>
    <row r="442" ht="15.75" customHeight="1">
      <c r="A442" s="23"/>
      <c r="B442" s="23"/>
    </row>
    <row r="443" ht="15.75" customHeight="1">
      <c r="A443" s="23"/>
      <c r="B443" s="23"/>
    </row>
    <row r="444" ht="15.75" customHeight="1">
      <c r="A444" s="23"/>
      <c r="B444" s="23"/>
    </row>
    <row r="445" ht="15.75" customHeight="1">
      <c r="A445" s="23"/>
      <c r="B445" s="23"/>
    </row>
    <row r="446" ht="15.75" customHeight="1">
      <c r="A446" s="23"/>
      <c r="B446" s="23"/>
    </row>
    <row r="447" ht="15.75" customHeight="1">
      <c r="A447" s="23"/>
      <c r="B447" s="23"/>
    </row>
    <row r="448" ht="15.75" customHeight="1">
      <c r="A448" s="23"/>
      <c r="B448" s="23"/>
    </row>
    <row r="449" ht="15.75" customHeight="1">
      <c r="A449" s="23"/>
      <c r="B449" s="23"/>
    </row>
    <row r="450" ht="15.75" customHeight="1">
      <c r="A450" s="23"/>
      <c r="B450" s="23"/>
    </row>
    <row r="451" ht="15.75" customHeight="1">
      <c r="A451" s="23"/>
      <c r="B451" s="23"/>
    </row>
    <row r="452" ht="15.75" customHeight="1">
      <c r="A452" s="23"/>
      <c r="B452" s="23"/>
    </row>
    <row r="453" ht="15.75" customHeight="1">
      <c r="A453" s="23"/>
      <c r="B453" s="23"/>
    </row>
    <row r="454" ht="15.75" customHeight="1">
      <c r="A454" s="23"/>
      <c r="B454" s="23"/>
    </row>
    <row r="455" ht="15.75" customHeight="1">
      <c r="A455" s="23"/>
      <c r="B455" s="23"/>
    </row>
    <row r="456" ht="15.75" customHeight="1">
      <c r="A456" s="23"/>
      <c r="B456" s="23"/>
    </row>
    <row r="457" ht="15.75" customHeight="1">
      <c r="A457" s="23"/>
      <c r="B457" s="23"/>
    </row>
    <row r="458" ht="15.75" customHeight="1">
      <c r="A458" s="23"/>
      <c r="B458" s="23"/>
    </row>
    <row r="459" ht="15.75" customHeight="1">
      <c r="A459" s="23"/>
      <c r="B459" s="23"/>
    </row>
    <row r="460" ht="15.75" customHeight="1">
      <c r="A460" s="23"/>
      <c r="B460" s="23"/>
    </row>
    <row r="461" ht="15.75" customHeight="1">
      <c r="A461" s="23"/>
      <c r="B461" s="23"/>
    </row>
    <row r="462" ht="15.75" customHeight="1">
      <c r="A462" s="23"/>
      <c r="B462" s="23"/>
    </row>
    <row r="463" ht="15.75" customHeight="1">
      <c r="A463" s="23"/>
      <c r="B463" s="23"/>
    </row>
    <row r="464" ht="15.75" customHeight="1">
      <c r="A464" s="23"/>
      <c r="B464" s="23"/>
    </row>
    <row r="465" ht="15.75" customHeight="1">
      <c r="A465" s="23"/>
      <c r="B465" s="23"/>
    </row>
    <row r="466" ht="15.75" customHeight="1">
      <c r="A466" s="23"/>
      <c r="B466" s="23"/>
    </row>
    <row r="467" ht="15.75" customHeight="1">
      <c r="A467" s="23"/>
      <c r="B467" s="23"/>
    </row>
    <row r="468" ht="15.75" customHeight="1">
      <c r="A468" s="23"/>
      <c r="B468" s="23"/>
    </row>
    <row r="469" ht="15.75" customHeight="1">
      <c r="A469" s="23"/>
      <c r="B469" s="23"/>
    </row>
    <row r="470" ht="15.75" customHeight="1">
      <c r="A470" s="23"/>
      <c r="B470" s="23"/>
    </row>
    <row r="471" ht="15.75" customHeight="1">
      <c r="A471" s="23"/>
      <c r="B471" s="23"/>
    </row>
    <row r="472" ht="15.75" customHeight="1">
      <c r="A472" s="23"/>
      <c r="B472" s="23"/>
    </row>
    <row r="473" ht="15.75" customHeight="1">
      <c r="A473" s="23"/>
      <c r="B473" s="23"/>
    </row>
    <row r="474" ht="15.75" customHeight="1">
      <c r="A474" s="23"/>
      <c r="B474" s="23"/>
    </row>
    <row r="475" ht="15.75" customHeight="1">
      <c r="A475" s="23"/>
      <c r="B475" s="23"/>
    </row>
    <row r="476" ht="15.75" customHeight="1">
      <c r="A476" s="23"/>
      <c r="B476" s="23"/>
    </row>
    <row r="477" ht="15.75" customHeight="1">
      <c r="A477" s="23"/>
      <c r="B477" s="23"/>
    </row>
    <row r="478" ht="15.75" customHeight="1">
      <c r="A478" s="23"/>
      <c r="B478" s="23"/>
    </row>
    <row r="479" ht="15.75" customHeight="1">
      <c r="A479" s="23"/>
      <c r="B479" s="23"/>
    </row>
    <row r="480" ht="15.75" customHeight="1">
      <c r="A480" s="23"/>
      <c r="B480" s="23"/>
    </row>
    <row r="481" ht="15.75" customHeight="1">
      <c r="A481" s="23"/>
      <c r="B481" s="23"/>
    </row>
    <row r="482" ht="15.75" customHeight="1">
      <c r="A482" s="23"/>
      <c r="B482" s="23"/>
    </row>
    <row r="483" ht="15.75" customHeight="1">
      <c r="A483" s="23"/>
      <c r="B483" s="23"/>
    </row>
    <row r="484" ht="15.75" customHeight="1">
      <c r="A484" s="23"/>
      <c r="B484" s="23"/>
    </row>
    <row r="485" ht="15.75" customHeight="1">
      <c r="A485" s="23"/>
      <c r="B485" s="23"/>
    </row>
    <row r="486" ht="15.75" customHeight="1">
      <c r="A486" s="23"/>
      <c r="B486" s="23"/>
    </row>
    <row r="487" ht="15.75" customHeight="1">
      <c r="A487" s="23"/>
      <c r="B487" s="23"/>
    </row>
    <row r="488" ht="15.75" customHeight="1">
      <c r="A488" s="23"/>
      <c r="B488" s="23"/>
    </row>
    <row r="489" ht="15.75" customHeight="1">
      <c r="A489" s="23"/>
      <c r="B489" s="23"/>
    </row>
    <row r="490" ht="15.75" customHeight="1">
      <c r="A490" s="23"/>
      <c r="B490" s="23"/>
    </row>
    <row r="491" ht="15.75" customHeight="1">
      <c r="A491" s="23"/>
      <c r="B491" s="23"/>
    </row>
    <row r="492" ht="15.75" customHeight="1">
      <c r="A492" s="23"/>
      <c r="B492" s="23"/>
    </row>
    <row r="493" ht="15.75" customHeight="1">
      <c r="A493" s="23"/>
      <c r="B493" s="23"/>
    </row>
    <row r="494" ht="15.75" customHeight="1">
      <c r="A494" s="23"/>
      <c r="B494" s="23"/>
    </row>
    <row r="495" ht="15.75" customHeight="1">
      <c r="A495" s="23"/>
      <c r="B495" s="23"/>
    </row>
    <row r="496" ht="15.75" customHeight="1">
      <c r="A496" s="23"/>
      <c r="B496" s="23"/>
    </row>
    <row r="497" ht="15.75" customHeight="1">
      <c r="A497" s="23"/>
      <c r="B497" s="23"/>
    </row>
    <row r="498" ht="15.75" customHeight="1">
      <c r="A498" s="23"/>
      <c r="B498" s="23"/>
    </row>
    <row r="499" ht="15.75" customHeight="1">
      <c r="A499" s="23"/>
      <c r="B499" s="23"/>
    </row>
    <row r="500" ht="15.75" customHeight="1">
      <c r="A500" s="23"/>
      <c r="B500" s="23"/>
    </row>
    <row r="501" ht="15.75" customHeight="1">
      <c r="A501" s="23"/>
      <c r="B501" s="23"/>
    </row>
    <row r="502" ht="15.75" customHeight="1">
      <c r="A502" s="23"/>
      <c r="B502" s="23"/>
    </row>
    <row r="503" ht="15.75" customHeight="1">
      <c r="A503" s="23"/>
      <c r="B503" s="23"/>
    </row>
    <row r="504" ht="15.75" customHeight="1">
      <c r="A504" s="23"/>
      <c r="B504" s="23"/>
    </row>
    <row r="505" ht="15.75" customHeight="1">
      <c r="A505" s="23"/>
      <c r="B505" s="23"/>
    </row>
    <row r="506" ht="15.75" customHeight="1">
      <c r="A506" s="23"/>
      <c r="B506" s="23"/>
    </row>
    <row r="507" ht="15.75" customHeight="1">
      <c r="A507" s="23"/>
      <c r="B507" s="23"/>
    </row>
    <row r="508" ht="15.75" customHeight="1">
      <c r="A508" s="23"/>
      <c r="B508" s="23"/>
    </row>
    <row r="509" ht="15.75" customHeight="1">
      <c r="A509" s="23"/>
      <c r="B509" s="23"/>
    </row>
    <row r="510" ht="15.75" customHeight="1">
      <c r="A510" s="23"/>
      <c r="B510" s="23"/>
    </row>
    <row r="511" ht="15.75" customHeight="1">
      <c r="A511" s="23"/>
      <c r="B511" s="23"/>
    </row>
    <row r="512" ht="15.75" customHeight="1">
      <c r="A512" s="23"/>
      <c r="B512" s="23"/>
    </row>
    <row r="513" ht="15.75" customHeight="1">
      <c r="A513" s="23"/>
      <c r="B513" s="23"/>
    </row>
    <row r="514" ht="15.75" customHeight="1">
      <c r="A514" s="23"/>
      <c r="B514" s="23"/>
    </row>
    <row r="515" ht="15.75" customHeight="1">
      <c r="A515" s="23"/>
      <c r="B515" s="23"/>
    </row>
    <row r="516" ht="15.75" customHeight="1">
      <c r="A516" s="23"/>
      <c r="B516" s="23"/>
    </row>
    <row r="517" ht="15.75" customHeight="1">
      <c r="A517" s="23"/>
      <c r="B517" s="23"/>
    </row>
    <row r="518" ht="15.75" customHeight="1">
      <c r="A518" s="23"/>
      <c r="B518" s="23"/>
    </row>
    <row r="519" ht="15.75" customHeight="1">
      <c r="A519" s="23"/>
      <c r="B519" s="23"/>
    </row>
    <row r="520" ht="15.75" customHeight="1">
      <c r="A520" s="23"/>
      <c r="B520" s="23"/>
    </row>
    <row r="521" ht="15.75" customHeight="1">
      <c r="A521" s="23"/>
      <c r="B521" s="23"/>
    </row>
    <row r="522" ht="15.75" customHeight="1">
      <c r="A522" s="23"/>
      <c r="B522" s="23"/>
    </row>
    <row r="523" ht="15.75" customHeight="1">
      <c r="A523" s="23"/>
      <c r="B523" s="23"/>
    </row>
    <row r="524" ht="15.75" customHeight="1">
      <c r="A524" s="23"/>
      <c r="B524" s="23"/>
    </row>
    <row r="525" ht="15.75" customHeight="1">
      <c r="A525" s="23"/>
      <c r="B525" s="23"/>
    </row>
    <row r="526" ht="15.75" customHeight="1">
      <c r="A526" s="23"/>
      <c r="B526" s="23"/>
    </row>
    <row r="527" ht="15.75" customHeight="1">
      <c r="A527" s="23"/>
      <c r="B527" s="23"/>
    </row>
    <row r="528" ht="15.75" customHeight="1">
      <c r="A528" s="23"/>
      <c r="B528" s="23"/>
    </row>
    <row r="529" ht="15.75" customHeight="1">
      <c r="A529" s="23"/>
      <c r="B529" s="23"/>
    </row>
    <row r="530" ht="15.75" customHeight="1">
      <c r="A530" s="23"/>
      <c r="B530" s="23"/>
    </row>
    <row r="531" ht="15.75" customHeight="1">
      <c r="A531" s="23"/>
      <c r="B531" s="23"/>
    </row>
    <row r="532" ht="15.75" customHeight="1">
      <c r="A532" s="23"/>
      <c r="B532" s="23"/>
    </row>
    <row r="533" ht="15.75" customHeight="1">
      <c r="A533" s="23"/>
      <c r="B533" s="23"/>
    </row>
    <row r="534" ht="15.75" customHeight="1">
      <c r="A534" s="23"/>
      <c r="B534" s="23"/>
    </row>
    <row r="535" ht="15.75" customHeight="1">
      <c r="A535" s="23"/>
      <c r="B535" s="23"/>
    </row>
    <row r="536" ht="15.75" customHeight="1">
      <c r="A536" s="23"/>
      <c r="B536" s="23"/>
    </row>
    <row r="537" ht="15.75" customHeight="1">
      <c r="A537" s="23"/>
      <c r="B537" s="23"/>
    </row>
    <row r="538" ht="15.75" customHeight="1">
      <c r="A538" s="23"/>
      <c r="B538" s="23"/>
    </row>
    <row r="539" ht="15.75" customHeight="1">
      <c r="A539" s="23"/>
      <c r="B539" s="23"/>
    </row>
    <row r="540" ht="15.75" customHeight="1">
      <c r="A540" s="23"/>
      <c r="B540" s="23"/>
    </row>
    <row r="541" ht="15.75" customHeight="1">
      <c r="A541" s="23"/>
      <c r="B541" s="23"/>
    </row>
    <row r="542" ht="15.75" customHeight="1">
      <c r="A542" s="23"/>
      <c r="B542" s="23"/>
    </row>
    <row r="543" ht="15.75" customHeight="1">
      <c r="A543" s="23"/>
      <c r="B543" s="23"/>
    </row>
    <row r="544" ht="15.75" customHeight="1">
      <c r="A544" s="23"/>
      <c r="B544" s="23"/>
    </row>
    <row r="545" ht="15.75" customHeight="1">
      <c r="A545" s="23"/>
      <c r="B545" s="23"/>
    </row>
    <row r="546" ht="15.75" customHeight="1">
      <c r="A546" s="23"/>
      <c r="B546" s="23"/>
    </row>
    <row r="547" ht="15.75" customHeight="1">
      <c r="A547" s="23"/>
      <c r="B547" s="23"/>
    </row>
    <row r="548" ht="15.75" customHeight="1">
      <c r="A548" s="23"/>
      <c r="B548" s="23"/>
    </row>
    <row r="549" ht="15.75" customHeight="1">
      <c r="A549" s="23"/>
      <c r="B549" s="23"/>
    </row>
    <row r="550" ht="15.75" customHeight="1">
      <c r="A550" s="23"/>
      <c r="B550" s="23"/>
    </row>
    <row r="551" ht="15.75" customHeight="1">
      <c r="A551" s="23"/>
      <c r="B551" s="23"/>
    </row>
    <row r="552" ht="15.75" customHeight="1">
      <c r="A552" s="23"/>
      <c r="B552" s="23"/>
    </row>
    <row r="553" ht="15.75" customHeight="1">
      <c r="A553" s="23"/>
      <c r="B553" s="23"/>
    </row>
    <row r="554" ht="15.75" customHeight="1">
      <c r="A554" s="23"/>
      <c r="B554" s="23"/>
    </row>
    <row r="555" ht="15.75" customHeight="1">
      <c r="A555" s="23"/>
      <c r="B555" s="23"/>
    </row>
    <row r="556" ht="15.75" customHeight="1">
      <c r="A556" s="23"/>
      <c r="B556" s="23"/>
    </row>
    <row r="557" ht="15.75" customHeight="1">
      <c r="A557" s="23"/>
      <c r="B557" s="23"/>
    </row>
    <row r="558" ht="15.75" customHeight="1">
      <c r="A558" s="23"/>
      <c r="B558" s="23"/>
    </row>
    <row r="559" ht="15.75" customHeight="1">
      <c r="A559" s="23"/>
      <c r="B559" s="23"/>
    </row>
    <row r="560" ht="15.75" customHeight="1">
      <c r="A560" s="23"/>
      <c r="B560" s="23"/>
    </row>
    <row r="561" ht="15.75" customHeight="1">
      <c r="A561" s="23"/>
      <c r="B561" s="23"/>
    </row>
    <row r="562" ht="15.75" customHeight="1">
      <c r="A562" s="23"/>
      <c r="B562" s="23"/>
    </row>
    <row r="563" ht="15.75" customHeight="1">
      <c r="A563" s="23"/>
      <c r="B563" s="23"/>
    </row>
    <row r="564" ht="15.75" customHeight="1">
      <c r="A564" s="23"/>
      <c r="B564" s="23"/>
    </row>
    <row r="565" ht="15.75" customHeight="1">
      <c r="A565" s="23"/>
      <c r="B565" s="23"/>
    </row>
    <row r="566" ht="15.75" customHeight="1">
      <c r="A566" s="23"/>
      <c r="B566" s="23"/>
    </row>
    <row r="567" ht="15.75" customHeight="1">
      <c r="A567" s="23"/>
      <c r="B567" s="23"/>
    </row>
    <row r="568" ht="15.75" customHeight="1">
      <c r="A568" s="23"/>
      <c r="B568" s="23"/>
    </row>
    <row r="569" ht="15.75" customHeight="1">
      <c r="A569" s="23"/>
      <c r="B569" s="23"/>
    </row>
    <row r="570" ht="15.75" customHeight="1">
      <c r="A570" s="23"/>
      <c r="B570" s="23"/>
    </row>
    <row r="571" ht="15.75" customHeight="1">
      <c r="A571" s="23"/>
      <c r="B571" s="23"/>
    </row>
    <row r="572" ht="15.75" customHeight="1">
      <c r="A572" s="23"/>
      <c r="B572" s="23"/>
    </row>
    <row r="573" ht="15.75" customHeight="1">
      <c r="A573" s="23"/>
      <c r="B573" s="23"/>
    </row>
    <row r="574" ht="15.75" customHeight="1">
      <c r="A574" s="23"/>
      <c r="B574" s="23"/>
    </row>
    <row r="575" ht="15.75" customHeight="1">
      <c r="A575" s="23"/>
      <c r="B575" s="23"/>
    </row>
    <row r="576" ht="15.75" customHeight="1">
      <c r="A576" s="23"/>
      <c r="B576" s="23"/>
    </row>
    <row r="577" ht="15.75" customHeight="1">
      <c r="A577" s="23"/>
      <c r="B577" s="23"/>
    </row>
    <row r="578" ht="15.75" customHeight="1">
      <c r="A578" s="23"/>
      <c r="B578" s="23"/>
    </row>
    <row r="579" ht="15.75" customHeight="1">
      <c r="A579" s="23"/>
      <c r="B579" s="23"/>
    </row>
    <row r="580" ht="15.75" customHeight="1">
      <c r="A580" s="23"/>
      <c r="B580" s="23"/>
    </row>
    <row r="581" ht="15.75" customHeight="1">
      <c r="A581" s="23"/>
      <c r="B581" s="23"/>
    </row>
    <row r="582" ht="15.75" customHeight="1">
      <c r="A582" s="23"/>
      <c r="B582" s="23"/>
    </row>
    <row r="583" ht="15.75" customHeight="1">
      <c r="A583" s="23"/>
      <c r="B583" s="23"/>
    </row>
    <row r="584" ht="15.75" customHeight="1">
      <c r="A584" s="23"/>
      <c r="B584" s="23"/>
    </row>
    <row r="585" ht="15.75" customHeight="1">
      <c r="A585" s="23"/>
      <c r="B585" s="23"/>
    </row>
    <row r="586" ht="15.75" customHeight="1">
      <c r="A586" s="23"/>
      <c r="B586" s="23"/>
    </row>
    <row r="587" ht="15.75" customHeight="1">
      <c r="A587" s="23"/>
      <c r="B587" s="23"/>
    </row>
    <row r="588" ht="15.75" customHeight="1">
      <c r="A588" s="23"/>
      <c r="B588" s="23"/>
    </row>
    <row r="589" ht="15.75" customHeight="1">
      <c r="A589" s="23"/>
      <c r="B589" s="23"/>
    </row>
    <row r="590" ht="15.75" customHeight="1">
      <c r="A590" s="23"/>
      <c r="B590" s="23"/>
    </row>
    <row r="591" ht="15.75" customHeight="1">
      <c r="A591" s="23"/>
      <c r="B591" s="23"/>
    </row>
    <row r="592" ht="15.75" customHeight="1">
      <c r="A592" s="23"/>
      <c r="B592" s="23"/>
    </row>
    <row r="593" ht="15.75" customHeight="1">
      <c r="A593" s="23"/>
      <c r="B593" s="23"/>
    </row>
    <row r="594" ht="15.75" customHeight="1">
      <c r="A594" s="23"/>
      <c r="B594" s="23"/>
    </row>
    <row r="595" ht="15.75" customHeight="1">
      <c r="A595" s="23"/>
      <c r="B595" s="23"/>
    </row>
    <row r="596" ht="15.75" customHeight="1">
      <c r="A596" s="23"/>
      <c r="B596" s="23"/>
    </row>
    <row r="597" ht="15.75" customHeight="1">
      <c r="A597" s="23"/>
      <c r="B597" s="23"/>
    </row>
    <row r="598" ht="15.75" customHeight="1">
      <c r="A598" s="23"/>
      <c r="B598" s="23"/>
    </row>
    <row r="599" ht="15.75" customHeight="1">
      <c r="A599" s="23"/>
      <c r="B599" s="23"/>
    </row>
    <row r="600" ht="15.75" customHeight="1">
      <c r="A600" s="23"/>
      <c r="B600" s="23"/>
    </row>
    <row r="601" ht="15.75" customHeight="1">
      <c r="A601" s="23"/>
      <c r="B601" s="23"/>
    </row>
    <row r="602" ht="15.75" customHeight="1">
      <c r="A602" s="23"/>
      <c r="B602" s="23"/>
    </row>
    <row r="603" ht="15.75" customHeight="1">
      <c r="A603" s="23"/>
      <c r="B603" s="23"/>
    </row>
    <row r="604" ht="15.75" customHeight="1">
      <c r="A604" s="23"/>
      <c r="B604" s="23"/>
    </row>
    <row r="605" ht="15.75" customHeight="1">
      <c r="A605" s="23"/>
      <c r="B605" s="23"/>
    </row>
    <row r="606" ht="15.75" customHeight="1">
      <c r="A606" s="23"/>
      <c r="B606" s="23"/>
    </row>
    <row r="607" ht="15.75" customHeight="1">
      <c r="A607" s="23"/>
      <c r="B607" s="23"/>
    </row>
    <row r="608" ht="15.75" customHeight="1">
      <c r="A608" s="23"/>
      <c r="B608" s="23"/>
    </row>
    <row r="609" ht="15.75" customHeight="1">
      <c r="A609" s="23"/>
      <c r="B609" s="23"/>
    </row>
    <row r="610" ht="15.75" customHeight="1">
      <c r="A610" s="23"/>
      <c r="B610" s="23"/>
    </row>
    <row r="611" ht="15.75" customHeight="1">
      <c r="A611" s="23"/>
      <c r="B611" s="23"/>
    </row>
    <row r="612" ht="15.75" customHeight="1">
      <c r="A612" s="23"/>
      <c r="B612" s="23"/>
    </row>
    <row r="613" ht="15.75" customHeight="1">
      <c r="A613" s="23"/>
      <c r="B613" s="23"/>
    </row>
    <row r="614" ht="15.75" customHeight="1">
      <c r="A614" s="23"/>
      <c r="B614" s="23"/>
    </row>
    <row r="615" ht="15.75" customHeight="1">
      <c r="A615" s="23"/>
      <c r="B615" s="23"/>
    </row>
    <row r="616" ht="15.75" customHeight="1">
      <c r="A616" s="23"/>
      <c r="B616" s="23"/>
    </row>
    <row r="617" ht="15.75" customHeight="1">
      <c r="A617" s="23"/>
      <c r="B617" s="23"/>
    </row>
    <row r="618" ht="15.75" customHeight="1">
      <c r="A618" s="23"/>
      <c r="B618" s="23"/>
    </row>
    <row r="619" ht="15.75" customHeight="1">
      <c r="A619" s="23"/>
      <c r="B619" s="23"/>
    </row>
    <row r="620" ht="15.75" customHeight="1">
      <c r="A620" s="23"/>
      <c r="B620" s="23"/>
    </row>
    <row r="621" ht="15.75" customHeight="1">
      <c r="A621" s="23"/>
      <c r="B621" s="23"/>
    </row>
    <row r="622" ht="15.75" customHeight="1">
      <c r="A622" s="23"/>
      <c r="B622" s="23"/>
    </row>
    <row r="623" ht="15.75" customHeight="1">
      <c r="A623" s="23"/>
      <c r="B623" s="23"/>
    </row>
    <row r="624" ht="15.75" customHeight="1">
      <c r="A624" s="23"/>
      <c r="B624" s="23"/>
    </row>
    <row r="625" ht="15.75" customHeight="1">
      <c r="A625" s="23"/>
      <c r="B625" s="23"/>
    </row>
    <row r="626" ht="15.75" customHeight="1">
      <c r="A626" s="23"/>
      <c r="B626" s="23"/>
    </row>
    <row r="627" ht="15.75" customHeight="1">
      <c r="A627" s="23"/>
      <c r="B627" s="23"/>
    </row>
    <row r="628" ht="15.75" customHeight="1">
      <c r="A628" s="23"/>
      <c r="B628" s="23"/>
    </row>
    <row r="629" ht="15.75" customHeight="1">
      <c r="A629" s="23"/>
      <c r="B629" s="23"/>
    </row>
    <row r="630" ht="15.75" customHeight="1">
      <c r="A630" s="23"/>
      <c r="B630" s="23"/>
    </row>
    <row r="631" ht="15.75" customHeight="1">
      <c r="A631" s="23"/>
      <c r="B631" s="23"/>
    </row>
    <row r="632" ht="15.75" customHeight="1">
      <c r="A632" s="23"/>
      <c r="B632" s="23"/>
    </row>
    <row r="633" ht="15.75" customHeight="1">
      <c r="A633" s="23"/>
      <c r="B633" s="23"/>
    </row>
    <row r="634" ht="15.75" customHeight="1">
      <c r="A634" s="23"/>
      <c r="B634" s="23"/>
    </row>
    <row r="635" ht="15.75" customHeight="1">
      <c r="A635" s="23"/>
      <c r="B635" s="23"/>
    </row>
    <row r="636" ht="15.75" customHeight="1">
      <c r="A636" s="23"/>
      <c r="B636" s="23"/>
    </row>
    <row r="637" ht="15.75" customHeight="1">
      <c r="A637" s="23"/>
      <c r="B637" s="23"/>
    </row>
    <row r="638" ht="15.75" customHeight="1">
      <c r="A638" s="23"/>
      <c r="B638" s="23"/>
    </row>
    <row r="639" ht="15.75" customHeight="1">
      <c r="A639" s="23"/>
      <c r="B639" s="23"/>
    </row>
    <row r="640" ht="15.75" customHeight="1">
      <c r="A640" s="23"/>
      <c r="B640" s="23"/>
    </row>
    <row r="641" ht="15.75" customHeight="1">
      <c r="A641" s="23"/>
      <c r="B641" s="23"/>
    </row>
    <row r="642" ht="15.75" customHeight="1">
      <c r="A642" s="23"/>
      <c r="B642" s="23"/>
    </row>
    <row r="643" ht="15.75" customHeight="1">
      <c r="A643" s="23"/>
      <c r="B643" s="23"/>
    </row>
    <row r="644" ht="15.75" customHeight="1">
      <c r="A644" s="23"/>
      <c r="B644" s="23"/>
    </row>
    <row r="645" ht="15.75" customHeight="1">
      <c r="A645" s="23"/>
      <c r="B645" s="23"/>
    </row>
    <row r="646" ht="15.75" customHeight="1">
      <c r="A646" s="23"/>
      <c r="B646" s="23"/>
    </row>
    <row r="647" ht="15.75" customHeight="1">
      <c r="A647" s="23"/>
      <c r="B647" s="23"/>
    </row>
    <row r="648" ht="15.75" customHeight="1">
      <c r="A648" s="23"/>
      <c r="B648" s="23"/>
    </row>
    <row r="649" ht="15.75" customHeight="1">
      <c r="A649" s="23"/>
      <c r="B649" s="23"/>
    </row>
    <row r="650" ht="15.75" customHeight="1">
      <c r="A650" s="23"/>
      <c r="B650" s="23"/>
    </row>
    <row r="651" ht="15.75" customHeight="1">
      <c r="A651" s="23"/>
      <c r="B651" s="23"/>
    </row>
    <row r="652" ht="15.75" customHeight="1">
      <c r="A652" s="23"/>
      <c r="B652" s="23"/>
    </row>
    <row r="653" ht="15.75" customHeight="1">
      <c r="A653" s="23"/>
      <c r="B653" s="23"/>
    </row>
    <row r="654" ht="15.75" customHeight="1">
      <c r="A654" s="23"/>
      <c r="B654" s="23"/>
    </row>
    <row r="655" ht="15.75" customHeight="1">
      <c r="A655" s="23"/>
      <c r="B655" s="23"/>
    </row>
    <row r="656" ht="15.75" customHeight="1">
      <c r="A656" s="23"/>
      <c r="B656" s="23"/>
    </row>
    <row r="657" ht="15.75" customHeight="1">
      <c r="A657" s="23"/>
      <c r="B657" s="23"/>
    </row>
    <row r="658" ht="15.75" customHeight="1">
      <c r="A658" s="23"/>
      <c r="B658" s="23"/>
    </row>
    <row r="659" ht="15.75" customHeight="1">
      <c r="A659" s="23"/>
      <c r="B659" s="23"/>
    </row>
    <row r="660" ht="15.75" customHeight="1">
      <c r="A660" s="23"/>
      <c r="B660" s="23"/>
    </row>
    <row r="661" ht="15.75" customHeight="1">
      <c r="A661" s="23"/>
      <c r="B661" s="23"/>
    </row>
    <row r="662" ht="15.75" customHeight="1">
      <c r="A662" s="23"/>
      <c r="B662" s="23"/>
    </row>
    <row r="663" ht="15.75" customHeight="1">
      <c r="A663" s="23"/>
      <c r="B663" s="23"/>
    </row>
    <row r="664" ht="15.75" customHeight="1">
      <c r="A664" s="23"/>
      <c r="B664" s="23"/>
    </row>
    <row r="665" ht="15.75" customHeight="1">
      <c r="A665" s="23"/>
      <c r="B665" s="23"/>
    </row>
    <row r="666" ht="15.75" customHeight="1">
      <c r="A666" s="23"/>
      <c r="B666" s="23"/>
    </row>
    <row r="667" ht="15.75" customHeight="1">
      <c r="A667" s="23"/>
      <c r="B667" s="23"/>
    </row>
    <row r="668" ht="15.75" customHeight="1">
      <c r="A668" s="23"/>
      <c r="B668" s="23"/>
    </row>
    <row r="669" ht="15.75" customHeight="1">
      <c r="A669" s="23"/>
      <c r="B669" s="23"/>
    </row>
    <row r="670" ht="15.75" customHeight="1">
      <c r="A670" s="23"/>
      <c r="B670" s="23"/>
    </row>
    <row r="671" ht="15.75" customHeight="1">
      <c r="A671" s="23"/>
      <c r="B671" s="23"/>
    </row>
    <row r="672" ht="15.75" customHeight="1">
      <c r="A672" s="23"/>
      <c r="B672" s="23"/>
    </row>
    <row r="673" ht="15.75" customHeight="1">
      <c r="A673" s="23"/>
      <c r="B673" s="23"/>
    </row>
    <row r="674" ht="15.75" customHeight="1">
      <c r="A674" s="23"/>
      <c r="B674" s="23"/>
    </row>
    <row r="675" ht="15.75" customHeight="1">
      <c r="A675" s="23"/>
      <c r="B675" s="23"/>
    </row>
    <row r="676" ht="15.75" customHeight="1">
      <c r="A676" s="23"/>
      <c r="B676" s="23"/>
    </row>
    <row r="677" ht="15.75" customHeight="1">
      <c r="A677" s="23"/>
      <c r="B677" s="23"/>
    </row>
    <row r="678" ht="15.75" customHeight="1">
      <c r="A678" s="23"/>
      <c r="B678" s="23"/>
    </row>
    <row r="679" ht="15.75" customHeight="1">
      <c r="A679" s="23"/>
      <c r="B679" s="23"/>
    </row>
    <row r="680" ht="15.75" customHeight="1">
      <c r="A680" s="23"/>
      <c r="B680" s="23"/>
    </row>
    <row r="681" ht="15.75" customHeight="1">
      <c r="A681" s="23"/>
      <c r="B681" s="23"/>
    </row>
    <row r="682" ht="15.75" customHeight="1">
      <c r="A682" s="23"/>
      <c r="B682" s="23"/>
    </row>
    <row r="683" ht="15.75" customHeight="1">
      <c r="A683" s="23"/>
      <c r="B683" s="23"/>
    </row>
    <row r="684" ht="15.75" customHeight="1">
      <c r="A684" s="23"/>
      <c r="B684" s="23"/>
    </row>
    <row r="685" ht="15.75" customHeight="1">
      <c r="A685" s="23"/>
      <c r="B685" s="23"/>
    </row>
    <row r="686" ht="15.75" customHeight="1">
      <c r="A686" s="23"/>
      <c r="B686" s="23"/>
    </row>
    <row r="687" ht="15.75" customHeight="1">
      <c r="A687" s="23"/>
      <c r="B687" s="23"/>
    </row>
    <row r="688" ht="15.75" customHeight="1">
      <c r="A688" s="23"/>
      <c r="B688" s="23"/>
    </row>
    <row r="689" ht="15.75" customHeight="1">
      <c r="A689" s="23"/>
      <c r="B689" s="23"/>
    </row>
    <row r="690" ht="15.75" customHeight="1">
      <c r="A690" s="23"/>
      <c r="B690" s="23"/>
    </row>
    <row r="691" ht="15.75" customHeight="1">
      <c r="A691" s="23"/>
      <c r="B691" s="23"/>
    </row>
    <row r="692" ht="15.75" customHeight="1">
      <c r="A692" s="23"/>
      <c r="B692" s="23"/>
    </row>
    <row r="693" ht="15.75" customHeight="1">
      <c r="A693" s="23"/>
      <c r="B693" s="23"/>
    </row>
    <row r="694" ht="15.75" customHeight="1">
      <c r="A694" s="23"/>
      <c r="B694" s="23"/>
    </row>
    <row r="695" ht="15.75" customHeight="1">
      <c r="A695" s="23"/>
      <c r="B695" s="23"/>
    </row>
    <row r="696" ht="15.75" customHeight="1">
      <c r="A696" s="23"/>
      <c r="B696" s="23"/>
    </row>
    <row r="697" ht="15.75" customHeight="1">
      <c r="A697" s="23"/>
      <c r="B697" s="23"/>
    </row>
    <row r="698" ht="15.75" customHeight="1">
      <c r="A698" s="23"/>
      <c r="B698" s="23"/>
    </row>
    <row r="699" ht="15.75" customHeight="1">
      <c r="A699" s="23"/>
      <c r="B699" s="23"/>
    </row>
    <row r="700" ht="15.75" customHeight="1">
      <c r="A700" s="23"/>
      <c r="B700" s="23"/>
    </row>
    <row r="701" ht="15.75" customHeight="1">
      <c r="A701" s="23"/>
      <c r="B701" s="23"/>
    </row>
    <row r="702" ht="15.75" customHeight="1">
      <c r="A702" s="23"/>
      <c r="B702" s="23"/>
    </row>
    <row r="703" ht="15.75" customHeight="1">
      <c r="A703" s="23"/>
      <c r="B703" s="23"/>
    </row>
    <row r="704" ht="15.75" customHeight="1">
      <c r="A704" s="23"/>
      <c r="B704" s="23"/>
    </row>
    <row r="705" ht="15.75" customHeight="1">
      <c r="A705" s="23"/>
      <c r="B705" s="23"/>
    </row>
    <row r="706" ht="15.75" customHeight="1">
      <c r="A706" s="23"/>
      <c r="B706" s="23"/>
    </row>
    <row r="707" ht="15.75" customHeight="1">
      <c r="A707" s="23"/>
      <c r="B707" s="23"/>
    </row>
    <row r="708" ht="15.75" customHeight="1">
      <c r="A708" s="23"/>
      <c r="B708" s="23"/>
    </row>
    <row r="709" ht="15.75" customHeight="1">
      <c r="A709" s="23"/>
      <c r="B709" s="23"/>
    </row>
    <row r="710" ht="15.75" customHeight="1">
      <c r="A710" s="23"/>
      <c r="B710" s="23"/>
    </row>
    <row r="711" ht="15.75" customHeight="1">
      <c r="A711" s="23"/>
      <c r="B711" s="23"/>
    </row>
    <row r="712" ht="15.75" customHeight="1">
      <c r="A712" s="23"/>
      <c r="B712" s="23"/>
    </row>
    <row r="713" ht="15.75" customHeight="1">
      <c r="A713" s="23"/>
      <c r="B713" s="23"/>
    </row>
    <row r="714" ht="15.75" customHeight="1">
      <c r="A714" s="23"/>
      <c r="B714" s="23"/>
    </row>
    <row r="715" ht="15.75" customHeight="1">
      <c r="A715" s="23"/>
      <c r="B715" s="23"/>
    </row>
    <row r="716" ht="15.75" customHeight="1">
      <c r="A716" s="23"/>
      <c r="B716" s="23"/>
    </row>
    <row r="717" ht="15.75" customHeight="1">
      <c r="A717" s="23"/>
      <c r="B717" s="23"/>
    </row>
    <row r="718" ht="15.75" customHeight="1">
      <c r="A718" s="23"/>
      <c r="B718" s="23"/>
    </row>
    <row r="719" ht="15.75" customHeight="1">
      <c r="A719" s="23"/>
      <c r="B719" s="23"/>
    </row>
    <row r="720" ht="15.75" customHeight="1">
      <c r="A720" s="23"/>
      <c r="B720" s="23"/>
    </row>
    <row r="721" ht="15.75" customHeight="1">
      <c r="A721" s="23"/>
      <c r="B721" s="23"/>
    </row>
    <row r="722" ht="15.75" customHeight="1">
      <c r="A722" s="23"/>
      <c r="B722" s="23"/>
    </row>
    <row r="723" ht="15.75" customHeight="1">
      <c r="A723" s="23"/>
      <c r="B723" s="23"/>
    </row>
    <row r="724" ht="15.75" customHeight="1">
      <c r="A724" s="23"/>
      <c r="B724" s="23"/>
    </row>
    <row r="725" ht="15.75" customHeight="1">
      <c r="A725" s="23"/>
      <c r="B725" s="23"/>
    </row>
    <row r="726" ht="15.75" customHeight="1">
      <c r="A726" s="23"/>
      <c r="B726" s="23"/>
    </row>
    <row r="727" ht="15.75" customHeight="1">
      <c r="A727" s="23"/>
      <c r="B727" s="23"/>
    </row>
    <row r="728" ht="15.75" customHeight="1">
      <c r="A728" s="23"/>
      <c r="B728" s="23"/>
    </row>
    <row r="729" ht="15.75" customHeight="1">
      <c r="A729" s="23"/>
      <c r="B729" s="23"/>
    </row>
    <row r="730" ht="15.75" customHeight="1">
      <c r="A730" s="23"/>
      <c r="B730" s="23"/>
    </row>
    <row r="731" ht="15.75" customHeight="1">
      <c r="A731" s="23"/>
      <c r="B731" s="23"/>
    </row>
    <row r="732" ht="15.75" customHeight="1">
      <c r="A732" s="23"/>
      <c r="B732" s="23"/>
    </row>
    <row r="733" ht="15.75" customHeight="1">
      <c r="A733" s="23"/>
      <c r="B733" s="23"/>
    </row>
    <row r="734" ht="15.75" customHeight="1">
      <c r="A734" s="23"/>
      <c r="B734" s="23"/>
    </row>
    <row r="735" ht="15.75" customHeight="1">
      <c r="A735" s="23"/>
      <c r="B735" s="23"/>
    </row>
    <row r="736" ht="15.75" customHeight="1">
      <c r="A736" s="23"/>
      <c r="B736" s="23"/>
    </row>
    <row r="737" ht="15.75" customHeight="1">
      <c r="A737" s="23"/>
      <c r="B737" s="23"/>
    </row>
    <row r="738" ht="15.75" customHeight="1">
      <c r="A738" s="23"/>
      <c r="B738" s="23"/>
    </row>
    <row r="739" ht="15.75" customHeight="1">
      <c r="A739" s="23"/>
      <c r="B739" s="23"/>
    </row>
    <row r="740" ht="15.75" customHeight="1">
      <c r="A740" s="23"/>
      <c r="B740" s="23"/>
    </row>
    <row r="741" ht="15.75" customHeight="1">
      <c r="A741" s="23"/>
      <c r="B741" s="23"/>
    </row>
    <row r="742" ht="15.75" customHeight="1">
      <c r="A742" s="23"/>
      <c r="B742" s="23"/>
    </row>
    <row r="743" ht="15.75" customHeight="1">
      <c r="A743" s="23"/>
      <c r="B743" s="23"/>
    </row>
    <row r="744" ht="15.75" customHeight="1">
      <c r="A744" s="23"/>
      <c r="B744" s="23"/>
    </row>
    <row r="745" ht="15.75" customHeight="1">
      <c r="A745" s="23"/>
      <c r="B745" s="23"/>
    </row>
    <row r="746" ht="15.75" customHeight="1">
      <c r="A746" s="23"/>
      <c r="B746" s="23"/>
    </row>
    <row r="747" ht="15.75" customHeight="1">
      <c r="A747" s="23"/>
      <c r="B747" s="23"/>
    </row>
    <row r="748" ht="15.75" customHeight="1">
      <c r="A748" s="23"/>
      <c r="B748" s="23"/>
    </row>
    <row r="749" ht="15.75" customHeight="1">
      <c r="A749" s="23"/>
      <c r="B749" s="23"/>
    </row>
    <row r="750" ht="15.75" customHeight="1">
      <c r="A750" s="23"/>
      <c r="B750" s="23"/>
    </row>
    <row r="751" ht="15.75" customHeight="1">
      <c r="A751" s="23"/>
      <c r="B751" s="23"/>
    </row>
    <row r="752" ht="15.75" customHeight="1">
      <c r="A752" s="23"/>
      <c r="B752" s="23"/>
    </row>
    <row r="753" ht="15.75" customHeight="1">
      <c r="A753" s="23"/>
      <c r="B753" s="23"/>
    </row>
    <row r="754" ht="15.75" customHeight="1">
      <c r="A754" s="23"/>
      <c r="B754" s="23"/>
    </row>
    <row r="755" ht="15.75" customHeight="1">
      <c r="A755" s="23"/>
      <c r="B755" s="23"/>
    </row>
    <row r="756" ht="15.75" customHeight="1">
      <c r="A756" s="23"/>
      <c r="B756" s="23"/>
    </row>
    <row r="757" ht="15.75" customHeight="1">
      <c r="A757" s="23"/>
      <c r="B757" s="23"/>
    </row>
    <row r="758" ht="15.75" customHeight="1">
      <c r="A758" s="23"/>
      <c r="B758" s="23"/>
    </row>
    <row r="759" ht="15.75" customHeight="1">
      <c r="A759" s="23"/>
      <c r="B759" s="23"/>
    </row>
    <row r="760" ht="15.75" customHeight="1">
      <c r="A760" s="23"/>
      <c r="B760" s="23"/>
    </row>
    <row r="761" ht="15.75" customHeight="1">
      <c r="A761" s="23"/>
      <c r="B761" s="23"/>
    </row>
    <row r="762" ht="15.75" customHeight="1">
      <c r="A762" s="23"/>
      <c r="B762" s="23"/>
    </row>
    <row r="763" ht="15.75" customHeight="1">
      <c r="A763" s="23"/>
      <c r="B763" s="23"/>
    </row>
    <row r="764" ht="15.75" customHeight="1">
      <c r="A764" s="23"/>
      <c r="B764" s="23"/>
    </row>
    <row r="765" ht="15.75" customHeight="1">
      <c r="A765" s="23"/>
      <c r="B765" s="23"/>
    </row>
    <row r="766" ht="15.75" customHeight="1">
      <c r="A766" s="23"/>
      <c r="B766" s="23"/>
    </row>
    <row r="767" ht="15.75" customHeight="1">
      <c r="A767" s="23"/>
      <c r="B767" s="23"/>
    </row>
    <row r="768" ht="15.75" customHeight="1">
      <c r="A768" s="23"/>
      <c r="B768" s="23"/>
    </row>
    <row r="769" ht="15.75" customHeight="1">
      <c r="A769" s="23"/>
      <c r="B769" s="23"/>
    </row>
    <row r="770" ht="15.75" customHeight="1">
      <c r="A770" s="23"/>
      <c r="B770" s="23"/>
    </row>
    <row r="771" ht="15.75" customHeight="1">
      <c r="A771" s="23"/>
      <c r="B771" s="23"/>
    </row>
    <row r="772" ht="15.75" customHeight="1">
      <c r="A772" s="23"/>
      <c r="B772" s="23"/>
    </row>
    <row r="773" ht="15.75" customHeight="1">
      <c r="A773" s="23"/>
      <c r="B773" s="23"/>
    </row>
    <row r="774" ht="15.75" customHeight="1">
      <c r="A774" s="23"/>
      <c r="B774" s="23"/>
    </row>
    <row r="775" ht="15.75" customHeight="1">
      <c r="A775" s="23"/>
      <c r="B775" s="23"/>
    </row>
    <row r="776" ht="15.75" customHeight="1">
      <c r="A776" s="23"/>
      <c r="B776" s="23"/>
    </row>
    <row r="777" ht="15.75" customHeight="1">
      <c r="A777" s="23"/>
      <c r="B777" s="23"/>
    </row>
    <row r="778" ht="15.75" customHeight="1">
      <c r="A778" s="23"/>
      <c r="B778" s="23"/>
    </row>
    <row r="779" ht="15.75" customHeight="1">
      <c r="A779" s="23"/>
      <c r="B779" s="23"/>
    </row>
    <row r="780" ht="15.75" customHeight="1">
      <c r="A780" s="23"/>
      <c r="B780" s="23"/>
    </row>
    <row r="781" ht="15.75" customHeight="1">
      <c r="A781" s="23"/>
      <c r="B781" s="23"/>
    </row>
    <row r="782" ht="15.75" customHeight="1">
      <c r="A782" s="23"/>
      <c r="B782" s="23"/>
    </row>
    <row r="783" ht="15.75" customHeight="1">
      <c r="A783" s="23"/>
      <c r="B783" s="23"/>
    </row>
    <row r="784" ht="15.75" customHeight="1">
      <c r="A784" s="23"/>
      <c r="B784" s="23"/>
    </row>
    <row r="785" ht="15.75" customHeight="1">
      <c r="A785" s="23"/>
      <c r="B785" s="23"/>
    </row>
    <row r="786" ht="15.75" customHeight="1">
      <c r="A786" s="23"/>
      <c r="B786" s="23"/>
    </row>
    <row r="787" ht="15.75" customHeight="1">
      <c r="A787" s="23"/>
      <c r="B787" s="23"/>
    </row>
    <row r="788" ht="15.75" customHeight="1">
      <c r="A788" s="23"/>
      <c r="B788" s="23"/>
    </row>
    <row r="789" ht="15.75" customHeight="1">
      <c r="A789" s="23"/>
      <c r="B789" s="23"/>
    </row>
    <row r="790" ht="15.75" customHeight="1">
      <c r="A790" s="23"/>
      <c r="B790" s="23"/>
    </row>
    <row r="791" ht="15.75" customHeight="1">
      <c r="A791" s="23"/>
      <c r="B791" s="23"/>
    </row>
    <row r="792" ht="15.75" customHeight="1">
      <c r="A792" s="23"/>
      <c r="B792" s="23"/>
    </row>
    <row r="793" ht="15.75" customHeight="1">
      <c r="A793" s="23"/>
      <c r="B793" s="23"/>
    </row>
    <row r="794" ht="15.75" customHeight="1">
      <c r="A794" s="23"/>
      <c r="B794" s="23"/>
    </row>
    <row r="795" ht="15.75" customHeight="1">
      <c r="A795" s="23"/>
      <c r="B795" s="23"/>
    </row>
    <row r="796" ht="15.75" customHeight="1">
      <c r="A796" s="23"/>
      <c r="B796" s="23"/>
    </row>
    <row r="797" ht="15.75" customHeight="1">
      <c r="A797" s="23"/>
      <c r="B797" s="23"/>
    </row>
    <row r="798" ht="15.75" customHeight="1">
      <c r="A798" s="23"/>
      <c r="B798" s="23"/>
    </row>
    <row r="799" ht="15.75" customHeight="1">
      <c r="A799" s="23"/>
      <c r="B799" s="23"/>
    </row>
    <row r="800" ht="15.75" customHeight="1">
      <c r="A800" s="23"/>
      <c r="B800" s="23"/>
    </row>
    <row r="801" ht="15.75" customHeight="1">
      <c r="A801" s="23"/>
      <c r="B801" s="23"/>
    </row>
    <row r="802" ht="15.75" customHeight="1">
      <c r="A802" s="23"/>
      <c r="B802" s="23"/>
    </row>
    <row r="803" ht="15.75" customHeight="1">
      <c r="A803" s="23"/>
      <c r="B803" s="23"/>
    </row>
    <row r="804" ht="15.75" customHeight="1">
      <c r="A804" s="23"/>
      <c r="B804" s="23"/>
    </row>
    <row r="805" ht="15.75" customHeight="1">
      <c r="A805" s="23"/>
      <c r="B805" s="23"/>
    </row>
    <row r="806" ht="15.75" customHeight="1">
      <c r="A806" s="23"/>
      <c r="B806" s="23"/>
    </row>
    <row r="807" ht="15.75" customHeight="1">
      <c r="A807" s="23"/>
      <c r="B807" s="23"/>
    </row>
    <row r="808" ht="15.75" customHeight="1">
      <c r="A808" s="23"/>
      <c r="B808" s="23"/>
    </row>
    <row r="809" ht="15.75" customHeight="1">
      <c r="A809" s="23"/>
      <c r="B809" s="23"/>
    </row>
    <row r="810" ht="15.75" customHeight="1">
      <c r="A810" s="23"/>
      <c r="B810" s="23"/>
    </row>
    <row r="811" ht="15.75" customHeight="1">
      <c r="A811" s="23"/>
      <c r="B811" s="23"/>
    </row>
    <row r="812" ht="15.75" customHeight="1">
      <c r="A812" s="23"/>
      <c r="B812" s="23"/>
    </row>
    <row r="813" ht="15.75" customHeight="1">
      <c r="A813" s="23"/>
      <c r="B813" s="23"/>
    </row>
    <row r="814" ht="15.75" customHeight="1">
      <c r="A814" s="23"/>
      <c r="B814" s="23"/>
    </row>
    <row r="815" ht="15.75" customHeight="1">
      <c r="A815" s="23"/>
      <c r="B815" s="23"/>
    </row>
    <row r="816" ht="15.75" customHeight="1">
      <c r="A816" s="23"/>
      <c r="B816" s="23"/>
    </row>
    <row r="817" ht="15.75" customHeight="1">
      <c r="A817" s="23"/>
      <c r="B817" s="23"/>
    </row>
    <row r="818" ht="15.75" customHeight="1">
      <c r="A818" s="23"/>
      <c r="B818" s="23"/>
    </row>
    <row r="819" ht="15.75" customHeight="1">
      <c r="A819" s="23"/>
      <c r="B819" s="23"/>
    </row>
    <row r="820" ht="15.75" customHeight="1">
      <c r="A820" s="23"/>
      <c r="B820" s="23"/>
    </row>
    <row r="821" ht="15.75" customHeight="1">
      <c r="A821" s="23"/>
      <c r="B821" s="23"/>
    </row>
    <row r="822" ht="15.75" customHeight="1">
      <c r="A822" s="23"/>
      <c r="B822" s="23"/>
    </row>
    <row r="823" ht="15.75" customHeight="1">
      <c r="A823" s="23"/>
      <c r="B823" s="23"/>
    </row>
    <row r="824" ht="15.75" customHeight="1">
      <c r="A824" s="23"/>
      <c r="B824" s="23"/>
    </row>
    <row r="825" ht="15.75" customHeight="1">
      <c r="A825" s="23"/>
      <c r="B825" s="23"/>
    </row>
    <row r="826" ht="15.75" customHeight="1">
      <c r="A826" s="23"/>
      <c r="B826" s="23"/>
    </row>
    <row r="827" ht="15.75" customHeight="1">
      <c r="A827" s="23"/>
      <c r="B827" s="23"/>
    </row>
    <row r="828" ht="15.75" customHeight="1">
      <c r="A828" s="23"/>
      <c r="B828" s="23"/>
    </row>
    <row r="829" ht="15.75" customHeight="1">
      <c r="A829" s="23"/>
      <c r="B829" s="23"/>
    </row>
    <row r="830" ht="15.75" customHeight="1">
      <c r="A830" s="23"/>
      <c r="B830" s="23"/>
    </row>
    <row r="831" ht="15.75" customHeight="1">
      <c r="A831" s="23"/>
      <c r="B831" s="23"/>
    </row>
    <row r="832" ht="15.75" customHeight="1">
      <c r="A832" s="23"/>
      <c r="B832" s="23"/>
    </row>
    <row r="833" ht="15.75" customHeight="1">
      <c r="A833" s="23"/>
      <c r="B833" s="23"/>
    </row>
    <row r="834" ht="15.75" customHeight="1">
      <c r="A834" s="23"/>
      <c r="B834" s="23"/>
    </row>
    <row r="835" ht="15.75" customHeight="1">
      <c r="A835" s="23"/>
      <c r="B835" s="23"/>
    </row>
    <row r="836" ht="15.75" customHeight="1">
      <c r="A836" s="23"/>
      <c r="B836" s="23"/>
    </row>
    <row r="837" ht="15.75" customHeight="1">
      <c r="A837" s="23"/>
      <c r="B837" s="23"/>
    </row>
    <row r="838" ht="15.75" customHeight="1">
      <c r="A838" s="23"/>
      <c r="B838" s="23"/>
    </row>
    <row r="839" ht="15.75" customHeight="1">
      <c r="A839" s="23"/>
      <c r="B839" s="23"/>
    </row>
    <row r="840" ht="15.75" customHeight="1">
      <c r="A840" s="23"/>
      <c r="B840" s="23"/>
    </row>
    <row r="841" ht="15.75" customHeight="1">
      <c r="A841" s="23"/>
      <c r="B841" s="23"/>
    </row>
    <row r="842" ht="15.75" customHeight="1">
      <c r="A842" s="23"/>
      <c r="B842" s="23"/>
    </row>
    <row r="843" ht="15.75" customHeight="1">
      <c r="A843" s="23"/>
      <c r="B843" s="23"/>
    </row>
    <row r="844" ht="15.75" customHeight="1">
      <c r="A844" s="23"/>
      <c r="B844" s="23"/>
    </row>
    <row r="845" ht="15.75" customHeight="1">
      <c r="A845" s="23"/>
      <c r="B845" s="23"/>
    </row>
    <row r="846" ht="15.75" customHeight="1">
      <c r="A846" s="23"/>
      <c r="B846" s="23"/>
    </row>
    <row r="847" ht="15.75" customHeight="1">
      <c r="A847" s="23"/>
      <c r="B847" s="23"/>
    </row>
    <row r="848" ht="15.75" customHeight="1">
      <c r="A848" s="23"/>
      <c r="B848" s="23"/>
    </row>
    <row r="849" ht="15.75" customHeight="1">
      <c r="A849" s="23"/>
      <c r="B849" s="23"/>
    </row>
    <row r="850" ht="15.75" customHeight="1">
      <c r="A850" s="23"/>
      <c r="B850" s="23"/>
    </row>
    <row r="851" ht="15.75" customHeight="1">
      <c r="A851" s="23"/>
      <c r="B851" s="23"/>
    </row>
    <row r="852" ht="15.75" customHeight="1">
      <c r="A852" s="23"/>
      <c r="B852" s="23"/>
    </row>
    <row r="853" ht="15.75" customHeight="1">
      <c r="A853" s="23"/>
      <c r="B853" s="23"/>
    </row>
    <row r="854" ht="15.75" customHeight="1">
      <c r="A854" s="23"/>
      <c r="B854" s="23"/>
    </row>
    <row r="855" ht="15.75" customHeight="1">
      <c r="A855" s="23"/>
      <c r="B855" s="23"/>
    </row>
    <row r="856" ht="15.75" customHeight="1">
      <c r="A856" s="23"/>
      <c r="B856" s="23"/>
    </row>
    <row r="857" ht="15.75" customHeight="1">
      <c r="A857" s="23"/>
      <c r="B857" s="23"/>
    </row>
    <row r="858" ht="15.75" customHeight="1">
      <c r="A858" s="23"/>
      <c r="B858" s="23"/>
    </row>
    <row r="859" ht="15.75" customHeight="1">
      <c r="A859" s="23"/>
      <c r="B859" s="23"/>
    </row>
    <row r="860" ht="15.75" customHeight="1">
      <c r="A860" s="23"/>
      <c r="B860" s="23"/>
    </row>
    <row r="861" ht="15.75" customHeight="1">
      <c r="A861" s="23"/>
      <c r="B861" s="23"/>
    </row>
    <row r="862" ht="15.75" customHeight="1">
      <c r="A862" s="23"/>
      <c r="B862" s="23"/>
    </row>
    <row r="863" ht="15.75" customHeight="1">
      <c r="A863" s="23"/>
      <c r="B863" s="23"/>
    </row>
    <row r="864" ht="15.75" customHeight="1">
      <c r="A864" s="23"/>
      <c r="B864" s="23"/>
    </row>
    <row r="865" ht="15.75" customHeight="1">
      <c r="A865" s="23"/>
      <c r="B865" s="23"/>
    </row>
    <row r="866" ht="15.75" customHeight="1">
      <c r="A866" s="23"/>
      <c r="B866" s="23"/>
    </row>
    <row r="867" ht="15.75" customHeight="1">
      <c r="A867" s="23"/>
      <c r="B867" s="23"/>
    </row>
    <row r="868" ht="15.75" customHeight="1">
      <c r="A868" s="23"/>
      <c r="B868" s="23"/>
    </row>
    <row r="869" ht="15.75" customHeight="1">
      <c r="A869" s="23"/>
      <c r="B869" s="23"/>
    </row>
    <row r="870" ht="15.75" customHeight="1">
      <c r="A870" s="23"/>
      <c r="B870" s="23"/>
    </row>
    <row r="871" ht="15.75" customHeight="1">
      <c r="A871" s="23"/>
      <c r="B871" s="23"/>
    </row>
    <row r="872" ht="15.75" customHeight="1">
      <c r="A872" s="23"/>
      <c r="B872" s="23"/>
    </row>
    <row r="873" ht="15.75" customHeight="1">
      <c r="A873" s="23"/>
      <c r="B873" s="23"/>
    </row>
    <row r="874" ht="15.75" customHeight="1">
      <c r="A874" s="23"/>
      <c r="B874" s="23"/>
    </row>
    <row r="875" ht="15.75" customHeight="1">
      <c r="A875" s="23"/>
      <c r="B875" s="23"/>
    </row>
    <row r="876" ht="15.75" customHeight="1">
      <c r="A876" s="23"/>
      <c r="B876" s="23"/>
    </row>
    <row r="877" ht="15.75" customHeight="1">
      <c r="A877" s="23"/>
      <c r="B877" s="23"/>
    </row>
    <row r="878" ht="15.75" customHeight="1">
      <c r="A878" s="23"/>
      <c r="B878" s="23"/>
    </row>
    <row r="879" ht="15.75" customHeight="1">
      <c r="A879" s="23"/>
      <c r="B879" s="23"/>
    </row>
    <row r="880" ht="15.75" customHeight="1">
      <c r="A880" s="23"/>
      <c r="B880" s="23"/>
    </row>
    <row r="881" ht="15.75" customHeight="1">
      <c r="A881" s="23"/>
      <c r="B881" s="23"/>
    </row>
    <row r="882" ht="15.75" customHeight="1">
      <c r="A882" s="23"/>
      <c r="B882" s="23"/>
    </row>
    <row r="883" ht="15.75" customHeight="1">
      <c r="A883" s="23"/>
      <c r="B883" s="23"/>
    </row>
    <row r="884" ht="15.75" customHeight="1">
      <c r="A884" s="23"/>
      <c r="B884" s="23"/>
    </row>
    <row r="885" ht="15.75" customHeight="1">
      <c r="A885" s="23"/>
      <c r="B885" s="23"/>
    </row>
    <row r="886" ht="15.75" customHeight="1">
      <c r="A886" s="23"/>
      <c r="B886" s="23"/>
    </row>
    <row r="887" ht="15.75" customHeight="1">
      <c r="A887" s="23"/>
      <c r="B887" s="23"/>
    </row>
    <row r="888" ht="15.75" customHeight="1">
      <c r="A888" s="23"/>
      <c r="B888" s="23"/>
    </row>
    <row r="889" ht="15.75" customHeight="1">
      <c r="A889" s="23"/>
      <c r="B889" s="23"/>
    </row>
    <row r="890" ht="15.75" customHeight="1">
      <c r="A890" s="23"/>
      <c r="B890" s="23"/>
    </row>
    <row r="891" ht="15.75" customHeight="1">
      <c r="A891" s="23"/>
      <c r="B891" s="23"/>
    </row>
    <row r="892" ht="15.75" customHeight="1">
      <c r="A892" s="23"/>
      <c r="B892" s="23"/>
    </row>
    <row r="893" ht="15.75" customHeight="1">
      <c r="A893" s="23"/>
      <c r="B893" s="23"/>
    </row>
    <row r="894" ht="15.75" customHeight="1">
      <c r="A894" s="23"/>
      <c r="B894" s="23"/>
    </row>
    <row r="895" ht="15.75" customHeight="1">
      <c r="A895" s="23"/>
      <c r="B895" s="23"/>
    </row>
    <row r="896" ht="15.75" customHeight="1">
      <c r="A896" s="23"/>
      <c r="B896" s="23"/>
    </row>
    <row r="897" ht="15.75" customHeight="1">
      <c r="A897" s="23"/>
      <c r="B897" s="23"/>
    </row>
    <row r="898" ht="15.75" customHeight="1">
      <c r="A898" s="23"/>
      <c r="B898" s="23"/>
    </row>
    <row r="899" ht="15.75" customHeight="1">
      <c r="A899" s="23"/>
      <c r="B899" s="23"/>
    </row>
    <row r="900" ht="15.75" customHeight="1">
      <c r="A900" s="23"/>
      <c r="B900" s="23"/>
    </row>
    <row r="901" ht="15.75" customHeight="1">
      <c r="A901" s="23"/>
      <c r="B901" s="23"/>
    </row>
    <row r="902" ht="15.75" customHeight="1">
      <c r="A902" s="23"/>
      <c r="B902" s="23"/>
    </row>
    <row r="903" ht="15.75" customHeight="1">
      <c r="A903" s="23"/>
      <c r="B903" s="23"/>
    </row>
    <row r="904" ht="15.75" customHeight="1">
      <c r="A904" s="23"/>
      <c r="B904" s="23"/>
    </row>
    <row r="905" ht="15.75" customHeight="1">
      <c r="A905" s="23"/>
      <c r="B905" s="23"/>
    </row>
    <row r="906" ht="15.75" customHeight="1">
      <c r="A906" s="23"/>
      <c r="B906" s="23"/>
    </row>
    <row r="907" ht="15.75" customHeight="1">
      <c r="A907" s="23"/>
      <c r="B907" s="23"/>
    </row>
    <row r="908" ht="15.75" customHeight="1">
      <c r="A908" s="23"/>
      <c r="B908" s="23"/>
    </row>
    <row r="909" ht="15.75" customHeight="1">
      <c r="A909" s="23"/>
      <c r="B909" s="23"/>
    </row>
    <row r="910" ht="15.75" customHeight="1">
      <c r="A910" s="23"/>
      <c r="B910" s="23"/>
    </row>
    <row r="911" ht="15.75" customHeight="1">
      <c r="A911" s="23"/>
      <c r="B911" s="23"/>
    </row>
    <row r="912" ht="15.75" customHeight="1">
      <c r="A912" s="23"/>
      <c r="B912" s="23"/>
    </row>
    <row r="913" ht="15.75" customHeight="1">
      <c r="A913" s="23"/>
      <c r="B913" s="23"/>
    </row>
    <row r="914" ht="15.75" customHeight="1">
      <c r="A914" s="23"/>
      <c r="B914" s="23"/>
    </row>
    <row r="915" ht="15.75" customHeight="1">
      <c r="A915" s="23"/>
      <c r="B915" s="23"/>
    </row>
    <row r="916" ht="15.75" customHeight="1">
      <c r="A916" s="23"/>
      <c r="B916" s="23"/>
    </row>
    <row r="917" ht="15.75" customHeight="1">
      <c r="A917" s="23"/>
      <c r="B917" s="23"/>
    </row>
    <row r="918" ht="15.75" customHeight="1">
      <c r="A918" s="23"/>
      <c r="B918" s="23"/>
    </row>
    <row r="919" ht="15.75" customHeight="1">
      <c r="A919" s="23"/>
      <c r="B919" s="23"/>
    </row>
    <row r="920" ht="15.75" customHeight="1">
      <c r="A920" s="23"/>
      <c r="B920" s="23"/>
    </row>
    <row r="921" ht="15.75" customHeight="1">
      <c r="A921" s="23"/>
      <c r="B921" s="23"/>
    </row>
    <row r="922" ht="15.75" customHeight="1">
      <c r="A922" s="23"/>
      <c r="B922" s="23"/>
    </row>
    <row r="923" ht="15.75" customHeight="1">
      <c r="A923" s="23"/>
      <c r="B923" s="23"/>
    </row>
    <row r="924" ht="15.75" customHeight="1">
      <c r="A924" s="23"/>
      <c r="B924" s="23"/>
    </row>
    <row r="925" ht="15.75" customHeight="1">
      <c r="A925" s="23"/>
      <c r="B925" s="23"/>
    </row>
    <row r="926" ht="15.75" customHeight="1">
      <c r="A926" s="23"/>
      <c r="B926" s="23"/>
    </row>
    <row r="927" ht="15.75" customHeight="1">
      <c r="A927" s="23"/>
      <c r="B927" s="23"/>
    </row>
    <row r="928" ht="15.75" customHeight="1">
      <c r="A928" s="23"/>
      <c r="B928" s="23"/>
    </row>
    <row r="929" ht="15.75" customHeight="1">
      <c r="A929" s="23"/>
      <c r="B929" s="23"/>
    </row>
    <row r="930" ht="15.75" customHeight="1">
      <c r="A930" s="23"/>
      <c r="B930" s="23"/>
    </row>
    <row r="931" ht="15.75" customHeight="1">
      <c r="A931" s="23"/>
      <c r="B931" s="23"/>
    </row>
    <row r="932" ht="15.75" customHeight="1">
      <c r="A932" s="23"/>
      <c r="B932" s="23"/>
    </row>
    <row r="933" ht="15.75" customHeight="1">
      <c r="A933" s="23"/>
      <c r="B933" s="23"/>
    </row>
    <row r="934" ht="15.75" customHeight="1">
      <c r="A934" s="23"/>
      <c r="B934" s="23"/>
    </row>
    <row r="935" ht="15.75" customHeight="1">
      <c r="A935" s="23"/>
      <c r="B935" s="23"/>
    </row>
    <row r="936" ht="15.75" customHeight="1">
      <c r="A936" s="23"/>
      <c r="B936" s="23"/>
    </row>
    <row r="937" ht="15.75" customHeight="1">
      <c r="A937" s="23"/>
      <c r="B937" s="23"/>
    </row>
    <row r="938" ht="15.75" customHeight="1">
      <c r="A938" s="23"/>
      <c r="B938" s="23"/>
    </row>
    <row r="939" ht="15.75" customHeight="1">
      <c r="A939" s="23"/>
      <c r="B939" s="23"/>
    </row>
    <row r="940" ht="15.75" customHeight="1">
      <c r="A940" s="23"/>
      <c r="B940" s="23"/>
    </row>
    <row r="941" ht="15.75" customHeight="1">
      <c r="A941" s="23"/>
      <c r="B941" s="23"/>
    </row>
    <row r="942" ht="15.75" customHeight="1">
      <c r="A942" s="23"/>
      <c r="B942" s="23"/>
    </row>
    <row r="943" ht="15.75" customHeight="1">
      <c r="A943" s="23"/>
      <c r="B943" s="23"/>
    </row>
    <row r="944" ht="15.75" customHeight="1">
      <c r="A944" s="23"/>
      <c r="B944" s="23"/>
    </row>
    <row r="945" ht="15.75" customHeight="1">
      <c r="A945" s="23"/>
      <c r="B945" s="23"/>
    </row>
    <row r="946" ht="15.75" customHeight="1">
      <c r="A946" s="23"/>
      <c r="B946" s="23"/>
    </row>
    <row r="947" ht="15.75" customHeight="1">
      <c r="A947" s="23"/>
      <c r="B947" s="23"/>
    </row>
    <row r="948" ht="15.75" customHeight="1">
      <c r="A948" s="23"/>
      <c r="B948" s="23"/>
    </row>
    <row r="949" ht="15.75" customHeight="1">
      <c r="A949" s="23"/>
      <c r="B949" s="23"/>
    </row>
    <row r="950" ht="15.75" customHeight="1">
      <c r="A950" s="23"/>
      <c r="B950" s="23"/>
    </row>
    <row r="951" ht="15.75" customHeight="1">
      <c r="A951" s="23"/>
      <c r="B951" s="23"/>
    </row>
    <row r="952" ht="15.75" customHeight="1">
      <c r="A952" s="23"/>
      <c r="B952" s="23"/>
    </row>
    <row r="953" ht="15.75" customHeight="1">
      <c r="A953" s="23"/>
      <c r="B953" s="23"/>
    </row>
    <row r="954" ht="15.75" customHeight="1">
      <c r="A954" s="23"/>
      <c r="B954" s="23"/>
    </row>
    <row r="955" ht="15.75" customHeight="1">
      <c r="A955" s="23"/>
      <c r="B955" s="23"/>
    </row>
    <row r="956" ht="15.75" customHeight="1">
      <c r="A956" s="23"/>
      <c r="B956" s="23"/>
    </row>
    <row r="957" ht="15.75" customHeight="1">
      <c r="A957" s="23"/>
      <c r="B957" s="23"/>
    </row>
    <row r="958" ht="15.75" customHeight="1">
      <c r="A958" s="23"/>
      <c r="B958" s="23"/>
    </row>
    <row r="959" ht="15.75" customHeight="1">
      <c r="A959" s="23"/>
      <c r="B959" s="23"/>
    </row>
    <row r="960" ht="15.75" customHeight="1">
      <c r="A960" s="23"/>
      <c r="B960" s="23"/>
    </row>
    <row r="961" ht="15.75" customHeight="1">
      <c r="A961" s="23"/>
      <c r="B961" s="23"/>
    </row>
    <row r="962" ht="15.75" customHeight="1">
      <c r="A962" s="23"/>
      <c r="B962" s="23"/>
    </row>
    <row r="963" ht="15.75" customHeight="1">
      <c r="A963" s="23"/>
      <c r="B963" s="23"/>
    </row>
    <row r="964" ht="15.75" customHeight="1">
      <c r="A964" s="23"/>
      <c r="B964" s="23"/>
    </row>
    <row r="965" ht="15.75" customHeight="1">
      <c r="A965" s="23"/>
      <c r="B965" s="23"/>
    </row>
    <row r="966" ht="15.75" customHeight="1">
      <c r="A966" s="23"/>
      <c r="B966" s="23"/>
    </row>
    <row r="967" ht="15.75" customHeight="1">
      <c r="A967" s="23"/>
      <c r="B967" s="23"/>
    </row>
    <row r="968" ht="15.75" customHeight="1">
      <c r="A968" s="23"/>
      <c r="B968" s="23"/>
    </row>
    <row r="969" ht="15.75" customHeight="1">
      <c r="A969" s="23"/>
      <c r="B969" s="23"/>
    </row>
    <row r="970" ht="15.75" customHeight="1">
      <c r="A970" s="23"/>
      <c r="B970" s="23"/>
    </row>
    <row r="971" ht="15.75" customHeight="1">
      <c r="A971" s="23"/>
      <c r="B971" s="23"/>
    </row>
    <row r="972" ht="15.75" customHeight="1">
      <c r="A972" s="23"/>
      <c r="B972" s="23"/>
    </row>
    <row r="973" ht="15.75" customHeight="1">
      <c r="A973" s="23"/>
      <c r="B973" s="23"/>
    </row>
    <row r="974" ht="15.75" customHeight="1">
      <c r="A974" s="23"/>
      <c r="B974" s="23"/>
    </row>
    <row r="975" ht="15.75" customHeight="1">
      <c r="A975" s="23"/>
      <c r="B975" s="23"/>
    </row>
    <row r="976" ht="15.75" customHeight="1">
      <c r="A976" s="23"/>
      <c r="B976" s="23"/>
    </row>
    <row r="977" ht="15.75" customHeight="1">
      <c r="A977" s="23"/>
      <c r="B977" s="23"/>
    </row>
    <row r="978" ht="15.75" customHeight="1">
      <c r="A978" s="23"/>
      <c r="B978" s="23"/>
    </row>
    <row r="979" ht="15.75" customHeight="1">
      <c r="A979" s="23"/>
      <c r="B979" s="23"/>
    </row>
    <row r="980" ht="15.75" customHeight="1">
      <c r="A980" s="23"/>
      <c r="B980" s="23"/>
    </row>
    <row r="981" ht="15.75" customHeight="1">
      <c r="A981" s="23"/>
      <c r="B981" s="23"/>
    </row>
    <row r="982" ht="15.75" customHeight="1">
      <c r="A982" s="23"/>
      <c r="B982" s="23"/>
    </row>
    <row r="983" ht="15.75" customHeight="1">
      <c r="A983" s="23"/>
      <c r="B983" s="23"/>
    </row>
    <row r="984" ht="15.75" customHeight="1">
      <c r="A984" s="23"/>
      <c r="B984" s="23"/>
    </row>
    <row r="985" ht="15.75" customHeight="1">
      <c r="A985" s="23"/>
      <c r="B985" s="23"/>
    </row>
    <row r="986" ht="15.75" customHeight="1">
      <c r="A986" s="23"/>
      <c r="B986" s="23"/>
    </row>
    <row r="987" ht="15.75" customHeight="1">
      <c r="A987" s="23"/>
      <c r="B987" s="23"/>
    </row>
    <row r="988" ht="15.75" customHeight="1">
      <c r="A988" s="23"/>
      <c r="B988" s="23"/>
    </row>
    <row r="989" ht="15.75" customHeight="1">
      <c r="A989" s="23"/>
      <c r="B989" s="23"/>
    </row>
    <row r="990" ht="15.75" customHeight="1">
      <c r="A990" s="23"/>
      <c r="B990" s="23"/>
    </row>
    <row r="991" ht="15.75" customHeight="1">
      <c r="A991" s="23"/>
      <c r="B991" s="23"/>
    </row>
    <row r="992" ht="15.75" customHeight="1">
      <c r="A992" s="23"/>
      <c r="B992" s="23"/>
    </row>
    <row r="993" ht="15.75" customHeight="1">
      <c r="A993" s="23"/>
      <c r="B993" s="23"/>
    </row>
    <row r="994" ht="15.75" customHeight="1">
      <c r="A994" s="23"/>
      <c r="B994" s="23"/>
    </row>
    <row r="995" ht="15.75" customHeight="1">
      <c r="A995" s="23"/>
      <c r="B995" s="23"/>
    </row>
    <row r="996" ht="15.75" customHeight="1">
      <c r="A996" s="23"/>
      <c r="B996" s="23"/>
    </row>
    <row r="997" ht="15.75" customHeight="1">
      <c r="A997" s="23"/>
      <c r="B997" s="23"/>
    </row>
    <row r="998" ht="15.75" customHeight="1">
      <c r="A998" s="23"/>
      <c r="B998" s="23"/>
    </row>
    <row r="999" ht="15.75" customHeight="1">
      <c r="A999" s="23"/>
      <c r="B999" s="23"/>
    </row>
    <row r="1000" ht="15.75" customHeight="1">
      <c r="A1000" s="23"/>
      <c r="B1000" s="23"/>
    </row>
  </sheetData>
  <mergeCells count="2">
    <mergeCell ref="C1:D1"/>
    <mergeCell ref="E1:F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4.13"/>
    <col customWidth="1" min="2" max="9" width="8.25"/>
  </cols>
  <sheetData>
    <row r="1" ht="15.75" customHeight="1">
      <c r="A1" s="24"/>
      <c r="B1" s="25" t="s">
        <v>0</v>
      </c>
      <c r="C1" s="26"/>
      <c r="D1" s="26"/>
      <c r="E1" s="27"/>
      <c r="F1" s="25" t="s">
        <v>1</v>
      </c>
      <c r="G1" s="26"/>
      <c r="H1" s="26"/>
      <c r="I1" s="27"/>
    </row>
    <row r="2" ht="15.75" customHeight="1">
      <c r="A2" s="28" t="s">
        <v>13</v>
      </c>
      <c r="B2" s="25" t="s">
        <v>14</v>
      </c>
      <c r="C2" s="29" t="s">
        <v>15</v>
      </c>
      <c r="D2" s="29" t="s">
        <v>16</v>
      </c>
      <c r="E2" s="30" t="s">
        <v>17</v>
      </c>
      <c r="F2" s="25" t="s">
        <v>14</v>
      </c>
      <c r="G2" s="29" t="s">
        <v>15</v>
      </c>
      <c r="H2" s="29" t="s">
        <v>16</v>
      </c>
      <c r="I2" s="30" t="s">
        <v>17</v>
      </c>
    </row>
    <row r="3" ht="15.75" customHeight="1">
      <c r="A3" s="31" t="s">
        <v>18</v>
      </c>
      <c r="B3" s="32">
        <v>2500.0</v>
      </c>
      <c r="C3" s="32">
        <v>2500.0</v>
      </c>
      <c r="D3" s="32">
        <v>2500.0</v>
      </c>
      <c r="E3" s="32">
        <v>2500.0</v>
      </c>
      <c r="F3" s="32">
        <v>2900.0</v>
      </c>
      <c r="G3" s="32">
        <v>2900.0</v>
      </c>
      <c r="H3" s="32">
        <v>2900.0</v>
      </c>
      <c r="I3" s="32">
        <v>2900.0</v>
      </c>
    </row>
    <row r="4" ht="15.75" customHeight="1">
      <c r="A4" s="31" t="s">
        <v>19</v>
      </c>
      <c r="B4" s="33">
        <v>0.15</v>
      </c>
      <c r="C4" s="33">
        <v>0.12</v>
      </c>
      <c r="D4" s="33">
        <v>0.1</v>
      </c>
      <c r="E4" s="33">
        <v>0.08</v>
      </c>
      <c r="F4" s="33">
        <v>0.08</v>
      </c>
      <c r="G4" s="33">
        <v>0.07</v>
      </c>
      <c r="H4" s="33">
        <v>0.06</v>
      </c>
      <c r="I4" s="34">
        <v>0.05</v>
      </c>
    </row>
    <row r="5" ht="15.75" customHeight="1">
      <c r="A5" s="31" t="s">
        <v>20</v>
      </c>
      <c r="B5" s="35">
        <v>0.003</v>
      </c>
      <c r="C5" s="35">
        <v>0.003</v>
      </c>
      <c r="D5" s="35">
        <v>0.004</v>
      </c>
      <c r="E5" s="35">
        <v>0.004</v>
      </c>
      <c r="F5" s="35">
        <v>0.004</v>
      </c>
      <c r="G5" s="35">
        <v>0.004</v>
      </c>
      <c r="H5" s="35">
        <v>0.004</v>
      </c>
      <c r="I5" s="36">
        <v>0.004</v>
      </c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</row>
    <row r="7" ht="15.75" customHeight="1">
      <c r="A7" s="23"/>
      <c r="B7" s="37"/>
      <c r="C7" s="23"/>
      <c r="D7" s="23"/>
      <c r="E7" s="23"/>
      <c r="F7" s="23"/>
      <c r="G7" s="23"/>
      <c r="H7" s="23"/>
      <c r="I7" s="23"/>
    </row>
    <row r="8" ht="15.75" customHeight="1">
      <c r="A8" s="24" t="s">
        <v>21</v>
      </c>
      <c r="B8" s="38">
        <v>1.0</v>
      </c>
      <c r="C8" s="39" t="s">
        <v>22</v>
      </c>
      <c r="D8" s="23"/>
      <c r="E8" s="23"/>
      <c r="F8" s="23"/>
      <c r="G8" s="23"/>
      <c r="H8" s="23"/>
      <c r="I8" s="23"/>
    </row>
    <row r="9" ht="15.75" customHeight="1">
      <c r="A9" s="24" t="s">
        <v>23</v>
      </c>
      <c r="B9" s="40">
        <v>2500.0</v>
      </c>
      <c r="C9" s="23"/>
      <c r="D9" s="23"/>
      <c r="E9" s="23"/>
      <c r="F9" s="23"/>
      <c r="G9" s="23"/>
      <c r="H9" s="23"/>
      <c r="I9" s="23"/>
    </row>
    <row r="10" ht="15.75" customHeight="1">
      <c r="A10" s="23"/>
      <c r="B10" s="37"/>
      <c r="C10" s="23"/>
      <c r="D10" s="23"/>
      <c r="E10" s="23"/>
      <c r="F10" s="23"/>
      <c r="G10" s="23"/>
      <c r="H10" s="23"/>
      <c r="I10" s="23"/>
    </row>
    <row r="11" ht="15.75" customHeight="1">
      <c r="A11" s="23"/>
      <c r="B11" s="41"/>
      <c r="C11" s="23"/>
      <c r="D11" s="23"/>
      <c r="E11" s="23"/>
      <c r="F11" s="23"/>
      <c r="G11" s="23"/>
      <c r="H11" s="23"/>
      <c r="I11" s="23"/>
    </row>
    <row r="12" ht="15.75" customHeight="1">
      <c r="A12" s="23"/>
      <c r="B12" s="37"/>
      <c r="C12" s="23"/>
      <c r="D12" s="23"/>
      <c r="E12" s="23"/>
      <c r="F12" s="23"/>
      <c r="G12" s="23"/>
      <c r="H12" s="23"/>
      <c r="I12" s="23"/>
    </row>
    <row r="13" ht="15.75" customHeight="1">
      <c r="A13" s="23"/>
      <c r="B13" s="37"/>
      <c r="C13" s="23"/>
      <c r="D13" s="23"/>
      <c r="E13" s="23"/>
      <c r="F13" s="23"/>
      <c r="G13" s="23"/>
      <c r="H13" s="23"/>
      <c r="I13" s="23"/>
    </row>
    <row r="14" ht="15.75" customHeight="1">
      <c r="A14" s="23"/>
      <c r="B14" s="37"/>
      <c r="C14" s="23"/>
      <c r="D14" s="23"/>
      <c r="E14" s="23"/>
      <c r="F14" s="23"/>
      <c r="G14" s="23"/>
      <c r="H14" s="23"/>
      <c r="I14" s="23"/>
    </row>
    <row r="15" ht="15.75" customHeight="1">
      <c r="A15" s="23"/>
      <c r="B15" s="37"/>
      <c r="C15" s="23"/>
      <c r="D15" s="23"/>
      <c r="E15" s="23"/>
      <c r="F15" s="23"/>
      <c r="G15" s="23"/>
      <c r="H15" s="23"/>
      <c r="I15" s="23"/>
    </row>
    <row r="16" ht="15.75" customHeight="1">
      <c r="A16" s="23"/>
      <c r="B16" s="37"/>
      <c r="C16" s="23"/>
      <c r="D16" s="23"/>
      <c r="E16" s="23"/>
      <c r="F16" s="23"/>
      <c r="G16" s="23"/>
      <c r="H16" s="23"/>
      <c r="I16" s="23"/>
    </row>
    <row r="17" ht="15.75" customHeight="1">
      <c r="A17" s="23"/>
      <c r="B17" s="37"/>
      <c r="C17" s="23"/>
      <c r="D17" s="23"/>
      <c r="E17" s="23"/>
      <c r="F17" s="23"/>
      <c r="G17" s="23"/>
      <c r="H17" s="23"/>
      <c r="I17" s="23"/>
    </row>
    <row r="18" ht="15.75" customHeight="1">
      <c r="A18" s="23"/>
      <c r="B18" s="37"/>
      <c r="C18" s="23"/>
      <c r="D18" s="23"/>
      <c r="E18" s="23"/>
      <c r="F18" s="23"/>
      <c r="G18" s="23"/>
      <c r="H18" s="23"/>
      <c r="I18" s="23"/>
    </row>
    <row r="19" ht="15.75" customHeight="1">
      <c r="A19" s="23"/>
      <c r="B19" s="37"/>
      <c r="C19" s="23"/>
      <c r="D19" s="23"/>
      <c r="E19" s="23"/>
      <c r="F19" s="23"/>
      <c r="G19" s="23"/>
      <c r="H19" s="23"/>
      <c r="I19" s="23"/>
    </row>
    <row r="20" ht="15.75" customHeight="1">
      <c r="A20" s="23"/>
      <c r="B20" s="37"/>
      <c r="C20" s="23"/>
      <c r="D20" s="23"/>
      <c r="E20" s="23"/>
      <c r="F20" s="23"/>
      <c r="G20" s="23"/>
      <c r="H20" s="23"/>
      <c r="I20" s="23"/>
    </row>
    <row r="21" ht="15.75" customHeight="1">
      <c r="A21" s="23"/>
      <c r="B21" s="37"/>
      <c r="C21" s="23"/>
      <c r="D21" s="23"/>
      <c r="E21" s="23"/>
      <c r="F21" s="23"/>
      <c r="G21" s="23"/>
      <c r="H21" s="23"/>
      <c r="I21" s="23"/>
    </row>
    <row r="22" ht="15.75" customHeight="1">
      <c r="A22" s="23"/>
      <c r="B22" s="37"/>
      <c r="C22" s="23"/>
      <c r="D22" s="23"/>
      <c r="E22" s="23"/>
      <c r="F22" s="23"/>
      <c r="G22" s="23"/>
      <c r="H22" s="23"/>
      <c r="I22" s="23"/>
    </row>
    <row r="23" ht="15.75" customHeight="1">
      <c r="A23" s="23"/>
      <c r="B23" s="37"/>
      <c r="C23" s="23"/>
      <c r="D23" s="23"/>
      <c r="E23" s="23"/>
      <c r="F23" s="23"/>
      <c r="G23" s="23"/>
      <c r="H23" s="23"/>
      <c r="I23" s="23"/>
    </row>
    <row r="24" ht="15.75" customHeight="1">
      <c r="A24" s="23"/>
      <c r="B24" s="37"/>
      <c r="C24" s="23"/>
      <c r="D24" s="23"/>
      <c r="E24" s="23"/>
      <c r="F24" s="23"/>
      <c r="G24" s="23"/>
      <c r="H24" s="23"/>
      <c r="I24" s="23"/>
    </row>
    <row r="25" ht="15.75" customHeight="1">
      <c r="A25" s="23"/>
      <c r="B25" s="37"/>
      <c r="C25" s="23"/>
      <c r="D25" s="23"/>
      <c r="E25" s="23"/>
      <c r="F25" s="23"/>
      <c r="G25" s="23"/>
      <c r="H25" s="23"/>
      <c r="I25" s="23"/>
    </row>
    <row r="26" ht="15.75" customHeight="1">
      <c r="A26" s="23"/>
      <c r="B26" s="37"/>
      <c r="C26" s="23"/>
      <c r="D26" s="23"/>
      <c r="E26" s="23"/>
      <c r="F26" s="23"/>
      <c r="G26" s="23"/>
      <c r="H26" s="23"/>
      <c r="I26" s="23"/>
    </row>
    <row r="27" ht="15.75" customHeight="1">
      <c r="A27" s="23"/>
      <c r="B27" s="37"/>
      <c r="C27" s="23"/>
      <c r="D27" s="23"/>
      <c r="E27" s="23"/>
      <c r="F27" s="23"/>
      <c r="G27" s="23"/>
      <c r="H27" s="23"/>
      <c r="I27" s="23"/>
    </row>
    <row r="28" ht="15.75" customHeight="1">
      <c r="A28" s="23"/>
      <c r="B28" s="37"/>
      <c r="C28" s="23"/>
      <c r="D28" s="23"/>
      <c r="E28" s="23"/>
      <c r="F28" s="23"/>
      <c r="G28" s="23"/>
      <c r="H28" s="23"/>
      <c r="I28" s="23"/>
    </row>
    <row r="29" ht="15.75" customHeight="1">
      <c r="A29" s="23"/>
      <c r="B29" s="37"/>
      <c r="C29" s="23"/>
      <c r="D29" s="23"/>
      <c r="E29" s="23"/>
      <c r="F29" s="23"/>
      <c r="G29" s="23"/>
      <c r="H29" s="23"/>
      <c r="I29" s="23"/>
    </row>
    <row r="30" ht="15.75" customHeight="1">
      <c r="A30" s="23"/>
      <c r="B30" s="37"/>
      <c r="C30" s="23"/>
      <c r="D30" s="23"/>
      <c r="E30" s="23"/>
      <c r="F30" s="23"/>
      <c r="G30" s="23"/>
      <c r="H30" s="23"/>
      <c r="I30" s="23"/>
    </row>
    <row r="31" ht="15.75" customHeight="1">
      <c r="A31" s="23"/>
      <c r="B31" s="37"/>
      <c r="C31" s="23"/>
      <c r="D31" s="23"/>
      <c r="E31" s="23"/>
      <c r="F31" s="23"/>
      <c r="G31" s="23"/>
      <c r="H31" s="23"/>
      <c r="I31" s="23"/>
    </row>
    <row r="32" ht="15.75" customHeight="1">
      <c r="A32" s="23"/>
      <c r="B32" s="37"/>
      <c r="C32" s="23"/>
      <c r="D32" s="23"/>
      <c r="E32" s="23"/>
      <c r="F32" s="23"/>
      <c r="G32" s="23"/>
      <c r="H32" s="23"/>
      <c r="I32" s="23"/>
    </row>
    <row r="33" ht="15.75" customHeight="1">
      <c r="A33" s="23"/>
      <c r="B33" s="37"/>
      <c r="C33" s="23"/>
      <c r="D33" s="23"/>
      <c r="E33" s="23"/>
      <c r="F33" s="23"/>
      <c r="G33" s="23"/>
      <c r="H33" s="23"/>
      <c r="I33" s="23"/>
    </row>
    <row r="34" ht="15.75" customHeight="1">
      <c r="A34" s="23"/>
      <c r="B34" s="37"/>
      <c r="C34" s="23"/>
      <c r="D34" s="23"/>
      <c r="E34" s="23"/>
      <c r="F34" s="23"/>
      <c r="G34" s="23"/>
      <c r="H34" s="23"/>
      <c r="I34" s="23"/>
    </row>
    <row r="35" ht="15.75" customHeight="1">
      <c r="A35" s="23"/>
      <c r="B35" s="37"/>
      <c r="C35" s="23"/>
      <c r="D35" s="23"/>
      <c r="E35" s="23"/>
      <c r="F35" s="23"/>
      <c r="G35" s="23"/>
      <c r="H35" s="23"/>
      <c r="I35" s="23"/>
    </row>
    <row r="36" ht="15.75" customHeight="1">
      <c r="A36" s="23"/>
      <c r="B36" s="37"/>
      <c r="C36" s="23"/>
      <c r="D36" s="23"/>
      <c r="E36" s="23"/>
      <c r="F36" s="23"/>
      <c r="G36" s="23"/>
      <c r="H36" s="23"/>
      <c r="I36" s="23"/>
    </row>
    <row r="37" ht="15.75" customHeight="1">
      <c r="A37" s="23"/>
      <c r="B37" s="37"/>
      <c r="C37" s="23"/>
      <c r="D37" s="23"/>
      <c r="E37" s="23"/>
      <c r="F37" s="23"/>
      <c r="G37" s="23"/>
      <c r="H37" s="23"/>
      <c r="I37" s="23"/>
    </row>
    <row r="38" ht="15.75" customHeight="1">
      <c r="A38" s="23"/>
      <c r="B38" s="37"/>
      <c r="C38" s="23"/>
      <c r="D38" s="23"/>
      <c r="E38" s="23"/>
      <c r="F38" s="23"/>
      <c r="G38" s="23"/>
      <c r="H38" s="23"/>
      <c r="I38" s="23"/>
    </row>
    <row r="39" ht="15.75" customHeight="1">
      <c r="A39" s="23"/>
      <c r="B39" s="37"/>
      <c r="C39" s="23"/>
      <c r="D39" s="23"/>
      <c r="E39" s="23"/>
      <c r="F39" s="23"/>
      <c r="G39" s="23"/>
      <c r="H39" s="23"/>
      <c r="I39" s="23"/>
    </row>
    <row r="40" ht="15.75" customHeight="1">
      <c r="A40" s="23"/>
      <c r="B40" s="37"/>
      <c r="C40" s="23"/>
      <c r="D40" s="23"/>
      <c r="E40" s="23"/>
      <c r="F40" s="23"/>
      <c r="G40" s="23"/>
      <c r="H40" s="23"/>
      <c r="I40" s="23"/>
    </row>
    <row r="41" ht="15.75" customHeight="1">
      <c r="A41" s="23"/>
      <c r="B41" s="37"/>
      <c r="C41" s="23"/>
      <c r="D41" s="23"/>
      <c r="E41" s="23"/>
      <c r="F41" s="23"/>
      <c r="G41" s="23"/>
      <c r="H41" s="23"/>
      <c r="I41" s="23"/>
    </row>
    <row r="42" ht="15.75" customHeight="1">
      <c r="A42" s="23"/>
      <c r="B42" s="37"/>
      <c r="C42" s="23"/>
      <c r="D42" s="23"/>
      <c r="E42" s="23"/>
      <c r="F42" s="23"/>
      <c r="G42" s="23"/>
      <c r="H42" s="23"/>
      <c r="I42" s="23"/>
    </row>
    <row r="43" ht="15.75" customHeight="1">
      <c r="A43" s="23"/>
      <c r="B43" s="37"/>
      <c r="C43" s="23"/>
      <c r="D43" s="23"/>
      <c r="E43" s="23"/>
      <c r="F43" s="23"/>
      <c r="G43" s="23"/>
      <c r="H43" s="23"/>
      <c r="I43" s="23"/>
    </row>
    <row r="44" ht="15.75" customHeight="1">
      <c r="A44" s="23"/>
      <c r="B44" s="37"/>
      <c r="C44" s="23"/>
      <c r="D44" s="23"/>
      <c r="E44" s="23"/>
      <c r="F44" s="23"/>
      <c r="G44" s="23"/>
      <c r="H44" s="23"/>
      <c r="I44" s="23"/>
    </row>
    <row r="45" ht="15.75" customHeight="1">
      <c r="A45" s="23"/>
      <c r="B45" s="37"/>
      <c r="C45" s="23"/>
      <c r="D45" s="23"/>
      <c r="E45" s="23"/>
      <c r="F45" s="23"/>
      <c r="G45" s="23"/>
      <c r="H45" s="23"/>
      <c r="I45" s="23"/>
    </row>
    <row r="46" ht="15.75" customHeight="1">
      <c r="A46" s="23"/>
      <c r="B46" s="37"/>
      <c r="C46" s="23"/>
      <c r="D46" s="23"/>
      <c r="E46" s="23"/>
      <c r="F46" s="23"/>
      <c r="G46" s="23"/>
      <c r="H46" s="23"/>
      <c r="I46" s="23"/>
    </row>
    <row r="47" ht="15.75" customHeight="1">
      <c r="A47" s="23"/>
      <c r="B47" s="37"/>
      <c r="C47" s="23"/>
      <c r="D47" s="23"/>
      <c r="E47" s="23"/>
      <c r="F47" s="23"/>
      <c r="G47" s="23"/>
      <c r="H47" s="23"/>
      <c r="I47" s="23"/>
    </row>
    <row r="48" ht="15.75" customHeight="1">
      <c r="A48" s="23"/>
      <c r="B48" s="37"/>
      <c r="C48" s="23"/>
      <c r="D48" s="23"/>
      <c r="E48" s="23"/>
      <c r="F48" s="23"/>
      <c r="G48" s="23"/>
      <c r="H48" s="23"/>
      <c r="I48" s="23"/>
    </row>
    <row r="49" ht="15.75" customHeight="1">
      <c r="A49" s="23"/>
      <c r="B49" s="37"/>
      <c r="C49" s="23"/>
      <c r="D49" s="23"/>
      <c r="E49" s="23"/>
      <c r="F49" s="23"/>
      <c r="G49" s="23"/>
      <c r="H49" s="23"/>
      <c r="I49" s="23"/>
    </row>
    <row r="50" ht="15.75" customHeight="1">
      <c r="A50" s="23"/>
      <c r="B50" s="37"/>
      <c r="C50" s="23"/>
      <c r="D50" s="23"/>
      <c r="E50" s="23"/>
      <c r="F50" s="23"/>
      <c r="G50" s="23"/>
      <c r="H50" s="23"/>
      <c r="I50" s="23"/>
    </row>
    <row r="51" ht="15.75" customHeight="1">
      <c r="A51" s="23"/>
      <c r="B51" s="37"/>
      <c r="C51" s="23"/>
      <c r="D51" s="23"/>
      <c r="E51" s="23"/>
      <c r="F51" s="23"/>
      <c r="G51" s="23"/>
      <c r="H51" s="23"/>
      <c r="I51" s="23"/>
    </row>
    <row r="52" ht="15.75" customHeight="1">
      <c r="A52" s="23"/>
      <c r="B52" s="37"/>
      <c r="C52" s="23"/>
      <c r="D52" s="23"/>
      <c r="E52" s="23"/>
      <c r="F52" s="23"/>
      <c r="G52" s="23"/>
      <c r="H52" s="23"/>
      <c r="I52" s="23"/>
    </row>
    <row r="53" ht="15.75" customHeight="1">
      <c r="A53" s="23"/>
      <c r="B53" s="37"/>
      <c r="C53" s="23"/>
      <c r="D53" s="23"/>
      <c r="E53" s="23"/>
      <c r="F53" s="23"/>
      <c r="G53" s="23"/>
      <c r="H53" s="23"/>
      <c r="I53" s="23"/>
    </row>
    <row r="54" ht="15.75" customHeight="1">
      <c r="A54" s="23"/>
      <c r="B54" s="37"/>
      <c r="C54" s="23"/>
      <c r="D54" s="23"/>
      <c r="E54" s="23"/>
      <c r="F54" s="23"/>
      <c r="G54" s="23"/>
      <c r="H54" s="23"/>
      <c r="I54" s="23"/>
    </row>
    <row r="55" ht="15.75" customHeight="1">
      <c r="A55" s="23"/>
      <c r="B55" s="37"/>
      <c r="C55" s="23"/>
      <c r="D55" s="23"/>
      <c r="E55" s="23"/>
      <c r="F55" s="23"/>
      <c r="G55" s="23"/>
      <c r="H55" s="23"/>
      <c r="I55" s="23"/>
    </row>
    <row r="56" ht="15.75" customHeight="1">
      <c r="A56" s="23"/>
      <c r="B56" s="37"/>
      <c r="C56" s="23"/>
      <c r="D56" s="23"/>
      <c r="E56" s="23"/>
      <c r="F56" s="23"/>
      <c r="G56" s="23"/>
      <c r="H56" s="23"/>
      <c r="I56" s="23"/>
    </row>
    <row r="57" ht="15.75" customHeight="1">
      <c r="A57" s="23"/>
      <c r="B57" s="37"/>
      <c r="C57" s="23"/>
      <c r="D57" s="23"/>
      <c r="E57" s="23"/>
      <c r="F57" s="23"/>
      <c r="G57" s="23"/>
      <c r="H57" s="23"/>
      <c r="I57" s="23"/>
    </row>
    <row r="58" ht="15.75" customHeight="1">
      <c r="A58" s="23"/>
      <c r="B58" s="37"/>
      <c r="C58" s="23"/>
      <c r="D58" s="23"/>
      <c r="E58" s="23"/>
      <c r="F58" s="23"/>
      <c r="G58" s="23"/>
      <c r="H58" s="23"/>
      <c r="I58" s="23"/>
    </row>
    <row r="59" ht="15.75" customHeight="1">
      <c r="A59" s="23"/>
      <c r="B59" s="37"/>
      <c r="C59" s="23"/>
      <c r="D59" s="23"/>
      <c r="E59" s="23"/>
      <c r="F59" s="23"/>
      <c r="G59" s="23"/>
      <c r="H59" s="23"/>
      <c r="I59" s="23"/>
    </row>
    <row r="60" ht="15.75" customHeight="1">
      <c r="A60" s="23"/>
      <c r="B60" s="37"/>
      <c r="C60" s="23"/>
      <c r="D60" s="23"/>
      <c r="E60" s="23"/>
      <c r="F60" s="23"/>
      <c r="G60" s="23"/>
      <c r="H60" s="23"/>
      <c r="I60" s="23"/>
    </row>
    <row r="61" ht="15.75" customHeight="1">
      <c r="A61" s="23"/>
      <c r="B61" s="37"/>
      <c r="C61" s="23"/>
      <c r="D61" s="23"/>
      <c r="E61" s="23"/>
      <c r="F61" s="23"/>
      <c r="G61" s="23"/>
      <c r="H61" s="23"/>
      <c r="I61" s="23"/>
    </row>
    <row r="62" ht="15.75" customHeight="1">
      <c r="A62" s="23"/>
      <c r="B62" s="37"/>
      <c r="C62" s="23"/>
      <c r="D62" s="23"/>
      <c r="E62" s="23"/>
      <c r="F62" s="23"/>
      <c r="G62" s="23"/>
      <c r="H62" s="23"/>
      <c r="I62" s="23"/>
    </row>
    <row r="63" ht="15.75" customHeight="1">
      <c r="A63" s="23"/>
      <c r="B63" s="37"/>
      <c r="C63" s="23"/>
      <c r="D63" s="23"/>
      <c r="E63" s="23"/>
      <c r="F63" s="23"/>
      <c r="G63" s="23"/>
      <c r="H63" s="23"/>
      <c r="I63" s="23"/>
    </row>
    <row r="64" ht="15.75" customHeight="1">
      <c r="A64" s="23"/>
      <c r="B64" s="37"/>
      <c r="C64" s="23"/>
      <c r="D64" s="23"/>
      <c r="E64" s="23"/>
      <c r="F64" s="23"/>
      <c r="G64" s="23"/>
      <c r="H64" s="23"/>
      <c r="I64" s="23"/>
    </row>
    <row r="65" ht="15.75" customHeight="1">
      <c r="A65" s="23"/>
      <c r="B65" s="37"/>
      <c r="C65" s="23"/>
      <c r="D65" s="23"/>
      <c r="E65" s="23"/>
      <c r="F65" s="23"/>
      <c r="G65" s="23"/>
      <c r="H65" s="23"/>
      <c r="I65" s="23"/>
    </row>
    <row r="66" ht="15.75" customHeight="1">
      <c r="A66" s="23"/>
      <c r="B66" s="37"/>
      <c r="C66" s="23"/>
      <c r="D66" s="23"/>
      <c r="E66" s="23"/>
      <c r="F66" s="23"/>
      <c r="G66" s="23"/>
      <c r="H66" s="23"/>
      <c r="I66" s="23"/>
    </row>
    <row r="67" ht="15.75" customHeight="1">
      <c r="A67" s="23"/>
      <c r="B67" s="37"/>
      <c r="C67" s="23"/>
      <c r="D67" s="23"/>
      <c r="E67" s="23"/>
      <c r="F67" s="23"/>
      <c r="G67" s="23"/>
      <c r="H67" s="23"/>
      <c r="I67" s="23"/>
    </row>
    <row r="68" ht="15.75" customHeight="1">
      <c r="A68" s="23"/>
      <c r="B68" s="37"/>
      <c r="C68" s="23"/>
      <c r="D68" s="23"/>
      <c r="E68" s="23"/>
      <c r="F68" s="23"/>
      <c r="G68" s="23"/>
      <c r="H68" s="23"/>
      <c r="I68" s="23"/>
    </row>
    <row r="69" ht="15.75" customHeight="1">
      <c r="A69" s="23"/>
      <c r="B69" s="37"/>
      <c r="C69" s="23"/>
      <c r="D69" s="23"/>
      <c r="E69" s="23"/>
      <c r="F69" s="23"/>
      <c r="G69" s="23"/>
      <c r="H69" s="23"/>
      <c r="I69" s="23"/>
    </row>
    <row r="70" ht="15.75" customHeight="1">
      <c r="A70" s="23"/>
      <c r="B70" s="37"/>
      <c r="C70" s="23"/>
      <c r="D70" s="23"/>
      <c r="E70" s="23"/>
      <c r="F70" s="23"/>
      <c r="G70" s="23"/>
      <c r="H70" s="23"/>
      <c r="I70" s="23"/>
    </row>
    <row r="71" ht="15.75" customHeight="1">
      <c r="A71" s="23"/>
      <c r="B71" s="37"/>
      <c r="C71" s="23"/>
      <c r="D71" s="23"/>
      <c r="E71" s="23"/>
      <c r="F71" s="23"/>
      <c r="G71" s="23"/>
      <c r="H71" s="23"/>
      <c r="I71" s="23"/>
    </row>
    <row r="72" ht="15.75" customHeight="1">
      <c r="A72" s="23"/>
      <c r="B72" s="37"/>
      <c r="C72" s="23"/>
      <c r="D72" s="23"/>
      <c r="E72" s="23"/>
      <c r="F72" s="23"/>
      <c r="G72" s="23"/>
      <c r="H72" s="23"/>
      <c r="I72" s="23"/>
    </row>
    <row r="73" ht="15.75" customHeight="1">
      <c r="A73" s="23"/>
      <c r="B73" s="37"/>
      <c r="C73" s="23"/>
      <c r="D73" s="23"/>
      <c r="E73" s="23"/>
      <c r="F73" s="23"/>
      <c r="G73" s="23"/>
      <c r="H73" s="23"/>
      <c r="I73" s="23"/>
    </row>
    <row r="74" ht="15.75" customHeight="1">
      <c r="A74" s="23"/>
      <c r="B74" s="37"/>
      <c r="C74" s="23"/>
      <c r="D74" s="23"/>
      <c r="E74" s="23"/>
      <c r="F74" s="23"/>
      <c r="G74" s="23"/>
      <c r="H74" s="23"/>
      <c r="I74" s="23"/>
    </row>
    <row r="75" ht="15.75" customHeight="1">
      <c r="A75" s="23"/>
      <c r="B75" s="37"/>
      <c r="C75" s="23"/>
      <c r="D75" s="23"/>
      <c r="E75" s="23"/>
      <c r="F75" s="23"/>
      <c r="G75" s="23"/>
      <c r="H75" s="23"/>
      <c r="I75" s="23"/>
    </row>
    <row r="76" ht="15.75" customHeight="1">
      <c r="A76" s="23"/>
      <c r="B76" s="37"/>
      <c r="C76" s="23"/>
      <c r="D76" s="23"/>
      <c r="E76" s="23"/>
      <c r="F76" s="23"/>
      <c r="G76" s="23"/>
      <c r="H76" s="23"/>
      <c r="I76" s="23"/>
    </row>
    <row r="77" ht="15.75" customHeight="1">
      <c r="A77" s="23"/>
      <c r="B77" s="37"/>
      <c r="C77" s="23"/>
      <c r="D77" s="23"/>
      <c r="E77" s="23"/>
      <c r="F77" s="23"/>
      <c r="G77" s="23"/>
      <c r="H77" s="23"/>
      <c r="I77" s="23"/>
    </row>
    <row r="78" ht="15.75" customHeight="1">
      <c r="A78" s="23"/>
      <c r="B78" s="37"/>
      <c r="C78" s="23"/>
      <c r="D78" s="23"/>
      <c r="E78" s="23"/>
      <c r="F78" s="23"/>
      <c r="G78" s="23"/>
      <c r="H78" s="23"/>
      <c r="I78" s="23"/>
    </row>
    <row r="79" ht="15.75" customHeight="1">
      <c r="A79" s="23"/>
      <c r="B79" s="37"/>
      <c r="C79" s="23"/>
      <c r="D79" s="23"/>
      <c r="E79" s="23"/>
      <c r="F79" s="23"/>
      <c r="G79" s="23"/>
      <c r="H79" s="23"/>
      <c r="I79" s="23"/>
    </row>
    <row r="80" ht="15.75" customHeight="1">
      <c r="A80" s="23"/>
      <c r="B80" s="37"/>
      <c r="C80" s="23"/>
      <c r="D80" s="23"/>
      <c r="E80" s="23"/>
      <c r="F80" s="23"/>
      <c r="G80" s="23"/>
      <c r="H80" s="23"/>
      <c r="I80" s="23"/>
    </row>
    <row r="81" ht="15.75" customHeight="1">
      <c r="A81" s="23"/>
      <c r="B81" s="37"/>
      <c r="C81" s="23"/>
      <c r="D81" s="23"/>
      <c r="E81" s="23"/>
      <c r="F81" s="23"/>
      <c r="G81" s="23"/>
      <c r="H81" s="23"/>
      <c r="I81" s="23"/>
    </row>
    <row r="82" ht="15.75" customHeight="1">
      <c r="A82" s="23"/>
      <c r="B82" s="37"/>
      <c r="C82" s="23"/>
      <c r="D82" s="23"/>
      <c r="E82" s="23"/>
      <c r="F82" s="23"/>
      <c r="G82" s="23"/>
      <c r="H82" s="23"/>
      <c r="I82" s="23"/>
    </row>
    <row r="83" ht="15.75" customHeight="1">
      <c r="A83" s="23"/>
      <c r="B83" s="37"/>
      <c r="C83" s="23"/>
      <c r="D83" s="23"/>
      <c r="E83" s="23"/>
      <c r="F83" s="23"/>
      <c r="G83" s="23"/>
      <c r="H83" s="23"/>
      <c r="I83" s="23"/>
    </row>
    <row r="84" ht="15.75" customHeight="1">
      <c r="A84" s="23"/>
      <c r="B84" s="37"/>
      <c r="C84" s="23"/>
      <c r="D84" s="23"/>
      <c r="E84" s="23"/>
      <c r="F84" s="23"/>
      <c r="G84" s="23"/>
      <c r="H84" s="23"/>
      <c r="I84" s="23"/>
    </row>
    <row r="85" ht="15.75" customHeight="1">
      <c r="A85" s="23"/>
      <c r="B85" s="37"/>
      <c r="C85" s="23"/>
      <c r="D85" s="23"/>
      <c r="E85" s="23"/>
      <c r="F85" s="23"/>
      <c r="G85" s="23"/>
      <c r="H85" s="23"/>
      <c r="I85" s="23"/>
    </row>
    <row r="86" ht="15.75" customHeight="1">
      <c r="A86" s="23"/>
      <c r="B86" s="37"/>
      <c r="C86" s="23"/>
      <c r="D86" s="23"/>
      <c r="E86" s="23"/>
      <c r="F86" s="23"/>
      <c r="G86" s="23"/>
      <c r="H86" s="23"/>
      <c r="I86" s="23"/>
    </row>
    <row r="87" ht="15.75" customHeight="1">
      <c r="A87" s="23"/>
      <c r="B87" s="37"/>
      <c r="C87" s="23"/>
      <c r="D87" s="23"/>
      <c r="E87" s="23"/>
      <c r="F87" s="23"/>
      <c r="G87" s="23"/>
      <c r="H87" s="23"/>
      <c r="I87" s="23"/>
    </row>
    <row r="88" ht="15.75" customHeight="1">
      <c r="A88" s="23"/>
      <c r="B88" s="37"/>
      <c r="C88" s="23"/>
      <c r="D88" s="23"/>
      <c r="E88" s="23"/>
      <c r="F88" s="23"/>
      <c r="G88" s="23"/>
      <c r="H88" s="23"/>
      <c r="I88" s="23"/>
    </row>
    <row r="89" ht="15.75" customHeight="1">
      <c r="A89" s="23"/>
      <c r="B89" s="37"/>
      <c r="C89" s="23"/>
      <c r="D89" s="23"/>
      <c r="E89" s="23"/>
      <c r="F89" s="23"/>
      <c r="G89" s="23"/>
      <c r="H89" s="23"/>
      <c r="I89" s="23"/>
    </row>
    <row r="90" ht="15.75" customHeight="1">
      <c r="A90" s="23"/>
      <c r="B90" s="37"/>
      <c r="C90" s="23"/>
      <c r="D90" s="23"/>
      <c r="E90" s="23"/>
      <c r="F90" s="23"/>
      <c r="G90" s="23"/>
      <c r="H90" s="23"/>
      <c r="I90" s="23"/>
    </row>
    <row r="91" ht="15.75" customHeight="1">
      <c r="A91" s="23"/>
      <c r="B91" s="37"/>
      <c r="C91" s="23"/>
      <c r="D91" s="23"/>
      <c r="E91" s="23"/>
      <c r="F91" s="23"/>
      <c r="G91" s="23"/>
      <c r="H91" s="23"/>
      <c r="I91" s="23"/>
    </row>
    <row r="92" ht="15.75" customHeight="1">
      <c r="A92" s="23"/>
      <c r="B92" s="37"/>
      <c r="C92" s="23"/>
      <c r="D92" s="23"/>
      <c r="E92" s="23"/>
      <c r="F92" s="23"/>
      <c r="G92" s="23"/>
      <c r="H92" s="23"/>
      <c r="I92" s="23"/>
    </row>
    <row r="93" ht="15.75" customHeight="1">
      <c r="A93" s="23"/>
      <c r="B93" s="37"/>
      <c r="C93" s="23"/>
      <c r="D93" s="23"/>
      <c r="E93" s="23"/>
      <c r="F93" s="23"/>
      <c r="G93" s="23"/>
      <c r="H93" s="23"/>
      <c r="I93" s="23"/>
    </row>
    <row r="94" ht="15.75" customHeight="1">
      <c r="A94" s="23"/>
      <c r="B94" s="37"/>
      <c r="C94" s="23"/>
      <c r="D94" s="23"/>
      <c r="E94" s="23"/>
      <c r="F94" s="23"/>
      <c r="G94" s="23"/>
      <c r="H94" s="23"/>
      <c r="I94" s="23"/>
    </row>
    <row r="95" ht="15.75" customHeight="1">
      <c r="A95" s="23"/>
      <c r="B95" s="37"/>
      <c r="C95" s="23"/>
      <c r="D95" s="23"/>
      <c r="E95" s="23"/>
      <c r="F95" s="23"/>
      <c r="G95" s="23"/>
      <c r="H95" s="23"/>
      <c r="I95" s="23"/>
    </row>
    <row r="96" ht="15.75" customHeight="1">
      <c r="A96" s="23"/>
      <c r="B96" s="37"/>
      <c r="C96" s="23"/>
      <c r="D96" s="23"/>
      <c r="E96" s="23"/>
      <c r="F96" s="23"/>
      <c r="G96" s="23"/>
      <c r="H96" s="23"/>
      <c r="I96" s="23"/>
    </row>
    <row r="97" ht="15.75" customHeight="1">
      <c r="A97" s="23"/>
      <c r="B97" s="37"/>
      <c r="C97" s="23"/>
      <c r="D97" s="23"/>
      <c r="E97" s="23"/>
      <c r="F97" s="23"/>
      <c r="G97" s="23"/>
      <c r="H97" s="23"/>
      <c r="I97" s="23"/>
    </row>
    <row r="98" ht="15.75" customHeight="1">
      <c r="A98" s="23"/>
      <c r="B98" s="37"/>
      <c r="C98" s="23"/>
      <c r="D98" s="23"/>
      <c r="E98" s="23"/>
      <c r="F98" s="23"/>
      <c r="G98" s="23"/>
      <c r="H98" s="23"/>
      <c r="I98" s="23"/>
    </row>
    <row r="99" ht="15.75" customHeight="1">
      <c r="A99" s="23"/>
      <c r="B99" s="37"/>
      <c r="C99" s="23"/>
      <c r="D99" s="23"/>
      <c r="E99" s="23"/>
      <c r="F99" s="23"/>
      <c r="G99" s="23"/>
      <c r="H99" s="23"/>
      <c r="I99" s="23"/>
    </row>
    <row r="100" ht="15.75" customHeight="1">
      <c r="A100" s="23"/>
      <c r="B100" s="37"/>
      <c r="C100" s="23"/>
      <c r="D100" s="23"/>
      <c r="E100" s="23"/>
      <c r="F100" s="23"/>
      <c r="G100" s="23"/>
      <c r="H100" s="23"/>
      <c r="I100" s="23"/>
    </row>
    <row r="101" ht="15.75" customHeight="1">
      <c r="A101" s="23"/>
      <c r="B101" s="37"/>
      <c r="C101" s="23"/>
      <c r="D101" s="23"/>
      <c r="E101" s="23"/>
      <c r="F101" s="23"/>
      <c r="G101" s="23"/>
      <c r="H101" s="23"/>
      <c r="I101" s="23"/>
    </row>
    <row r="102" ht="15.75" customHeight="1">
      <c r="A102" s="23"/>
      <c r="B102" s="37"/>
      <c r="C102" s="23"/>
      <c r="D102" s="23"/>
      <c r="E102" s="23"/>
      <c r="F102" s="23"/>
      <c r="G102" s="23"/>
      <c r="H102" s="23"/>
      <c r="I102" s="23"/>
    </row>
    <row r="103" ht="15.75" customHeight="1">
      <c r="A103" s="23"/>
      <c r="B103" s="37"/>
      <c r="C103" s="23"/>
      <c r="D103" s="23"/>
      <c r="E103" s="23"/>
      <c r="F103" s="23"/>
      <c r="G103" s="23"/>
      <c r="H103" s="23"/>
      <c r="I103" s="23"/>
    </row>
    <row r="104" ht="15.75" customHeight="1">
      <c r="A104" s="23"/>
      <c r="B104" s="37"/>
      <c r="C104" s="23"/>
      <c r="D104" s="23"/>
      <c r="E104" s="23"/>
      <c r="F104" s="23"/>
      <c r="G104" s="23"/>
      <c r="H104" s="23"/>
      <c r="I104" s="23"/>
    </row>
    <row r="105" ht="15.75" customHeight="1">
      <c r="A105" s="23"/>
      <c r="B105" s="37"/>
      <c r="C105" s="23"/>
      <c r="D105" s="23"/>
      <c r="E105" s="23"/>
      <c r="F105" s="23"/>
      <c r="G105" s="23"/>
      <c r="H105" s="23"/>
      <c r="I105" s="23"/>
    </row>
    <row r="106" ht="15.75" customHeight="1">
      <c r="A106" s="23"/>
      <c r="B106" s="37"/>
      <c r="C106" s="23"/>
      <c r="D106" s="23"/>
      <c r="E106" s="23"/>
      <c r="F106" s="23"/>
      <c r="G106" s="23"/>
      <c r="H106" s="23"/>
      <c r="I106" s="23"/>
    </row>
    <row r="107" ht="15.75" customHeight="1">
      <c r="A107" s="23"/>
      <c r="B107" s="37"/>
      <c r="C107" s="23"/>
      <c r="D107" s="23"/>
      <c r="E107" s="23"/>
      <c r="F107" s="23"/>
      <c r="G107" s="23"/>
      <c r="H107" s="23"/>
      <c r="I107" s="23"/>
    </row>
    <row r="108" ht="15.75" customHeight="1">
      <c r="A108" s="23"/>
      <c r="B108" s="37"/>
      <c r="C108" s="23"/>
      <c r="D108" s="23"/>
      <c r="E108" s="23"/>
      <c r="F108" s="23"/>
      <c r="G108" s="23"/>
      <c r="H108" s="23"/>
      <c r="I108" s="23"/>
    </row>
    <row r="109" ht="15.75" customHeight="1">
      <c r="A109" s="23"/>
      <c r="B109" s="37"/>
      <c r="C109" s="23"/>
      <c r="D109" s="23"/>
      <c r="E109" s="23"/>
      <c r="F109" s="23"/>
      <c r="G109" s="23"/>
      <c r="H109" s="23"/>
      <c r="I109" s="23"/>
    </row>
    <row r="110" ht="15.75" customHeight="1">
      <c r="A110" s="23"/>
      <c r="B110" s="37"/>
      <c r="C110" s="23"/>
      <c r="D110" s="23"/>
      <c r="E110" s="23"/>
      <c r="F110" s="23"/>
      <c r="G110" s="23"/>
      <c r="H110" s="23"/>
      <c r="I110" s="23"/>
    </row>
    <row r="111" ht="15.75" customHeight="1">
      <c r="A111" s="23"/>
      <c r="B111" s="37"/>
      <c r="C111" s="23"/>
      <c r="D111" s="23"/>
      <c r="E111" s="23"/>
      <c r="F111" s="23"/>
      <c r="G111" s="23"/>
      <c r="H111" s="23"/>
      <c r="I111" s="23"/>
    </row>
    <row r="112" ht="15.75" customHeight="1">
      <c r="A112" s="23"/>
      <c r="B112" s="37"/>
      <c r="C112" s="23"/>
      <c r="D112" s="23"/>
      <c r="E112" s="23"/>
      <c r="F112" s="23"/>
      <c r="G112" s="23"/>
      <c r="H112" s="23"/>
      <c r="I112" s="23"/>
    </row>
    <row r="113" ht="15.75" customHeight="1">
      <c r="A113" s="23"/>
      <c r="B113" s="37"/>
      <c r="C113" s="23"/>
      <c r="D113" s="23"/>
      <c r="E113" s="23"/>
      <c r="F113" s="23"/>
      <c r="G113" s="23"/>
      <c r="H113" s="23"/>
      <c r="I113" s="23"/>
    </row>
    <row r="114" ht="15.75" customHeight="1">
      <c r="A114" s="23"/>
      <c r="B114" s="37"/>
      <c r="C114" s="23"/>
      <c r="D114" s="23"/>
      <c r="E114" s="23"/>
      <c r="F114" s="23"/>
      <c r="G114" s="23"/>
      <c r="H114" s="23"/>
      <c r="I114" s="23"/>
    </row>
    <row r="115" ht="15.75" customHeight="1">
      <c r="A115" s="23"/>
      <c r="B115" s="37"/>
      <c r="C115" s="23"/>
      <c r="D115" s="23"/>
      <c r="E115" s="23"/>
      <c r="F115" s="23"/>
      <c r="G115" s="23"/>
      <c r="H115" s="23"/>
      <c r="I115" s="23"/>
    </row>
    <row r="116" ht="15.75" customHeight="1">
      <c r="A116" s="23"/>
      <c r="B116" s="37"/>
      <c r="C116" s="23"/>
      <c r="D116" s="23"/>
      <c r="E116" s="23"/>
      <c r="F116" s="23"/>
      <c r="G116" s="23"/>
      <c r="H116" s="23"/>
      <c r="I116" s="23"/>
    </row>
    <row r="117" ht="15.75" customHeight="1">
      <c r="A117" s="23"/>
      <c r="B117" s="37"/>
      <c r="C117" s="23"/>
      <c r="D117" s="23"/>
      <c r="E117" s="23"/>
      <c r="F117" s="23"/>
      <c r="G117" s="23"/>
      <c r="H117" s="23"/>
      <c r="I117" s="23"/>
    </row>
    <row r="118" ht="15.75" customHeight="1">
      <c r="A118" s="23"/>
      <c r="B118" s="37"/>
      <c r="C118" s="23"/>
      <c r="D118" s="23"/>
      <c r="E118" s="23"/>
      <c r="F118" s="23"/>
      <c r="G118" s="23"/>
      <c r="H118" s="23"/>
      <c r="I118" s="23"/>
    </row>
    <row r="119" ht="15.75" customHeight="1">
      <c r="A119" s="23"/>
      <c r="B119" s="37"/>
      <c r="C119" s="23"/>
      <c r="D119" s="23"/>
      <c r="E119" s="23"/>
      <c r="F119" s="23"/>
      <c r="G119" s="23"/>
      <c r="H119" s="23"/>
      <c r="I119" s="23"/>
    </row>
    <row r="120" ht="15.75" customHeight="1">
      <c r="A120" s="23"/>
      <c r="B120" s="37"/>
      <c r="C120" s="23"/>
      <c r="D120" s="23"/>
      <c r="E120" s="23"/>
      <c r="F120" s="23"/>
      <c r="G120" s="23"/>
      <c r="H120" s="23"/>
      <c r="I120" s="23"/>
    </row>
    <row r="121" ht="15.75" customHeight="1">
      <c r="A121" s="23"/>
      <c r="B121" s="37"/>
      <c r="C121" s="23"/>
      <c r="D121" s="23"/>
      <c r="E121" s="23"/>
      <c r="F121" s="23"/>
      <c r="G121" s="23"/>
      <c r="H121" s="23"/>
      <c r="I121" s="23"/>
    </row>
    <row r="122" ht="15.75" customHeight="1">
      <c r="A122" s="23"/>
      <c r="B122" s="37"/>
      <c r="C122" s="23"/>
      <c r="D122" s="23"/>
      <c r="E122" s="23"/>
      <c r="F122" s="23"/>
      <c r="G122" s="23"/>
      <c r="H122" s="23"/>
      <c r="I122" s="23"/>
    </row>
    <row r="123" ht="15.75" customHeight="1">
      <c r="A123" s="23"/>
      <c r="B123" s="37"/>
      <c r="C123" s="23"/>
      <c r="D123" s="23"/>
      <c r="E123" s="23"/>
      <c r="F123" s="23"/>
      <c r="G123" s="23"/>
      <c r="H123" s="23"/>
      <c r="I123" s="23"/>
    </row>
    <row r="124" ht="15.75" customHeight="1">
      <c r="A124" s="23"/>
      <c r="B124" s="37"/>
      <c r="C124" s="23"/>
      <c r="D124" s="23"/>
      <c r="E124" s="23"/>
      <c r="F124" s="23"/>
      <c r="G124" s="23"/>
      <c r="H124" s="23"/>
      <c r="I124" s="23"/>
    </row>
    <row r="125" ht="15.75" customHeight="1">
      <c r="A125" s="23"/>
      <c r="B125" s="37"/>
      <c r="C125" s="23"/>
      <c r="D125" s="23"/>
      <c r="E125" s="23"/>
      <c r="F125" s="23"/>
      <c r="G125" s="23"/>
      <c r="H125" s="23"/>
      <c r="I125" s="23"/>
    </row>
    <row r="126" ht="15.75" customHeight="1">
      <c r="A126" s="23"/>
      <c r="B126" s="37"/>
      <c r="C126" s="23"/>
      <c r="D126" s="23"/>
      <c r="E126" s="23"/>
      <c r="F126" s="23"/>
      <c r="G126" s="23"/>
      <c r="H126" s="23"/>
      <c r="I126" s="23"/>
    </row>
    <row r="127" ht="15.75" customHeight="1">
      <c r="A127" s="23"/>
      <c r="B127" s="37"/>
      <c r="C127" s="23"/>
      <c r="D127" s="23"/>
      <c r="E127" s="23"/>
      <c r="F127" s="23"/>
      <c r="G127" s="23"/>
      <c r="H127" s="23"/>
      <c r="I127" s="23"/>
    </row>
    <row r="128" ht="15.75" customHeight="1">
      <c r="A128" s="23"/>
      <c r="B128" s="37"/>
      <c r="C128" s="23"/>
      <c r="D128" s="23"/>
      <c r="E128" s="23"/>
      <c r="F128" s="23"/>
      <c r="G128" s="23"/>
      <c r="H128" s="23"/>
      <c r="I128" s="23"/>
    </row>
    <row r="129" ht="15.75" customHeight="1">
      <c r="A129" s="23"/>
      <c r="B129" s="37"/>
      <c r="C129" s="23"/>
      <c r="D129" s="23"/>
      <c r="E129" s="23"/>
      <c r="F129" s="23"/>
      <c r="G129" s="23"/>
      <c r="H129" s="23"/>
      <c r="I129" s="23"/>
    </row>
    <row r="130" ht="15.75" customHeight="1">
      <c r="A130" s="23"/>
      <c r="B130" s="37"/>
      <c r="C130" s="23"/>
      <c r="D130" s="23"/>
      <c r="E130" s="23"/>
      <c r="F130" s="23"/>
      <c r="G130" s="23"/>
      <c r="H130" s="23"/>
      <c r="I130" s="23"/>
    </row>
    <row r="131" ht="15.75" customHeight="1">
      <c r="A131" s="23"/>
      <c r="B131" s="37"/>
      <c r="C131" s="23"/>
      <c r="D131" s="23"/>
      <c r="E131" s="23"/>
      <c r="F131" s="23"/>
      <c r="G131" s="23"/>
      <c r="H131" s="23"/>
      <c r="I131" s="23"/>
    </row>
    <row r="132" ht="15.75" customHeight="1">
      <c r="A132" s="23"/>
      <c r="B132" s="37"/>
      <c r="C132" s="23"/>
      <c r="D132" s="23"/>
      <c r="E132" s="23"/>
      <c r="F132" s="23"/>
      <c r="G132" s="23"/>
      <c r="H132" s="23"/>
      <c r="I132" s="23"/>
    </row>
    <row r="133" ht="15.75" customHeight="1">
      <c r="A133" s="23"/>
      <c r="B133" s="37"/>
      <c r="C133" s="23"/>
      <c r="D133" s="23"/>
      <c r="E133" s="23"/>
      <c r="F133" s="23"/>
      <c r="G133" s="23"/>
      <c r="H133" s="23"/>
      <c r="I133" s="23"/>
    </row>
    <row r="134" ht="15.75" customHeight="1">
      <c r="A134" s="23"/>
      <c r="B134" s="37"/>
      <c r="C134" s="23"/>
      <c r="D134" s="23"/>
      <c r="E134" s="23"/>
      <c r="F134" s="23"/>
      <c r="G134" s="23"/>
      <c r="H134" s="23"/>
      <c r="I134" s="23"/>
    </row>
    <row r="135" ht="15.75" customHeight="1">
      <c r="A135" s="23"/>
      <c r="B135" s="37"/>
      <c r="C135" s="23"/>
      <c r="D135" s="23"/>
      <c r="E135" s="23"/>
      <c r="F135" s="23"/>
      <c r="G135" s="23"/>
      <c r="H135" s="23"/>
      <c r="I135" s="23"/>
    </row>
    <row r="136" ht="15.75" customHeight="1">
      <c r="A136" s="23"/>
      <c r="B136" s="37"/>
      <c r="C136" s="23"/>
      <c r="D136" s="23"/>
      <c r="E136" s="23"/>
      <c r="F136" s="23"/>
      <c r="G136" s="23"/>
      <c r="H136" s="23"/>
      <c r="I136" s="23"/>
    </row>
    <row r="137" ht="15.75" customHeight="1">
      <c r="A137" s="23"/>
      <c r="B137" s="37"/>
      <c r="C137" s="23"/>
      <c r="D137" s="23"/>
      <c r="E137" s="23"/>
      <c r="F137" s="23"/>
      <c r="G137" s="23"/>
      <c r="H137" s="23"/>
      <c r="I137" s="23"/>
    </row>
    <row r="138" ht="15.75" customHeight="1">
      <c r="A138" s="23"/>
      <c r="B138" s="37"/>
      <c r="C138" s="23"/>
      <c r="D138" s="23"/>
      <c r="E138" s="23"/>
      <c r="F138" s="23"/>
      <c r="G138" s="23"/>
      <c r="H138" s="23"/>
      <c r="I138" s="23"/>
    </row>
    <row r="139" ht="15.75" customHeight="1">
      <c r="A139" s="23"/>
      <c r="B139" s="37"/>
      <c r="C139" s="23"/>
      <c r="D139" s="23"/>
      <c r="E139" s="23"/>
      <c r="F139" s="23"/>
      <c r="G139" s="23"/>
      <c r="H139" s="23"/>
      <c r="I139" s="23"/>
    </row>
    <row r="140" ht="15.75" customHeight="1">
      <c r="A140" s="23"/>
      <c r="B140" s="37"/>
      <c r="C140" s="23"/>
      <c r="D140" s="23"/>
      <c r="E140" s="23"/>
      <c r="F140" s="23"/>
      <c r="G140" s="23"/>
      <c r="H140" s="23"/>
      <c r="I140" s="23"/>
    </row>
    <row r="141" ht="15.75" customHeight="1">
      <c r="A141" s="23"/>
      <c r="B141" s="37"/>
      <c r="C141" s="23"/>
      <c r="D141" s="23"/>
      <c r="E141" s="23"/>
      <c r="F141" s="23"/>
      <c r="G141" s="23"/>
      <c r="H141" s="23"/>
      <c r="I141" s="23"/>
    </row>
    <row r="142" ht="15.75" customHeight="1">
      <c r="A142" s="23"/>
      <c r="B142" s="37"/>
      <c r="C142" s="23"/>
      <c r="D142" s="23"/>
      <c r="E142" s="23"/>
      <c r="F142" s="23"/>
      <c r="G142" s="23"/>
      <c r="H142" s="23"/>
      <c r="I142" s="23"/>
    </row>
    <row r="143" ht="15.75" customHeight="1">
      <c r="A143" s="23"/>
      <c r="B143" s="37"/>
      <c r="C143" s="23"/>
      <c r="D143" s="23"/>
      <c r="E143" s="23"/>
      <c r="F143" s="23"/>
      <c r="G143" s="23"/>
      <c r="H143" s="23"/>
      <c r="I143" s="23"/>
    </row>
    <row r="144" ht="15.75" customHeight="1">
      <c r="A144" s="23"/>
      <c r="B144" s="37"/>
      <c r="C144" s="23"/>
      <c r="D144" s="23"/>
      <c r="E144" s="23"/>
      <c r="F144" s="23"/>
      <c r="G144" s="23"/>
      <c r="H144" s="23"/>
      <c r="I144" s="23"/>
    </row>
    <row r="145" ht="15.75" customHeight="1">
      <c r="A145" s="23"/>
      <c r="B145" s="37"/>
      <c r="C145" s="23"/>
      <c r="D145" s="23"/>
      <c r="E145" s="23"/>
      <c r="F145" s="23"/>
      <c r="G145" s="23"/>
      <c r="H145" s="23"/>
      <c r="I145" s="23"/>
    </row>
    <row r="146" ht="15.75" customHeight="1">
      <c r="A146" s="23"/>
      <c r="B146" s="37"/>
      <c r="C146" s="23"/>
      <c r="D146" s="23"/>
      <c r="E146" s="23"/>
      <c r="F146" s="23"/>
      <c r="G146" s="23"/>
      <c r="H146" s="23"/>
      <c r="I146" s="23"/>
    </row>
    <row r="147" ht="15.75" customHeight="1">
      <c r="A147" s="23"/>
      <c r="B147" s="37"/>
      <c r="C147" s="23"/>
      <c r="D147" s="23"/>
      <c r="E147" s="23"/>
      <c r="F147" s="23"/>
      <c r="G147" s="23"/>
      <c r="H147" s="23"/>
      <c r="I147" s="23"/>
    </row>
    <row r="148" ht="15.75" customHeight="1">
      <c r="A148" s="23"/>
      <c r="B148" s="37"/>
      <c r="C148" s="23"/>
      <c r="D148" s="23"/>
      <c r="E148" s="23"/>
      <c r="F148" s="23"/>
      <c r="G148" s="23"/>
      <c r="H148" s="23"/>
      <c r="I148" s="23"/>
    </row>
    <row r="149" ht="15.75" customHeight="1">
      <c r="A149" s="23"/>
      <c r="B149" s="37"/>
      <c r="C149" s="23"/>
      <c r="D149" s="23"/>
      <c r="E149" s="23"/>
      <c r="F149" s="23"/>
      <c r="G149" s="23"/>
      <c r="H149" s="23"/>
      <c r="I149" s="23"/>
    </row>
    <row r="150" ht="15.75" customHeight="1">
      <c r="A150" s="23"/>
      <c r="B150" s="37"/>
      <c r="C150" s="23"/>
      <c r="D150" s="23"/>
      <c r="E150" s="23"/>
      <c r="F150" s="23"/>
      <c r="G150" s="23"/>
      <c r="H150" s="23"/>
      <c r="I150" s="23"/>
    </row>
    <row r="151" ht="15.75" customHeight="1">
      <c r="A151" s="23"/>
      <c r="B151" s="37"/>
      <c r="C151" s="23"/>
      <c r="D151" s="23"/>
      <c r="E151" s="23"/>
      <c r="F151" s="23"/>
      <c r="G151" s="23"/>
      <c r="H151" s="23"/>
      <c r="I151" s="23"/>
    </row>
    <row r="152" ht="15.75" customHeight="1">
      <c r="A152" s="23"/>
      <c r="B152" s="37"/>
      <c r="C152" s="23"/>
      <c r="D152" s="23"/>
      <c r="E152" s="23"/>
      <c r="F152" s="23"/>
      <c r="G152" s="23"/>
      <c r="H152" s="23"/>
      <c r="I152" s="23"/>
    </row>
    <row r="153" ht="15.75" customHeight="1">
      <c r="A153" s="23"/>
      <c r="B153" s="37"/>
      <c r="C153" s="23"/>
      <c r="D153" s="23"/>
      <c r="E153" s="23"/>
      <c r="F153" s="23"/>
      <c r="G153" s="23"/>
      <c r="H153" s="23"/>
      <c r="I153" s="23"/>
    </row>
    <row r="154" ht="15.75" customHeight="1">
      <c r="A154" s="23"/>
      <c r="B154" s="37"/>
      <c r="C154" s="23"/>
      <c r="D154" s="23"/>
      <c r="E154" s="23"/>
      <c r="F154" s="23"/>
      <c r="G154" s="23"/>
      <c r="H154" s="23"/>
      <c r="I154" s="23"/>
    </row>
    <row r="155" ht="15.75" customHeight="1">
      <c r="A155" s="23"/>
      <c r="B155" s="37"/>
      <c r="C155" s="23"/>
      <c r="D155" s="23"/>
      <c r="E155" s="23"/>
      <c r="F155" s="23"/>
      <c r="G155" s="23"/>
      <c r="H155" s="23"/>
      <c r="I155" s="23"/>
    </row>
    <row r="156" ht="15.75" customHeight="1">
      <c r="A156" s="23"/>
      <c r="B156" s="37"/>
      <c r="C156" s="23"/>
      <c r="D156" s="23"/>
      <c r="E156" s="23"/>
      <c r="F156" s="23"/>
      <c r="G156" s="23"/>
      <c r="H156" s="23"/>
      <c r="I156" s="23"/>
    </row>
    <row r="157" ht="15.75" customHeight="1">
      <c r="A157" s="23"/>
      <c r="B157" s="37"/>
      <c r="C157" s="23"/>
      <c r="D157" s="23"/>
      <c r="E157" s="23"/>
      <c r="F157" s="23"/>
      <c r="G157" s="23"/>
      <c r="H157" s="23"/>
      <c r="I157" s="23"/>
    </row>
    <row r="158" ht="15.75" customHeight="1">
      <c r="A158" s="23"/>
      <c r="B158" s="37"/>
      <c r="C158" s="23"/>
      <c r="D158" s="23"/>
      <c r="E158" s="23"/>
      <c r="F158" s="23"/>
      <c r="G158" s="23"/>
      <c r="H158" s="23"/>
      <c r="I158" s="23"/>
    </row>
    <row r="159" ht="15.75" customHeight="1">
      <c r="A159" s="23"/>
      <c r="B159" s="37"/>
      <c r="C159" s="23"/>
      <c r="D159" s="23"/>
      <c r="E159" s="23"/>
      <c r="F159" s="23"/>
      <c r="G159" s="23"/>
      <c r="H159" s="23"/>
      <c r="I159" s="23"/>
    </row>
    <row r="160" ht="15.75" customHeight="1">
      <c r="A160" s="23"/>
      <c r="B160" s="37"/>
      <c r="C160" s="23"/>
      <c r="D160" s="23"/>
      <c r="E160" s="23"/>
      <c r="F160" s="23"/>
      <c r="G160" s="23"/>
      <c r="H160" s="23"/>
      <c r="I160" s="23"/>
    </row>
    <row r="161" ht="15.75" customHeight="1">
      <c r="A161" s="23"/>
      <c r="B161" s="37"/>
      <c r="C161" s="23"/>
      <c r="D161" s="23"/>
      <c r="E161" s="23"/>
      <c r="F161" s="23"/>
      <c r="G161" s="23"/>
      <c r="H161" s="23"/>
      <c r="I161" s="23"/>
    </row>
    <row r="162" ht="15.75" customHeight="1">
      <c r="A162" s="23"/>
      <c r="B162" s="37"/>
      <c r="C162" s="23"/>
      <c r="D162" s="23"/>
      <c r="E162" s="23"/>
      <c r="F162" s="23"/>
      <c r="G162" s="23"/>
      <c r="H162" s="23"/>
      <c r="I162" s="23"/>
    </row>
    <row r="163" ht="15.75" customHeight="1">
      <c r="A163" s="23"/>
      <c r="B163" s="37"/>
      <c r="C163" s="23"/>
      <c r="D163" s="23"/>
      <c r="E163" s="23"/>
      <c r="F163" s="23"/>
      <c r="G163" s="23"/>
      <c r="H163" s="23"/>
      <c r="I163" s="23"/>
    </row>
    <row r="164" ht="15.75" customHeight="1">
      <c r="A164" s="23"/>
      <c r="B164" s="37"/>
      <c r="C164" s="23"/>
      <c r="D164" s="23"/>
      <c r="E164" s="23"/>
      <c r="F164" s="23"/>
      <c r="G164" s="23"/>
      <c r="H164" s="23"/>
      <c r="I164" s="23"/>
    </row>
    <row r="165" ht="15.75" customHeight="1">
      <c r="A165" s="23"/>
      <c r="B165" s="37"/>
      <c r="C165" s="23"/>
      <c r="D165" s="23"/>
      <c r="E165" s="23"/>
      <c r="F165" s="23"/>
      <c r="G165" s="23"/>
      <c r="H165" s="23"/>
      <c r="I165" s="23"/>
    </row>
    <row r="166" ht="15.75" customHeight="1">
      <c r="A166" s="23"/>
      <c r="B166" s="37"/>
      <c r="C166" s="23"/>
      <c r="D166" s="23"/>
      <c r="E166" s="23"/>
      <c r="F166" s="23"/>
      <c r="G166" s="23"/>
      <c r="H166" s="23"/>
      <c r="I166" s="23"/>
    </row>
    <row r="167" ht="15.75" customHeight="1">
      <c r="A167" s="23"/>
      <c r="B167" s="37"/>
      <c r="C167" s="23"/>
      <c r="D167" s="23"/>
      <c r="E167" s="23"/>
      <c r="F167" s="23"/>
      <c r="G167" s="23"/>
      <c r="H167" s="23"/>
      <c r="I167" s="23"/>
    </row>
    <row r="168" ht="15.75" customHeight="1">
      <c r="A168" s="23"/>
      <c r="B168" s="37"/>
      <c r="C168" s="23"/>
      <c r="D168" s="23"/>
      <c r="E168" s="23"/>
      <c r="F168" s="23"/>
      <c r="G168" s="23"/>
      <c r="H168" s="23"/>
      <c r="I168" s="23"/>
    </row>
    <row r="169" ht="15.75" customHeight="1">
      <c r="A169" s="23"/>
      <c r="B169" s="37"/>
      <c r="C169" s="23"/>
      <c r="D169" s="23"/>
      <c r="E169" s="23"/>
      <c r="F169" s="23"/>
      <c r="G169" s="23"/>
      <c r="H169" s="23"/>
      <c r="I169" s="23"/>
    </row>
    <row r="170" ht="15.75" customHeight="1">
      <c r="A170" s="23"/>
      <c r="B170" s="37"/>
      <c r="C170" s="23"/>
      <c r="D170" s="23"/>
      <c r="E170" s="23"/>
      <c r="F170" s="23"/>
      <c r="G170" s="23"/>
      <c r="H170" s="23"/>
      <c r="I170" s="23"/>
    </row>
    <row r="171" ht="15.75" customHeight="1">
      <c r="A171" s="23"/>
      <c r="B171" s="37"/>
      <c r="C171" s="23"/>
      <c r="D171" s="23"/>
      <c r="E171" s="23"/>
      <c r="F171" s="23"/>
      <c r="G171" s="23"/>
      <c r="H171" s="23"/>
      <c r="I171" s="23"/>
    </row>
    <row r="172" ht="15.75" customHeight="1">
      <c r="A172" s="23"/>
      <c r="B172" s="37"/>
      <c r="C172" s="23"/>
      <c r="D172" s="23"/>
      <c r="E172" s="23"/>
      <c r="F172" s="23"/>
      <c r="G172" s="23"/>
      <c r="H172" s="23"/>
      <c r="I172" s="23"/>
    </row>
    <row r="173" ht="15.75" customHeight="1">
      <c r="A173" s="23"/>
      <c r="B173" s="37"/>
      <c r="C173" s="23"/>
      <c r="D173" s="23"/>
      <c r="E173" s="23"/>
      <c r="F173" s="23"/>
      <c r="G173" s="23"/>
      <c r="H173" s="23"/>
      <c r="I173" s="23"/>
    </row>
    <row r="174" ht="15.75" customHeight="1">
      <c r="A174" s="23"/>
      <c r="B174" s="37"/>
      <c r="C174" s="23"/>
      <c r="D174" s="23"/>
      <c r="E174" s="23"/>
      <c r="F174" s="23"/>
      <c r="G174" s="23"/>
      <c r="H174" s="23"/>
      <c r="I174" s="23"/>
    </row>
    <row r="175" ht="15.75" customHeight="1">
      <c r="A175" s="23"/>
      <c r="B175" s="37"/>
      <c r="C175" s="23"/>
      <c r="D175" s="23"/>
      <c r="E175" s="23"/>
      <c r="F175" s="23"/>
      <c r="G175" s="23"/>
      <c r="H175" s="23"/>
      <c r="I175" s="23"/>
    </row>
    <row r="176" ht="15.75" customHeight="1">
      <c r="A176" s="23"/>
      <c r="B176" s="37"/>
      <c r="C176" s="23"/>
      <c r="D176" s="23"/>
      <c r="E176" s="23"/>
      <c r="F176" s="23"/>
      <c r="G176" s="23"/>
      <c r="H176" s="23"/>
      <c r="I176" s="23"/>
    </row>
    <row r="177" ht="15.75" customHeight="1">
      <c r="A177" s="23"/>
      <c r="B177" s="37"/>
      <c r="C177" s="23"/>
      <c r="D177" s="23"/>
      <c r="E177" s="23"/>
      <c r="F177" s="23"/>
      <c r="G177" s="23"/>
      <c r="H177" s="23"/>
      <c r="I177" s="23"/>
    </row>
    <row r="178" ht="15.75" customHeight="1">
      <c r="A178" s="23"/>
      <c r="B178" s="37"/>
      <c r="C178" s="23"/>
      <c r="D178" s="23"/>
      <c r="E178" s="23"/>
      <c r="F178" s="23"/>
      <c r="G178" s="23"/>
      <c r="H178" s="23"/>
      <c r="I178" s="23"/>
    </row>
    <row r="179" ht="15.75" customHeight="1">
      <c r="A179" s="23"/>
      <c r="B179" s="37"/>
      <c r="C179" s="23"/>
      <c r="D179" s="23"/>
      <c r="E179" s="23"/>
      <c r="F179" s="23"/>
      <c r="G179" s="23"/>
      <c r="H179" s="23"/>
      <c r="I179" s="23"/>
    </row>
    <row r="180" ht="15.75" customHeight="1">
      <c r="A180" s="23"/>
      <c r="B180" s="37"/>
      <c r="C180" s="23"/>
      <c r="D180" s="23"/>
      <c r="E180" s="23"/>
      <c r="F180" s="23"/>
      <c r="G180" s="23"/>
      <c r="H180" s="23"/>
      <c r="I180" s="23"/>
    </row>
    <row r="181" ht="15.75" customHeight="1">
      <c r="A181" s="23"/>
      <c r="B181" s="37"/>
      <c r="C181" s="23"/>
      <c r="D181" s="23"/>
      <c r="E181" s="23"/>
      <c r="F181" s="23"/>
      <c r="G181" s="23"/>
      <c r="H181" s="23"/>
      <c r="I181" s="23"/>
    </row>
    <row r="182" ht="15.75" customHeight="1">
      <c r="A182" s="23"/>
      <c r="B182" s="37"/>
      <c r="C182" s="23"/>
      <c r="D182" s="23"/>
      <c r="E182" s="23"/>
      <c r="F182" s="23"/>
      <c r="G182" s="23"/>
      <c r="H182" s="23"/>
      <c r="I182" s="23"/>
    </row>
    <row r="183" ht="15.75" customHeight="1">
      <c r="A183" s="23"/>
      <c r="B183" s="37"/>
      <c r="C183" s="23"/>
      <c r="D183" s="23"/>
      <c r="E183" s="23"/>
      <c r="F183" s="23"/>
      <c r="G183" s="23"/>
      <c r="H183" s="23"/>
      <c r="I183" s="23"/>
    </row>
    <row r="184" ht="15.75" customHeight="1">
      <c r="A184" s="23"/>
      <c r="B184" s="37"/>
      <c r="C184" s="23"/>
      <c r="D184" s="23"/>
      <c r="E184" s="23"/>
      <c r="F184" s="23"/>
      <c r="G184" s="23"/>
      <c r="H184" s="23"/>
      <c r="I184" s="23"/>
    </row>
    <row r="185" ht="15.75" customHeight="1">
      <c r="A185" s="23"/>
      <c r="B185" s="37"/>
      <c r="C185" s="23"/>
      <c r="D185" s="23"/>
      <c r="E185" s="23"/>
      <c r="F185" s="23"/>
      <c r="G185" s="23"/>
      <c r="H185" s="23"/>
      <c r="I185" s="23"/>
    </row>
    <row r="186" ht="15.75" customHeight="1">
      <c r="A186" s="23"/>
      <c r="B186" s="37"/>
      <c r="C186" s="23"/>
      <c r="D186" s="23"/>
      <c r="E186" s="23"/>
      <c r="F186" s="23"/>
      <c r="G186" s="23"/>
      <c r="H186" s="23"/>
      <c r="I186" s="23"/>
    </row>
    <row r="187" ht="15.75" customHeight="1">
      <c r="A187" s="23"/>
      <c r="B187" s="37"/>
      <c r="C187" s="23"/>
      <c r="D187" s="23"/>
      <c r="E187" s="23"/>
      <c r="F187" s="23"/>
      <c r="G187" s="23"/>
      <c r="H187" s="23"/>
      <c r="I187" s="23"/>
    </row>
    <row r="188" ht="15.75" customHeight="1">
      <c r="A188" s="23"/>
      <c r="B188" s="37"/>
      <c r="C188" s="23"/>
      <c r="D188" s="23"/>
      <c r="E188" s="23"/>
      <c r="F188" s="23"/>
      <c r="G188" s="23"/>
      <c r="H188" s="23"/>
      <c r="I188" s="23"/>
    </row>
    <row r="189" ht="15.75" customHeight="1">
      <c r="A189" s="23"/>
      <c r="B189" s="37"/>
      <c r="C189" s="23"/>
      <c r="D189" s="23"/>
      <c r="E189" s="23"/>
      <c r="F189" s="23"/>
      <c r="G189" s="23"/>
      <c r="H189" s="23"/>
      <c r="I189" s="23"/>
    </row>
    <row r="190" ht="15.75" customHeight="1">
      <c r="A190" s="23"/>
      <c r="B190" s="37"/>
      <c r="C190" s="23"/>
      <c r="D190" s="23"/>
      <c r="E190" s="23"/>
      <c r="F190" s="23"/>
      <c r="G190" s="23"/>
      <c r="H190" s="23"/>
      <c r="I190" s="23"/>
    </row>
    <row r="191" ht="15.75" customHeight="1">
      <c r="A191" s="23"/>
      <c r="B191" s="37"/>
      <c r="C191" s="23"/>
      <c r="D191" s="23"/>
      <c r="E191" s="23"/>
      <c r="F191" s="23"/>
      <c r="G191" s="23"/>
      <c r="H191" s="23"/>
      <c r="I191" s="23"/>
    </row>
    <row r="192" ht="15.75" customHeight="1">
      <c r="A192" s="23"/>
      <c r="B192" s="37"/>
      <c r="C192" s="23"/>
      <c r="D192" s="23"/>
      <c r="E192" s="23"/>
      <c r="F192" s="23"/>
      <c r="G192" s="23"/>
      <c r="H192" s="23"/>
      <c r="I192" s="23"/>
    </row>
    <row r="193" ht="15.75" customHeight="1">
      <c r="A193" s="23"/>
      <c r="B193" s="37"/>
      <c r="C193" s="23"/>
      <c r="D193" s="23"/>
      <c r="E193" s="23"/>
      <c r="F193" s="23"/>
      <c r="G193" s="23"/>
      <c r="H193" s="23"/>
      <c r="I193" s="23"/>
    </row>
    <row r="194" ht="15.75" customHeight="1">
      <c r="A194" s="23"/>
      <c r="B194" s="37"/>
      <c r="C194" s="23"/>
      <c r="D194" s="23"/>
      <c r="E194" s="23"/>
      <c r="F194" s="23"/>
      <c r="G194" s="23"/>
      <c r="H194" s="23"/>
      <c r="I194" s="23"/>
    </row>
    <row r="195" ht="15.75" customHeight="1">
      <c r="A195" s="23"/>
      <c r="B195" s="37"/>
      <c r="C195" s="23"/>
      <c r="D195" s="23"/>
      <c r="E195" s="23"/>
      <c r="F195" s="23"/>
      <c r="G195" s="23"/>
      <c r="H195" s="23"/>
      <c r="I195" s="23"/>
    </row>
    <row r="196" ht="15.75" customHeight="1">
      <c r="A196" s="23"/>
      <c r="B196" s="37"/>
      <c r="C196" s="23"/>
      <c r="D196" s="23"/>
      <c r="E196" s="23"/>
      <c r="F196" s="23"/>
      <c r="G196" s="23"/>
      <c r="H196" s="23"/>
      <c r="I196" s="23"/>
    </row>
    <row r="197" ht="15.75" customHeight="1">
      <c r="A197" s="23"/>
      <c r="B197" s="37"/>
      <c r="C197" s="23"/>
      <c r="D197" s="23"/>
      <c r="E197" s="23"/>
      <c r="F197" s="23"/>
      <c r="G197" s="23"/>
      <c r="H197" s="23"/>
      <c r="I197" s="23"/>
    </row>
    <row r="198" ht="15.75" customHeight="1">
      <c r="A198" s="23"/>
      <c r="B198" s="37"/>
      <c r="C198" s="23"/>
      <c r="D198" s="23"/>
      <c r="E198" s="23"/>
      <c r="F198" s="23"/>
      <c r="G198" s="23"/>
      <c r="H198" s="23"/>
      <c r="I198" s="23"/>
    </row>
    <row r="199" ht="15.75" customHeight="1">
      <c r="A199" s="23"/>
      <c r="B199" s="37"/>
      <c r="C199" s="23"/>
      <c r="D199" s="23"/>
      <c r="E199" s="23"/>
      <c r="F199" s="23"/>
      <c r="G199" s="23"/>
      <c r="H199" s="23"/>
      <c r="I199" s="23"/>
    </row>
    <row r="200" ht="15.75" customHeight="1">
      <c r="A200" s="23"/>
      <c r="B200" s="37"/>
      <c r="C200" s="23"/>
      <c r="D200" s="23"/>
      <c r="E200" s="23"/>
      <c r="F200" s="23"/>
      <c r="G200" s="23"/>
      <c r="H200" s="23"/>
      <c r="I200" s="23"/>
    </row>
    <row r="201" ht="15.75" customHeight="1">
      <c r="A201" s="23"/>
      <c r="B201" s="37"/>
      <c r="C201" s="23"/>
      <c r="D201" s="23"/>
      <c r="E201" s="23"/>
      <c r="F201" s="23"/>
      <c r="G201" s="23"/>
      <c r="H201" s="23"/>
      <c r="I201" s="23"/>
    </row>
    <row r="202" ht="15.75" customHeight="1">
      <c r="A202" s="23"/>
      <c r="B202" s="37"/>
      <c r="C202" s="23"/>
      <c r="D202" s="23"/>
      <c r="E202" s="23"/>
      <c r="F202" s="23"/>
      <c r="G202" s="23"/>
      <c r="H202" s="23"/>
      <c r="I202" s="23"/>
    </row>
    <row r="203" ht="15.75" customHeight="1">
      <c r="A203" s="23"/>
      <c r="B203" s="37"/>
      <c r="C203" s="23"/>
      <c r="D203" s="23"/>
      <c r="E203" s="23"/>
      <c r="F203" s="23"/>
      <c r="G203" s="23"/>
      <c r="H203" s="23"/>
      <c r="I203" s="23"/>
    </row>
    <row r="204" ht="15.75" customHeight="1">
      <c r="A204" s="23"/>
      <c r="B204" s="37"/>
      <c r="C204" s="23"/>
      <c r="D204" s="23"/>
      <c r="E204" s="23"/>
      <c r="F204" s="23"/>
      <c r="G204" s="23"/>
      <c r="H204" s="23"/>
      <c r="I204" s="23"/>
    </row>
    <row r="205" ht="15.75" customHeight="1">
      <c r="A205" s="23"/>
      <c r="B205" s="37"/>
      <c r="C205" s="23"/>
      <c r="D205" s="23"/>
      <c r="E205" s="23"/>
      <c r="F205" s="23"/>
      <c r="G205" s="23"/>
      <c r="H205" s="23"/>
      <c r="I205" s="23"/>
    </row>
    <row r="206" ht="15.75" customHeight="1">
      <c r="A206" s="23"/>
      <c r="B206" s="37"/>
      <c r="C206" s="23"/>
      <c r="D206" s="23"/>
      <c r="E206" s="23"/>
      <c r="F206" s="23"/>
      <c r="G206" s="23"/>
      <c r="H206" s="23"/>
      <c r="I206" s="23"/>
    </row>
    <row r="207" ht="15.75" customHeight="1">
      <c r="A207" s="23"/>
      <c r="B207" s="37"/>
      <c r="C207" s="23"/>
      <c r="D207" s="23"/>
      <c r="E207" s="23"/>
      <c r="F207" s="23"/>
      <c r="G207" s="23"/>
      <c r="H207" s="23"/>
      <c r="I207" s="23"/>
    </row>
    <row r="208" ht="15.75" customHeight="1">
      <c r="A208" s="23"/>
      <c r="B208" s="37"/>
      <c r="C208" s="23"/>
      <c r="D208" s="23"/>
      <c r="E208" s="23"/>
      <c r="F208" s="23"/>
      <c r="G208" s="23"/>
      <c r="H208" s="23"/>
      <c r="I208" s="23"/>
    </row>
    <row r="209" ht="15.75" customHeight="1">
      <c r="A209" s="23"/>
      <c r="B209" s="37"/>
      <c r="C209" s="23"/>
      <c r="D209" s="23"/>
      <c r="E209" s="23"/>
      <c r="F209" s="23"/>
      <c r="G209" s="23"/>
      <c r="H209" s="23"/>
      <c r="I209" s="23"/>
    </row>
    <row r="210" ht="15.75" customHeight="1">
      <c r="A210" s="23"/>
      <c r="B210" s="37"/>
      <c r="C210" s="23"/>
      <c r="D210" s="23"/>
      <c r="E210" s="23"/>
      <c r="F210" s="23"/>
      <c r="G210" s="23"/>
      <c r="H210" s="23"/>
      <c r="I210" s="23"/>
    </row>
    <row r="211" ht="15.75" customHeight="1">
      <c r="A211" s="23"/>
      <c r="B211" s="37"/>
      <c r="C211" s="23"/>
      <c r="D211" s="23"/>
      <c r="E211" s="23"/>
      <c r="F211" s="23"/>
      <c r="G211" s="23"/>
      <c r="H211" s="23"/>
      <c r="I211" s="23"/>
    </row>
    <row r="212" ht="15.75" customHeight="1">
      <c r="A212" s="23"/>
      <c r="B212" s="37"/>
      <c r="C212" s="23"/>
      <c r="D212" s="23"/>
      <c r="E212" s="23"/>
      <c r="F212" s="23"/>
      <c r="G212" s="23"/>
      <c r="H212" s="23"/>
      <c r="I212" s="23"/>
    </row>
    <row r="213" ht="15.75" customHeight="1">
      <c r="A213" s="23"/>
      <c r="B213" s="37"/>
      <c r="C213" s="23"/>
      <c r="D213" s="23"/>
      <c r="E213" s="23"/>
      <c r="F213" s="23"/>
      <c r="G213" s="23"/>
      <c r="H213" s="23"/>
      <c r="I213" s="23"/>
    </row>
    <row r="214" ht="15.75" customHeight="1">
      <c r="A214" s="23"/>
      <c r="B214" s="37"/>
      <c r="C214" s="23"/>
      <c r="D214" s="23"/>
      <c r="E214" s="23"/>
      <c r="F214" s="23"/>
      <c r="G214" s="23"/>
      <c r="H214" s="23"/>
      <c r="I214" s="23"/>
    </row>
    <row r="215" ht="15.75" customHeight="1">
      <c r="A215" s="23"/>
      <c r="B215" s="37"/>
      <c r="C215" s="23"/>
      <c r="D215" s="23"/>
      <c r="E215" s="23"/>
      <c r="F215" s="23"/>
      <c r="G215" s="23"/>
      <c r="H215" s="23"/>
      <c r="I215" s="23"/>
    </row>
    <row r="216" ht="15.75" customHeight="1">
      <c r="A216" s="23"/>
      <c r="B216" s="37"/>
      <c r="C216" s="23"/>
      <c r="D216" s="23"/>
      <c r="E216" s="23"/>
      <c r="F216" s="23"/>
      <c r="G216" s="23"/>
      <c r="H216" s="23"/>
      <c r="I216" s="23"/>
    </row>
    <row r="217" ht="15.75" customHeight="1">
      <c r="A217" s="23"/>
      <c r="B217" s="37"/>
      <c r="C217" s="23"/>
      <c r="D217" s="23"/>
      <c r="E217" s="23"/>
      <c r="F217" s="23"/>
      <c r="G217" s="23"/>
      <c r="H217" s="23"/>
      <c r="I217" s="23"/>
    </row>
    <row r="218" ht="15.75" customHeight="1">
      <c r="A218" s="23"/>
      <c r="B218" s="37"/>
      <c r="C218" s="23"/>
      <c r="D218" s="23"/>
      <c r="E218" s="23"/>
      <c r="F218" s="23"/>
      <c r="G218" s="23"/>
      <c r="H218" s="23"/>
      <c r="I218" s="23"/>
    </row>
    <row r="219" ht="15.75" customHeight="1">
      <c r="A219" s="23"/>
      <c r="B219" s="37"/>
      <c r="C219" s="23"/>
      <c r="D219" s="23"/>
      <c r="E219" s="23"/>
      <c r="F219" s="23"/>
      <c r="G219" s="23"/>
      <c r="H219" s="23"/>
      <c r="I219" s="23"/>
    </row>
    <row r="220" ht="15.75" customHeight="1">
      <c r="A220" s="23"/>
      <c r="B220" s="37"/>
      <c r="C220" s="23"/>
      <c r="D220" s="23"/>
      <c r="E220" s="23"/>
      <c r="F220" s="23"/>
      <c r="G220" s="23"/>
      <c r="H220" s="23"/>
      <c r="I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</row>
  </sheetData>
  <mergeCells count="2">
    <mergeCell ref="B1:E1"/>
    <mergeCell ref="F1:I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20.88"/>
    <col customWidth="1" min="3" max="3" width="13.75"/>
    <col customWidth="1" min="4" max="5" width="12.63"/>
    <col customWidth="1" hidden="1" min="6" max="6" width="19.25"/>
  </cols>
  <sheetData>
    <row r="1" ht="15.75" customHeight="1">
      <c r="A1" s="42" t="s">
        <v>24</v>
      </c>
      <c r="B1" s="42"/>
      <c r="C1" s="24"/>
      <c r="D1" s="24"/>
      <c r="E1" s="43"/>
      <c r="F1" s="23"/>
    </row>
    <row r="2" ht="15.75" customHeight="1">
      <c r="A2" s="23"/>
      <c r="B2" s="23"/>
      <c r="C2" s="24" t="s">
        <v>25</v>
      </c>
      <c r="D2" s="24" t="s">
        <v>26</v>
      </c>
      <c r="E2" s="43" t="s">
        <v>27</v>
      </c>
      <c r="F2" s="43" t="s">
        <v>28</v>
      </c>
    </row>
    <row r="3" ht="15.75" customHeight="1">
      <c r="A3" s="43"/>
      <c r="B3" s="38" t="s">
        <v>29</v>
      </c>
      <c r="C3" s="40" t="s">
        <v>30</v>
      </c>
      <c r="D3" s="40">
        <v>120000.0</v>
      </c>
      <c r="E3" s="38">
        <v>1.0</v>
      </c>
      <c r="F3" s="44" t="str">
        <f t="shared" ref="F3:F22" si="1">if(or(B3="CEO",B3="CTO"),"General &amp; Administrative",if(B3="Engineer","Research &amp; Development",if(or(B3="Customer Success",B3="Sales",B3="Marketing"),"Sales &amp; Marketing",if(B3="Support","Support","N/A"))))</f>
        <v>General &amp; Administrative</v>
      </c>
    </row>
    <row r="4" ht="15.75" customHeight="1">
      <c r="A4" s="43"/>
      <c r="B4" s="38" t="s">
        <v>31</v>
      </c>
      <c r="C4" s="40" t="s">
        <v>32</v>
      </c>
      <c r="D4" s="40">
        <v>120000.0</v>
      </c>
      <c r="E4" s="38">
        <v>1.0</v>
      </c>
      <c r="F4" s="44" t="str">
        <f t="shared" si="1"/>
        <v>Research &amp; Development</v>
      </c>
    </row>
    <row r="5" ht="15.75" customHeight="1">
      <c r="A5" s="43"/>
      <c r="B5" s="38" t="s">
        <v>31</v>
      </c>
      <c r="C5" s="40" t="s">
        <v>33</v>
      </c>
      <c r="D5" s="40">
        <v>120000.0</v>
      </c>
      <c r="E5" s="38">
        <v>4.0</v>
      </c>
      <c r="F5" s="44" t="str">
        <f t="shared" si="1"/>
        <v>Research &amp; Development</v>
      </c>
    </row>
    <row r="6" ht="15.75" customHeight="1">
      <c r="A6" s="43"/>
      <c r="B6" s="38" t="s">
        <v>31</v>
      </c>
      <c r="C6" s="40" t="s">
        <v>34</v>
      </c>
      <c r="D6" s="40">
        <v>120000.0</v>
      </c>
      <c r="E6" s="38">
        <v>10.0</v>
      </c>
      <c r="F6" s="44" t="str">
        <f t="shared" si="1"/>
        <v>Research &amp; Development</v>
      </c>
    </row>
    <row r="7" ht="15.75" customHeight="1">
      <c r="A7" s="43"/>
      <c r="B7" s="38"/>
      <c r="C7" s="40"/>
      <c r="D7" s="40"/>
      <c r="E7" s="38"/>
      <c r="F7" s="44" t="str">
        <f t="shared" si="1"/>
        <v>N/A</v>
      </c>
    </row>
    <row r="8" ht="15.75" customHeight="1">
      <c r="A8" s="43"/>
      <c r="B8" s="38"/>
      <c r="C8" s="40"/>
      <c r="D8" s="40"/>
      <c r="E8" s="38"/>
      <c r="F8" s="44" t="str">
        <f t="shared" si="1"/>
        <v>N/A</v>
      </c>
    </row>
    <row r="9" ht="15.75" customHeight="1">
      <c r="A9" s="43"/>
      <c r="B9" s="38"/>
      <c r="C9" s="40"/>
      <c r="D9" s="40"/>
      <c r="E9" s="38"/>
      <c r="F9" s="44" t="str">
        <f t="shared" si="1"/>
        <v>N/A</v>
      </c>
    </row>
    <row r="10" ht="15.75" customHeight="1">
      <c r="A10" s="43"/>
      <c r="B10" s="38"/>
      <c r="C10" s="40"/>
      <c r="D10" s="40"/>
      <c r="E10" s="38"/>
      <c r="F10" s="44" t="str">
        <f t="shared" si="1"/>
        <v>N/A</v>
      </c>
    </row>
    <row r="11" ht="15.75" customHeight="1">
      <c r="A11" s="43"/>
      <c r="B11" s="38"/>
      <c r="C11" s="40"/>
      <c r="D11" s="40"/>
      <c r="E11" s="38"/>
      <c r="F11" s="44" t="str">
        <f t="shared" si="1"/>
        <v>N/A</v>
      </c>
    </row>
    <row r="12" ht="15.75" customHeight="1">
      <c r="A12" s="43"/>
      <c r="B12" s="38"/>
      <c r="C12" s="40"/>
      <c r="D12" s="40"/>
      <c r="E12" s="38"/>
      <c r="F12" s="44" t="str">
        <f t="shared" si="1"/>
        <v>N/A</v>
      </c>
    </row>
    <row r="13" ht="15.75" customHeight="1">
      <c r="A13" s="43"/>
      <c r="B13" s="38"/>
      <c r="C13" s="40"/>
      <c r="D13" s="40"/>
      <c r="E13" s="38"/>
      <c r="F13" s="44" t="str">
        <f t="shared" si="1"/>
        <v>N/A</v>
      </c>
    </row>
    <row r="14" ht="15.75" customHeight="1">
      <c r="A14" s="43"/>
      <c r="B14" s="38"/>
      <c r="C14" s="40"/>
      <c r="D14" s="40"/>
      <c r="E14" s="38"/>
      <c r="F14" s="44" t="str">
        <f t="shared" si="1"/>
        <v>N/A</v>
      </c>
    </row>
    <row r="15" ht="15.75" customHeight="1">
      <c r="A15" s="43"/>
      <c r="B15" s="38"/>
      <c r="C15" s="40"/>
      <c r="D15" s="40"/>
      <c r="E15" s="38"/>
      <c r="F15" s="44" t="str">
        <f t="shared" si="1"/>
        <v>N/A</v>
      </c>
    </row>
    <row r="16" ht="15.75" customHeight="1">
      <c r="A16" s="43"/>
      <c r="B16" s="38"/>
      <c r="C16" s="40"/>
      <c r="D16" s="40"/>
      <c r="E16" s="38"/>
      <c r="F16" s="44" t="str">
        <f t="shared" si="1"/>
        <v>N/A</v>
      </c>
    </row>
    <row r="17" ht="15.75" customHeight="1">
      <c r="A17" s="43"/>
      <c r="B17" s="38"/>
      <c r="C17" s="40"/>
      <c r="D17" s="40"/>
      <c r="E17" s="38"/>
      <c r="F17" s="44" t="str">
        <f t="shared" si="1"/>
        <v>N/A</v>
      </c>
    </row>
    <row r="18" ht="15.75" customHeight="1">
      <c r="A18" s="43"/>
      <c r="B18" s="38"/>
      <c r="C18" s="40"/>
      <c r="D18" s="40"/>
      <c r="E18" s="38"/>
      <c r="F18" s="44" t="str">
        <f t="shared" si="1"/>
        <v>N/A</v>
      </c>
    </row>
    <row r="19" ht="15.75" customHeight="1">
      <c r="A19" s="43"/>
      <c r="B19" s="38"/>
      <c r="C19" s="40"/>
      <c r="D19" s="40"/>
      <c r="E19" s="38"/>
      <c r="F19" s="44" t="str">
        <f t="shared" si="1"/>
        <v>N/A</v>
      </c>
    </row>
    <row r="20" ht="15.75" customHeight="1">
      <c r="A20" s="43"/>
      <c r="B20" s="38"/>
      <c r="C20" s="40"/>
      <c r="D20" s="40"/>
      <c r="E20" s="38"/>
      <c r="F20" s="44" t="str">
        <f t="shared" si="1"/>
        <v>N/A</v>
      </c>
    </row>
    <row r="21" ht="15.75" customHeight="1">
      <c r="A21" s="43"/>
      <c r="B21" s="38"/>
      <c r="C21" s="40"/>
      <c r="D21" s="40"/>
      <c r="E21" s="38"/>
      <c r="F21" s="44" t="str">
        <f t="shared" si="1"/>
        <v>N/A</v>
      </c>
    </row>
    <row r="22" ht="15.75" customHeight="1">
      <c r="A22" s="43"/>
      <c r="B22" s="38"/>
      <c r="C22" s="40"/>
      <c r="D22" s="40"/>
      <c r="E22" s="38"/>
      <c r="F22" s="44" t="str">
        <f t="shared" si="1"/>
        <v>N/A</v>
      </c>
    </row>
    <row r="23" ht="15.75" customHeight="1">
      <c r="A23" s="23"/>
      <c r="B23" s="23"/>
      <c r="C23" s="23"/>
      <c r="F23" s="23"/>
    </row>
    <row r="24" ht="15.75" customHeight="1">
      <c r="A24" s="42" t="s">
        <v>35</v>
      </c>
      <c r="B24" s="23"/>
      <c r="C24" s="23"/>
      <c r="F24" s="23"/>
    </row>
    <row r="25" ht="15.75" customHeight="1">
      <c r="A25" s="23"/>
      <c r="B25" s="43"/>
      <c r="C25" s="43"/>
      <c r="D25" s="43" t="s">
        <v>36</v>
      </c>
      <c r="F25" s="23"/>
    </row>
    <row r="26" ht="15.75" customHeight="1">
      <c r="A26" s="23"/>
      <c r="B26" s="43" t="s">
        <v>37</v>
      </c>
      <c r="C26" s="45"/>
      <c r="D26" s="46">
        <v>0.02</v>
      </c>
      <c r="F26" s="23"/>
    </row>
    <row r="27" ht="15.75" customHeight="1">
      <c r="A27" s="23"/>
      <c r="B27" s="43" t="s">
        <v>38</v>
      </c>
      <c r="C27" s="45"/>
      <c r="D27" s="46">
        <v>0.01</v>
      </c>
      <c r="F27" s="23"/>
    </row>
    <row r="28" ht="15.75" customHeight="1">
      <c r="A28" s="23"/>
      <c r="B28" s="23"/>
      <c r="C28" s="23"/>
      <c r="F28" s="23"/>
    </row>
    <row r="29" ht="15.75" customHeight="1">
      <c r="A29" s="42" t="s">
        <v>39</v>
      </c>
      <c r="B29" s="23"/>
      <c r="C29" s="23"/>
      <c r="F29" s="23"/>
    </row>
    <row r="30" ht="15.75" customHeight="1">
      <c r="A30" s="23"/>
      <c r="B30" s="43" t="s">
        <v>40</v>
      </c>
      <c r="C30" s="45"/>
      <c r="D30" s="46">
        <v>0.03</v>
      </c>
      <c r="F30" s="23"/>
    </row>
    <row r="31" ht="15.75" customHeight="1">
      <c r="A31" s="23"/>
      <c r="B31" s="43" t="s">
        <v>41</v>
      </c>
      <c r="C31" s="47"/>
      <c r="D31" s="48">
        <v>1500.0</v>
      </c>
      <c r="F31" s="23"/>
    </row>
    <row r="32" ht="15.75" customHeight="1">
      <c r="A32" s="23"/>
      <c r="B32" s="23"/>
      <c r="C32" s="23"/>
      <c r="F32" s="23"/>
    </row>
    <row r="33" ht="15.75" customHeight="1">
      <c r="A33" s="42" t="s">
        <v>42</v>
      </c>
      <c r="B33" s="23"/>
      <c r="C33" s="23"/>
      <c r="F33" s="23"/>
    </row>
    <row r="34" ht="15.75" customHeight="1">
      <c r="A34" s="23"/>
      <c r="B34" s="43" t="s">
        <v>43</v>
      </c>
      <c r="C34" s="49"/>
      <c r="D34" s="40">
        <v>3000.0</v>
      </c>
      <c r="F34" s="23"/>
    </row>
    <row r="35" ht="15.75" customHeight="1">
      <c r="A35" s="23"/>
      <c r="B35" s="43" t="s">
        <v>44</v>
      </c>
      <c r="C35" s="49"/>
      <c r="D35" s="40">
        <v>1000.0</v>
      </c>
      <c r="F35" s="23"/>
    </row>
    <row r="36" ht="15.75" customHeight="1">
      <c r="A36" s="23"/>
      <c r="B36" s="43" t="s">
        <v>45</v>
      </c>
      <c r="C36" s="49"/>
      <c r="D36" s="40">
        <v>2000.0</v>
      </c>
      <c r="F36" s="23"/>
    </row>
    <row r="37" ht="15.75" customHeight="1">
      <c r="A37" s="23"/>
      <c r="B37" s="43" t="s">
        <v>46</v>
      </c>
      <c r="C37" s="49"/>
      <c r="D37" s="40">
        <v>500.0</v>
      </c>
      <c r="F37" s="23"/>
    </row>
    <row r="38" ht="15.75" customHeight="1">
      <c r="A38" s="23"/>
      <c r="B38" s="43" t="s">
        <v>47</v>
      </c>
      <c r="C38" s="49"/>
      <c r="D38" s="40">
        <v>0.0</v>
      </c>
      <c r="F38" s="23"/>
    </row>
    <row r="39" ht="15.75" customHeight="1">
      <c r="A39" s="23"/>
      <c r="B39" s="43" t="s">
        <v>48</v>
      </c>
      <c r="C39" s="49"/>
      <c r="D39" s="40">
        <v>200.0</v>
      </c>
      <c r="F39" s="23"/>
    </row>
    <row r="40" ht="15.75" customHeight="1">
      <c r="A40" s="23"/>
      <c r="B40" s="43" t="s">
        <v>49</v>
      </c>
      <c r="C40" s="49"/>
      <c r="D40" s="40">
        <v>667.0</v>
      </c>
      <c r="F40" s="23"/>
    </row>
    <row r="41" ht="15.75" customHeight="1">
      <c r="A41" s="23"/>
      <c r="B41" s="43" t="s">
        <v>50</v>
      </c>
      <c r="C41" s="49"/>
      <c r="D41" s="40">
        <v>500.0</v>
      </c>
      <c r="F41" s="23"/>
    </row>
    <row r="42" ht="15.75" customHeight="1">
      <c r="A42" s="23"/>
      <c r="B42" s="43" t="s">
        <v>51</v>
      </c>
      <c r="C42" s="49"/>
      <c r="D42" s="40">
        <v>0.0</v>
      </c>
      <c r="F42" s="23"/>
    </row>
    <row r="43" ht="15.75" customHeight="1">
      <c r="A43" s="23"/>
      <c r="B43" s="23"/>
      <c r="C43" s="23"/>
      <c r="F43" s="23"/>
    </row>
    <row r="44" ht="15.75" customHeight="1">
      <c r="A44" s="23"/>
      <c r="B44" s="23"/>
      <c r="C44" s="23"/>
      <c r="F44" s="23"/>
    </row>
    <row r="45" ht="15.75" customHeight="1">
      <c r="A45" s="23"/>
      <c r="B45" s="23"/>
      <c r="C45" s="23"/>
      <c r="F45" s="23"/>
    </row>
    <row r="46" ht="15.75" customHeight="1">
      <c r="A46" s="23"/>
      <c r="B46" s="23"/>
      <c r="C46" s="23"/>
      <c r="F46" s="23"/>
    </row>
    <row r="47" ht="15.75" customHeight="1">
      <c r="A47" s="23"/>
      <c r="B47" s="23"/>
      <c r="C47" s="23"/>
      <c r="F47" s="23"/>
    </row>
    <row r="48" ht="15.75" customHeight="1">
      <c r="A48" s="23"/>
      <c r="B48" s="23"/>
      <c r="C48" s="23"/>
      <c r="F48" s="23"/>
    </row>
    <row r="49" ht="15.75" customHeight="1">
      <c r="A49" s="23"/>
      <c r="B49" s="23"/>
      <c r="C49" s="23"/>
      <c r="F49" s="23"/>
    </row>
    <row r="50" ht="15.75" customHeight="1">
      <c r="A50" s="23"/>
      <c r="B50" s="23"/>
      <c r="C50" s="23"/>
      <c r="F50" s="23"/>
    </row>
    <row r="51" ht="15.75" customHeight="1">
      <c r="A51" s="23"/>
      <c r="B51" s="23"/>
      <c r="C51" s="23"/>
      <c r="F51" s="23"/>
    </row>
    <row r="52" ht="15.75" customHeight="1">
      <c r="A52" s="23"/>
      <c r="B52" s="23"/>
      <c r="C52" s="23"/>
      <c r="F52" s="23"/>
    </row>
    <row r="53" ht="15.75" customHeight="1">
      <c r="A53" s="23"/>
      <c r="B53" s="23"/>
      <c r="C53" s="23"/>
      <c r="F53" s="23"/>
    </row>
    <row r="54" ht="15.75" customHeight="1">
      <c r="A54" s="23"/>
      <c r="B54" s="23"/>
      <c r="C54" s="23"/>
      <c r="F54" s="23"/>
    </row>
    <row r="55" ht="15.75" customHeight="1">
      <c r="A55" s="23"/>
      <c r="B55" s="23"/>
      <c r="C55" s="23"/>
      <c r="F55" s="23"/>
    </row>
    <row r="56" ht="15.75" customHeight="1">
      <c r="A56" s="23"/>
      <c r="B56" s="23"/>
      <c r="C56" s="23"/>
      <c r="F56" s="23"/>
    </row>
    <row r="57" ht="15.75" customHeight="1">
      <c r="A57" s="23"/>
      <c r="B57" s="23"/>
      <c r="C57" s="23"/>
      <c r="F57" s="23"/>
    </row>
    <row r="58" ht="15.75" customHeight="1">
      <c r="A58" s="23"/>
      <c r="B58" s="23"/>
      <c r="C58" s="23"/>
      <c r="F58" s="23"/>
    </row>
    <row r="59" ht="15.75" customHeight="1">
      <c r="A59" s="23"/>
      <c r="B59" s="23"/>
      <c r="C59" s="23"/>
      <c r="F59" s="23"/>
    </row>
    <row r="60" ht="15.75" customHeight="1">
      <c r="A60" s="23"/>
      <c r="B60" s="23"/>
      <c r="C60" s="23"/>
      <c r="F60" s="23"/>
    </row>
    <row r="61" ht="15.75" customHeight="1">
      <c r="A61" s="23"/>
      <c r="B61" s="23"/>
      <c r="C61" s="23"/>
      <c r="F61" s="23"/>
    </row>
    <row r="62" ht="15.75" customHeight="1">
      <c r="A62" s="23"/>
      <c r="B62" s="23"/>
      <c r="C62" s="23"/>
      <c r="F62" s="23"/>
    </row>
    <row r="63" ht="15.75" customHeight="1">
      <c r="A63" s="23"/>
      <c r="B63" s="23"/>
      <c r="C63" s="23"/>
      <c r="F63" s="23"/>
    </row>
    <row r="64" ht="15.75" customHeight="1">
      <c r="A64" s="23"/>
      <c r="B64" s="23"/>
      <c r="C64" s="23"/>
      <c r="F64" s="23"/>
    </row>
    <row r="65" ht="15.75" customHeight="1">
      <c r="A65" s="23"/>
      <c r="B65" s="23"/>
      <c r="C65" s="23"/>
      <c r="F65" s="23"/>
    </row>
    <row r="66" ht="15.75" customHeight="1">
      <c r="A66" s="23"/>
      <c r="B66" s="23"/>
      <c r="C66" s="23"/>
      <c r="F66" s="23"/>
    </row>
    <row r="67" ht="15.75" customHeight="1">
      <c r="A67" s="23"/>
      <c r="B67" s="23"/>
      <c r="C67" s="23"/>
      <c r="F67" s="23"/>
    </row>
    <row r="68" ht="15.75" customHeight="1">
      <c r="A68" s="23"/>
      <c r="B68" s="23"/>
      <c r="C68" s="23"/>
      <c r="F68" s="23"/>
    </row>
    <row r="69" ht="15.75" customHeight="1">
      <c r="A69" s="23"/>
      <c r="B69" s="23"/>
      <c r="C69" s="23"/>
      <c r="F69" s="23"/>
    </row>
    <row r="70" ht="15.75" customHeight="1">
      <c r="A70" s="23"/>
      <c r="B70" s="23"/>
      <c r="C70" s="23"/>
      <c r="F70" s="23"/>
    </row>
    <row r="71" ht="15.75" customHeight="1">
      <c r="A71" s="23"/>
      <c r="B71" s="23"/>
      <c r="C71" s="23"/>
      <c r="F71" s="23"/>
    </row>
    <row r="72" ht="15.75" customHeight="1">
      <c r="A72" s="23"/>
      <c r="B72" s="23"/>
      <c r="C72" s="23"/>
      <c r="F72" s="23"/>
    </row>
    <row r="73" ht="15.75" customHeight="1">
      <c r="A73" s="23"/>
      <c r="B73" s="23"/>
      <c r="C73" s="23"/>
      <c r="F73" s="23"/>
    </row>
    <row r="74" ht="15.75" customHeight="1">
      <c r="A74" s="23"/>
      <c r="B74" s="23"/>
      <c r="C74" s="23"/>
      <c r="F74" s="23"/>
    </row>
    <row r="75" ht="15.75" customHeight="1">
      <c r="A75" s="23"/>
      <c r="B75" s="23"/>
      <c r="C75" s="23"/>
      <c r="F75" s="23"/>
    </row>
    <row r="76" ht="15.75" customHeight="1">
      <c r="A76" s="23"/>
      <c r="B76" s="23"/>
      <c r="C76" s="23"/>
      <c r="F76" s="23"/>
    </row>
    <row r="77" ht="15.75" customHeight="1">
      <c r="A77" s="23"/>
      <c r="B77" s="23"/>
      <c r="C77" s="23"/>
      <c r="F77" s="23"/>
    </row>
    <row r="78" ht="15.75" customHeight="1">
      <c r="A78" s="23"/>
      <c r="B78" s="23"/>
      <c r="C78" s="23"/>
      <c r="F78" s="23"/>
    </row>
    <row r="79" ht="15.75" customHeight="1">
      <c r="A79" s="23"/>
      <c r="B79" s="23"/>
      <c r="C79" s="23"/>
      <c r="F79" s="23"/>
    </row>
    <row r="80" ht="15.75" customHeight="1">
      <c r="A80" s="23"/>
      <c r="B80" s="23"/>
      <c r="C80" s="23"/>
      <c r="F80" s="23"/>
    </row>
    <row r="81" ht="15.75" customHeight="1">
      <c r="A81" s="23"/>
      <c r="B81" s="23"/>
      <c r="C81" s="23"/>
      <c r="F81" s="23"/>
    </row>
    <row r="82" ht="15.75" customHeight="1">
      <c r="A82" s="23"/>
      <c r="B82" s="23"/>
      <c r="C82" s="23"/>
      <c r="F82" s="23"/>
    </row>
    <row r="83" ht="15.75" customHeight="1">
      <c r="A83" s="23"/>
      <c r="B83" s="23"/>
      <c r="C83" s="23"/>
      <c r="F83" s="23"/>
    </row>
    <row r="84" ht="15.75" customHeight="1">
      <c r="A84" s="23"/>
      <c r="B84" s="23"/>
      <c r="C84" s="23"/>
      <c r="F84" s="23"/>
    </row>
    <row r="85" ht="15.75" customHeight="1">
      <c r="A85" s="23"/>
      <c r="B85" s="23"/>
      <c r="C85" s="23"/>
      <c r="F85" s="23"/>
    </row>
    <row r="86" ht="15.75" customHeight="1">
      <c r="A86" s="23"/>
      <c r="B86" s="23"/>
      <c r="C86" s="23"/>
      <c r="F86" s="23"/>
    </row>
    <row r="87" ht="15.75" customHeight="1">
      <c r="A87" s="23"/>
      <c r="B87" s="23"/>
      <c r="C87" s="23"/>
      <c r="F87" s="23"/>
    </row>
    <row r="88" ht="15.75" customHeight="1">
      <c r="A88" s="23"/>
      <c r="B88" s="23"/>
      <c r="C88" s="23"/>
      <c r="F88" s="23"/>
    </row>
    <row r="89" ht="15.75" customHeight="1">
      <c r="A89" s="23"/>
      <c r="B89" s="23"/>
      <c r="C89" s="23"/>
      <c r="F89" s="23"/>
    </row>
    <row r="90" ht="15.75" customHeight="1">
      <c r="A90" s="23"/>
      <c r="B90" s="23"/>
      <c r="C90" s="23"/>
      <c r="F90" s="23"/>
    </row>
    <row r="91" ht="15.75" customHeight="1">
      <c r="A91" s="23"/>
      <c r="B91" s="23"/>
      <c r="C91" s="23"/>
      <c r="F91" s="23"/>
    </row>
    <row r="92" ht="15.75" customHeight="1">
      <c r="A92" s="23"/>
      <c r="B92" s="23"/>
      <c r="C92" s="23"/>
      <c r="F92" s="23"/>
    </row>
    <row r="93" ht="15.75" customHeight="1">
      <c r="A93" s="23"/>
      <c r="B93" s="23"/>
      <c r="C93" s="23"/>
      <c r="F93" s="23"/>
    </row>
    <row r="94" ht="15.75" customHeight="1">
      <c r="A94" s="23"/>
      <c r="B94" s="23"/>
      <c r="C94" s="23"/>
      <c r="F94" s="23"/>
    </row>
    <row r="95" ht="15.75" customHeight="1">
      <c r="A95" s="23"/>
      <c r="B95" s="23"/>
      <c r="C95" s="23"/>
      <c r="F95" s="23"/>
    </row>
    <row r="96" ht="15.75" customHeight="1">
      <c r="A96" s="23"/>
      <c r="B96" s="23"/>
      <c r="C96" s="23"/>
      <c r="F96" s="23"/>
    </row>
    <row r="97" ht="15.75" customHeight="1">
      <c r="A97" s="23"/>
      <c r="B97" s="23"/>
      <c r="C97" s="23"/>
      <c r="F97" s="23"/>
    </row>
    <row r="98" ht="15.75" customHeight="1">
      <c r="A98" s="23"/>
      <c r="B98" s="23"/>
      <c r="C98" s="23"/>
      <c r="F98" s="23"/>
    </row>
    <row r="99" ht="15.75" customHeight="1">
      <c r="A99" s="23"/>
      <c r="B99" s="23"/>
      <c r="C99" s="23"/>
      <c r="F99" s="23"/>
    </row>
    <row r="100" ht="15.75" customHeight="1">
      <c r="A100" s="23"/>
      <c r="B100" s="23"/>
      <c r="C100" s="23"/>
      <c r="F100" s="23"/>
    </row>
    <row r="101" ht="15.75" customHeight="1">
      <c r="A101" s="23"/>
      <c r="B101" s="23"/>
      <c r="C101" s="23"/>
      <c r="F101" s="23"/>
    </row>
    <row r="102" ht="15.75" customHeight="1">
      <c r="A102" s="23"/>
      <c r="B102" s="23"/>
      <c r="C102" s="23"/>
      <c r="F102" s="23"/>
    </row>
    <row r="103" ht="15.75" customHeight="1">
      <c r="A103" s="23"/>
      <c r="B103" s="23"/>
      <c r="C103" s="23"/>
      <c r="F103" s="23"/>
    </row>
    <row r="104" ht="15.75" customHeight="1">
      <c r="A104" s="23"/>
      <c r="B104" s="23"/>
      <c r="C104" s="23"/>
      <c r="F104" s="23"/>
    </row>
    <row r="105" ht="15.75" customHeight="1">
      <c r="A105" s="23"/>
      <c r="B105" s="23"/>
      <c r="C105" s="23"/>
      <c r="F105" s="23"/>
    </row>
    <row r="106" ht="15.75" customHeight="1">
      <c r="A106" s="23"/>
      <c r="B106" s="23"/>
      <c r="C106" s="23"/>
      <c r="F106" s="23"/>
    </row>
    <row r="107" ht="15.75" customHeight="1">
      <c r="A107" s="23"/>
      <c r="B107" s="23"/>
      <c r="C107" s="23"/>
      <c r="F107" s="23"/>
    </row>
    <row r="108" ht="15.75" customHeight="1">
      <c r="A108" s="23"/>
      <c r="B108" s="23"/>
      <c r="C108" s="23"/>
      <c r="F108" s="23"/>
    </row>
    <row r="109" ht="15.75" customHeight="1">
      <c r="A109" s="23"/>
      <c r="B109" s="23"/>
      <c r="C109" s="23"/>
      <c r="F109" s="23"/>
    </row>
    <row r="110" ht="15.75" customHeight="1">
      <c r="A110" s="23"/>
      <c r="B110" s="23"/>
      <c r="C110" s="23"/>
      <c r="F110" s="23"/>
    </row>
    <row r="111" ht="15.75" customHeight="1">
      <c r="A111" s="23"/>
      <c r="B111" s="23"/>
      <c r="C111" s="23"/>
      <c r="F111" s="23"/>
    </row>
    <row r="112" ht="15.75" customHeight="1">
      <c r="A112" s="23"/>
      <c r="B112" s="23"/>
      <c r="C112" s="23"/>
      <c r="F112" s="23"/>
    </row>
    <row r="113" ht="15.75" customHeight="1">
      <c r="A113" s="23"/>
      <c r="B113" s="23"/>
      <c r="C113" s="23"/>
      <c r="F113" s="23"/>
    </row>
    <row r="114" ht="15.75" customHeight="1">
      <c r="A114" s="23"/>
      <c r="B114" s="23"/>
      <c r="C114" s="23"/>
      <c r="F114" s="23"/>
    </row>
    <row r="115" ht="15.75" customHeight="1">
      <c r="A115" s="23"/>
      <c r="B115" s="23"/>
      <c r="C115" s="23"/>
      <c r="F115" s="23"/>
    </row>
    <row r="116" ht="15.75" customHeight="1">
      <c r="A116" s="23"/>
      <c r="B116" s="23"/>
      <c r="C116" s="23"/>
      <c r="F116" s="23"/>
    </row>
    <row r="117" ht="15.75" customHeight="1">
      <c r="A117" s="23"/>
      <c r="B117" s="23"/>
      <c r="C117" s="23"/>
      <c r="F117" s="23"/>
    </row>
    <row r="118" ht="15.75" customHeight="1">
      <c r="A118" s="23"/>
      <c r="B118" s="23"/>
      <c r="C118" s="23"/>
      <c r="F118" s="23"/>
    </row>
    <row r="119" ht="15.75" customHeight="1">
      <c r="A119" s="23"/>
      <c r="B119" s="23"/>
      <c r="C119" s="23"/>
      <c r="F119" s="23"/>
    </row>
    <row r="120" ht="15.75" customHeight="1">
      <c r="A120" s="23"/>
      <c r="B120" s="23"/>
      <c r="C120" s="23"/>
      <c r="F120" s="23"/>
    </row>
    <row r="121" ht="15.75" customHeight="1">
      <c r="A121" s="23"/>
      <c r="B121" s="23"/>
      <c r="C121" s="23"/>
      <c r="F121" s="23"/>
    </row>
    <row r="122" ht="15.75" customHeight="1">
      <c r="A122" s="23"/>
      <c r="B122" s="23"/>
      <c r="C122" s="23"/>
      <c r="F122" s="23"/>
    </row>
    <row r="123" ht="15.75" customHeight="1">
      <c r="A123" s="23"/>
      <c r="B123" s="23"/>
      <c r="C123" s="23"/>
      <c r="F123" s="23"/>
    </row>
    <row r="124" ht="15.75" customHeight="1">
      <c r="A124" s="23"/>
      <c r="B124" s="23"/>
      <c r="C124" s="23"/>
      <c r="F124" s="23"/>
    </row>
    <row r="125" ht="15.75" customHeight="1">
      <c r="A125" s="23"/>
      <c r="B125" s="23"/>
      <c r="C125" s="23"/>
      <c r="F125" s="23"/>
    </row>
    <row r="126" ht="15.75" customHeight="1">
      <c r="A126" s="23"/>
      <c r="B126" s="23"/>
      <c r="C126" s="23"/>
      <c r="F126" s="23"/>
    </row>
    <row r="127" ht="15.75" customHeight="1">
      <c r="A127" s="23"/>
      <c r="B127" s="23"/>
      <c r="C127" s="23"/>
      <c r="F127" s="23"/>
    </row>
    <row r="128" ht="15.75" customHeight="1">
      <c r="A128" s="23"/>
      <c r="B128" s="23"/>
      <c r="C128" s="23"/>
      <c r="F128" s="23"/>
    </row>
    <row r="129" ht="15.75" customHeight="1">
      <c r="A129" s="23"/>
      <c r="B129" s="23"/>
      <c r="C129" s="23"/>
      <c r="F129" s="23"/>
    </row>
    <row r="130" ht="15.75" customHeight="1">
      <c r="A130" s="23"/>
      <c r="B130" s="23"/>
      <c r="C130" s="23"/>
      <c r="F130" s="23"/>
    </row>
    <row r="131" ht="15.75" customHeight="1">
      <c r="A131" s="23"/>
      <c r="B131" s="23"/>
      <c r="C131" s="23"/>
      <c r="F131" s="23"/>
    </row>
    <row r="132" ht="15.75" customHeight="1">
      <c r="A132" s="23"/>
      <c r="B132" s="23"/>
      <c r="C132" s="23"/>
      <c r="F132" s="23"/>
    </row>
    <row r="133" ht="15.75" customHeight="1">
      <c r="A133" s="23"/>
      <c r="B133" s="23"/>
      <c r="C133" s="23"/>
      <c r="F133" s="23"/>
    </row>
    <row r="134" ht="15.75" customHeight="1">
      <c r="A134" s="23"/>
      <c r="B134" s="23"/>
      <c r="C134" s="23"/>
      <c r="F134" s="23"/>
    </row>
    <row r="135" ht="15.75" customHeight="1">
      <c r="A135" s="23"/>
      <c r="B135" s="23"/>
      <c r="C135" s="23"/>
      <c r="F135" s="23"/>
    </row>
    <row r="136" ht="15.75" customHeight="1">
      <c r="A136" s="23"/>
      <c r="B136" s="23"/>
      <c r="C136" s="23"/>
      <c r="F136" s="23"/>
    </row>
    <row r="137" ht="15.75" customHeight="1">
      <c r="A137" s="23"/>
      <c r="B137" s="23"/>
      <c r="C137" s="23"/>
      <c r="F137" s="23"/>
    </row>
    <row r="138" ht="15.75" customHeight="1">
      <c r="A138" s="23"/>
      <c r="B138" s="23"/>
      <c r="C138" s="23"/>
      <c r="F138" s="23"/>
    </row>
    <row r="139" ht="15.75" customHeight="1">
      <c r="A139" s="23"/>
      <c r="B139" s="23"/>
      <c r="C139" s="23"/>
      <c r="F139" s="23"/>
    </row>
    <row r="140" ht="15.75" customHeight="1">
      <c r="A140" s="23"/>
      <c r="B140" s="23"/>
      <c r="C140" s="23"/>
      <c r="F140" s="23"/>
    </row>
    <row r="141" ht="15.75" customHeight="1">
      <c r="A141" s="23"/>
      <c r="B141" s="23"/>
      <c r="C141" s="23"/>
      <c r="F141" s="23"/>
    </row>
    <row r="142" ht="15.75" customHeight="1">
      <c r="A142" s="23"/>
      <c r="B142" s="23"/>
      <c r="C142" s="23"/>
      <c r="F142" s="23"/>
    </row>
    <row r="143" ht="15.75" customHeight="1">
      <c r="A143" s="23"/>
      <c r="B143" s="23"/>
      <c r="C143" s="23"/>
      <c r="F143" s="23"/>
    </row>
    <row r="144" ht="15.75" customHeight="1">
      <c r="A144" s="23"/>
      <c r="B144" s="23"/>
      <c r="C144" s="23"/>
      <c r="F144" s="23"/>
    </row>
    <row r="145" ht="15.75" customHeight="1">
      <c r="A145" s="23"/>
      <c r="B145" s="23"/>
      <c r="C145" s="23"/>
      <c r="F145" s="23"/>
    </row>
    <row r="146" ht="15.75" customHeight="1">
      <c r="A146" s="23"/>
      <c r="B146" s="23"/>
      <c r="C146" s="23"/>
      <c r="F146" s="23"/>
    </row>
    <row r="147" ht="15.75" customHeight="1">
      <c r="A147" s="23"/>
      <c r="B147" s="23"/>
      <c r="C147" s="23"/>
      <c r="F147" s="23"/>
    </row>
    <row r="148" ht="15.75" customHeight="1">
      <c r="A148" s="23"/>
      <c r="B148" s="23"/>
      <c r="C148" s="23"/>
      <c r="F148" s="23"/>
    </row>
    <row r="149" ht="15.75" customHeight="1">
      <c r="A149" s="23"/>
      <c r="B149" s="23"/>
      <c r="C149" s="23"/>
      <c r="F149" s="23"/>
    </row>
    <row r="150" ht="15.75" customHeight="1">
      <c r="A150" s="23"/>
      <c r="B150" s="23"/>
      <c r="C150" s="23"/>
      <c r="F150" s="23"/>
    </row>
    <row r="151" ht="15.75" customHeight="1">
      <c r="A151" s="23"/>
      <c r="B151" s="23"/>
      <c r="C151" s="23"/>
      <c r="F151" s="23"/>
    </row>
    <row r="152" ht="15.75" customHeight="1">
      <c r="A152" s="23"/>
      <c r="B152" s="23"/>
      <c r="C152" s="23"/>
      <c r="F152" s="23"/>
    </row>
    <row r="153" ht="15.75" customHeight="1">
      <c r="A153" s="23"/>
      <c r="B153" s="23"/>
      <c r="C153" s="23"/>
      <c r="F153" s="23"/>
    </row>
    <row r="154" ht="15.75" customHeight="1">
      <c r="A154" s="23"/>
      <c r="B154" s="23"/>
      <c r="C154" s="23"/>
      <c r="F154" s="23"/>
    </row>
    <row r="155" ht="15.75" customHeight="1">
      <c r="A155" s="23"/>
      <c r="B155" s="23"/>
      <c r="C155" s="23"/>
      <c r="F155" s="23"/>
    </row>
    <row r="156" ht="15.75" customHeight="1">
      <c r="A156" s="23"/>
      <c r="B156" s="23"/>
      <c r="C156" s="23"/>
      <c r="F156" s="23"/>
    </row>
    <row r="157" ht="15.75" customHeight="1">
      <c r="A157" s="23"/>
      <c r="B157" s="23"/>
      <c r="C157" s="23"/>
      <c r="F157" s="23"/>
    </row>
    <row r="158" ht="15.75" customHeight="1">
      <c r="A158" s="23"/>
      <c r="B158" s="23"/>
      <c r="C158" s="23"/>
      <c r="F158" s="23"/>
    </row>
    <row r="159" ht="15.75" customHeight="1">
      <c r="A159" s="23"/>
      <c r="B159" s="23"/>
      <c r="C159" s="23"/>
      <c r="F159" s="23"/>
    </row>
    <row r="160" ht="15.75" customHeight="1">
      <c r="A160" s="23"/>
      <c r="B160" s="23"/>
      <c r="C160" s="23"/>
      <c r="F160" s="23"/>
    </row>
    <row r="161" ht="15.75" customHeight="1">
      <c r="A161" s="23"/>
      <c r="B161" s="23"/>
      <c r="C161" s="23"/>
      <c r="F161" s="23"/>
    </row>
    <row r="162" ht="15.75" customHeight="1">
      <c r="A162" s="23"/>
      <c r="B162" s="23"/>
      <c r="C162" s="23"/>
      <c r="F162" s="23"/>
    </row>
    <row r="163" ht="15.75" customHeight="1">
      <c r="A163" s="23"/>
      <c r="B163" s="23"/>
      <c r="C163" s="23"/>
      <c r="F163" s="23"/>
    </row>
    <row r="164" ht="15.75" customHeight="1">
      <c r="A164" s="23"/>
      <c r="B164" s="23"/>
      <c r="C164" s="23"/>
      <c r="F164" s="23"/>
    </row>
    <row r="165" ht="15.75" customHeight="1">
      <c r="A165" s="23"/>
      <c r="B165" s="23"/>
      <c r="C165" s="23"/>
      <c r="F165" s="23"/>
    </row>
    <row r="166" ht="15.75" customHeight="1">
      <c r="A166" s="23"/>
      <c r="B166" s="23"/>
      <c r="C166" s="23"/>
      <c r="F166" s="23"/>
    </row>
    <row r="167" ht="15.75" customHeight="1">
      <c r="A167" s="23"/>
      <c r="B167" s="23"/>
      <c r="C167" s="23"/>
      <c r="F167" s="23"/>
    </row>
    <row r="168" ht="15.75" customHeight="1">
      <c r="A168" s="23"/>
      <c r="B168" s="23"/>
      <c r="C168" s="23"/>
      <c r="F168" s="23"/>
    </row>
    <row r="169" ht="15.75" customHeight="1">
      <c r="A169" s="23"/>
      <c r="B169" s="23"/>
      <c r="C169" s="23"/>
      <c r="F169" s="23"/>
    </row>
    <row r="170" ht="15.75" customHeight="1">
      <c r="A170" s="23"/>
      <c r="B170" s="23"/>
      <c r="C170" s="23"/>
      <c r="F170" s="23"/>
    </row>
    <row r="171" ht="15.75" customHeight="1">
      <c r="A171" s="23"/>
      <c r="B171" s="23"/>
      <c r="C171" s="23"/>
      <c r="F171" s="23"/>
    </row>
    <row r="172" ht="15.75" customHeight="1">
      <c r="A172" s="23"/>
      <c r="B172" s="23"/>
      <c r="C172" s="23"/>
      <c r="F172" s="23"/>
    </row>
    <row r="173" ht="15.75" customHeight="1">
      <c r="A173" s="23"/>
      <c r="B173" s="23"/>
      <c r="C173" s="23"/>
      <c r="F173" s="23"/>
    </row>
    <row r="174" ht="15.75" customHeight="1">
      <c r="A174" s="23"/>
      <c r="B174" s="23"/>
      <c r="C174" s="23"/>
      <c r="F174" s="23"/>
    </row>
    <row r="175" ht="15.75" customHeight="1">
      <c r="A175" s="23"/>
      <c r="B175" s="23"/>
      <c r="C175" s="23"/>
      <c r="F175" s="23"/>
    </row>
    <row r="176" ht="15.75" customHeight="1">
      <c r="A176" s="23"/>
      <c r="B176" s="23"/>
      <c r="C176" s="23"/>
      <c r="F176" s="23"/>
    </row>
    <row r="177" ht="15.75" customHeight="1">
      <c r="A177" s="23"/>
      <c r="B177" s="23"/>
      <c r="C177" s="23"/>
      <c r="F177" s="23"/>
    </row>
    <row r="178" ht="15.75" customHeight="1">
      <c r="A178" s="23"/>
      <c r="B178" s="23"/>
      <c r="C178" s="23"/>
      <c r="F178" s="23"/>
    </row>
    <row r="179" ht="15.75" customHeight="1">
      <c r="A179" s="23"/>
      <c r="B179" s="23"/>
      <c r="C179" s="23"/>
      <c r="F179" s="23"/>
    </row>
    <row r="180" ht="15.75" customHeight="1">
      <c r="A180" s="23"/>
      <c r="B180" s="23"/>
      <c r="C180" s="23"/>
      <c r="F180" s="23"/>
    </row>
    <row r="181" ht="15.75" customHeight="1">
      <c r="A181" s="23"/>
      <c r="B181" s="23"/>
      <c r="C181" s="23"/>
      <c r="F181" s="23"/>
    </row>
    <row r="182" ht="15.75" customHeight="1">
      <c r="A182" s="23"/>
      <c r="B182" s="23"/>
      <c r="C182" s="23"/>
      <c r="F182" s="23"/>
    </row>
    <row r="183" ht="15.75" customHeight="1">
      <c r="A183" s="23"/>
      <c r="B183" s="23"/>
      <c r="C183" s="23"/>
      <c r="F183" s="23"/>
    </row>
    <row r="184" ht="15.75" customHeight="1">
      <c r="A184" s="23"/>
      <c r="B184" s="23"/>
      <c r="C184" s="23"/>
      <c r="F184" s="23"/>
    </row>
    <row r="185" ht="15.75" customHeight="1">
      <c r="A185" s="23"/>
      <c r="B185" s="23"/>
      <c r="C185" s="23"/>
      <c r="F185" s="23"/>
    </row>
    <row r="186" ht="15.75" customHeight="1">
      <c r="A186" s="23"/>
      <c r="B186" s="23"/>
      <c r="C186" s="23"/>
      <c r="F186" s="23"/>
    </row>
    <row r="187" ht="15.75" customHeight="1">
      <c r="A187" s="23"/>
      <c r="B187" s="23"/>
      <c r="C187" s="23"/>
      <c r="F187" s="23"/>
    </row>
    <row r="188" ht="15.75" customHeight="1">
      <c r="A188" s="23"/>
      <c r="B188" s="23"/>
      <c r="C188" s="23"/>
      <c r="F188" s="23"/>
    </row>
    <row r="189" ht="15.75" customHeight="1">
      <c r="A189" s="23"/>
      <c r="B189" s="23"/>
      <c r="C189" s="23"/>
      <c r="F189" s="23"/>
    </row>
    <row r="190" ht="15.75" customHeight="1">
      <c r="A190" s="23"/>
      <c r="B190" s="23"/>
      <c r="C190" s="23"/>
      <c r="F190" s="23"/>
    </row>
    <row r="191" ht="15.75" customHeight="1">
      <c r="A191" s="23"/>
      <c r="B191" s="23"/>
      <c r="C191" s="23"/>
      <c r="F191" s="23"/>
    </row>
    <row r="192" ht="15.75" customHeight="1">
      <c r="A192" s="23"/>
      <c r="B192" s="23"/>
      <c r="C192" s="23"/>
      <c r="F192" s="23"/>
    </row>
    <row r="193" ht="15.75" customHeight="1">
      <c r="A193" s="23"/>
      <c r="B193" s="23"/>
      <c r="C193" s="23"/>
      <c r="F193" s="23"/>
    </row>
    <row r="194" ht="15.75" customHeight="1">
      <c r="A194" s="23"/>
      <c r="B194" s="23"/>
      <c r="C194" s="23"/>
      <c r="F194" s="23"/>
    </row>
    <row r="195" ht="15.75" customHeight="1">
      <c r="A195" s="23"/>
      <c r="B195" s="23"/>
      <c r="C195" s="23"/>
      <c r="F195" s="23"/>
    </row>
    <row r="196" ht="15.75" customHeight="1">
      <c r="A196" s="23"/>
      <c r="B196" s="23"/>
      <c r="C196" s="23"/>
      <c r="F196" s="23"/>
    </row>
    <row r="197" ht="15.75" customHeight="1">
      <c r="A197" s="23"/>
      <c r="B197" s="23"/>
      <c r="C197" s="23"/>
      <c r="F197" s="23"/>
    </row>
    <row r="198" ht="15.75" customHeight="1">
      <c r="A198" s="23"/>
      <c r="B198" s="23"/>
      <c r="C198" s="23"/>
      <c r="F198" s="23"/>
    </row>
    <row r="199" ht="15.75" customHeight="1">
      <c r="A199" s="23"/>
      <c r="B199" s="23"/>
      <c r="C199" s="23"/>
      <c r="F199" s="23"/>
    </row>
    <row r="200" ht="15.75" customHeight="1">
      <c r="A200" s="23"/>
      <c r="B200" s="23"/>
      <c r="C200" s="23"/>
      <c r="F200" s="23"/>
    </row>
    <row r="201" ht="15.75" customHeight="1">
      <c r="A201" s="23"/>
      <c r="B201" s="23"/>
      <c r="C201" s="23"/>
      <c r="F201" s="23"/>
    </row>
    <row r="202" ht="15.75" customHeight="1">
      <c r="A202" s="23"/>
      <c r="B202" s="23"/>
      <c r="C202" s="23"/>
      <c r="F202" s="23"/>
    </row>
    <row r="203" ht="15.75" customHeight="1">
      <c r="A203" s="23"/>
      <c r="B203" s="23"/>
      <c r="C203" s="23"/>
      <c r="F203" s="23"/>
    </row>
    <row r="204" ht="15.75" customHeight="1">
      <c r="A204" s="23"/>
      <c r="B204" s="23"/>
      <c r="C204" s="23"/>
      <c r="F204" s="23"/>
    </row>
    <row r="205" ht="15.75" customHeight="1">
      <c r="A205" s="23"/>
      <c r="B205" s="23"/>
      <c r="C205" s="23"/>
      <c r="F205" s="23"/>
    </row>
    <row r="206" ht="15.75" customHeight="1">
      <c r="A206" s="23"/>
      <c r="B206" s="23"/>
      <c r="C206" s="23"/>
      <c r="F206" s="23"/>
    </row>
    <row r="207" ht="15.75" customHeight="1">
      <c r="A207" s="23"/>
      <c r="B207" s="23"/>
      <c r="C207" s="23"/>
      <c r="F207" s="23"/>
    </row>
    <row r="208" ht="15.75" customHeight="1">
      <c r="A208" s="23"/>
      <c r="B208" s="23"/>
      <c r="C208" s="23"/>
      <c r="F208" s="23"/>
    </row>
    <row r="209" ht="15.75" customHeight="1">
      <c r="A209" s="23"/>
      <c r="B209" s="23"/>
      <c r="C209" s="23"/>
      <c r="F209" s="23"/>
    </row>
    <row r="210" ht="15.75" customHeight="1">
      <c r="A210" s="23"/>
      <c r="B210" s="23"/>
      <c r="C210" s="23"/>
      <c r="F210" s="23"/>
    </row>
    <row r="211" ht="15.75" customHeight="1">
      <c r="A211" s="23"/>
      <c r="B211" s="23"/>
      <c r="C211" s="23"/>
      <c r="F211" s="23"/>
    </row>
    <row r="212" ht="15.75" customHeight="1">
      <c r="A212" s="23"/>
      <c r="B212" s="23"/>
      <c r="C212" s="23"/>
      <c r="F212" s="23"/>
    </row>
    <row r="213" ht="15.75" customHeight="1">
      <c r="A213" s="23"/>
      <c r="B213" s="23"/>
      <c r="C213" s="23"/>
      <c r="F213" s="23"/>
    </row>
    <row r="214" ht="15.75" customHeight="1">
      <c r="A214" s="23"/>
      <c r="B214" s="23"/>
      <c r="C214" s="23"/>
      <c r="F214" s="23"/>
    </row>
    <row r="215" ht="15.75" customHeight="1">
      <c r="A215" s="23"/>
      <c r="B215" s="23"/>
      <c r="C215" s="23"/>
      <c r="F215" s="23"/>
    </row>
    <row r="216" ht="15.75" customHeight="1">
      <c r="A216" s="23"/>
      <c r="B216" s="23"/>
      <c r="C216" s="23"/>
      <c r="F216" s="23"/>
    </row>
    <row r="217" ht="15.75" customHeight="1">
      <c r="A217" s="23"/>
      <c r="B217" s="23"/>
      <c r="C217" s="23"/>
      <c r="F217" s="23"/>
    </row>
    <row r="218" ht="15.75" customHeight="1">
      <c r="A218" s="23"/>
      <c r="B218" s="23"/>
      <c r="C218" s="23"/>
      <c r="F218" s="23"/>
    </row>
    <row r="219" ht="15.75" customHeight="1">
      <c r="A219" s="23"/>
      <c r="B219" s="23"/>
      <c r="C219" s="23"/>
      <c r="F219" s="23"/>
    </row>
    <row r="220" ht="15.75" customHeight="1">
      <c r="A220" s="23"/>
      <c r="B220" s="23"/>
      <c r="C220" s="23"/>
      <c r="F220" s="23"/>
    </row>
    <row r="221" ht="15.75" customHeight="1">
      <c r="A221" s="23"/>
      <c r="B221" s="23"/>
      <c r="C221" s="23"/>
      <c r="F221" s="23"/>
    </row>
    <row r="222" ht="15.75" customHeight="1">
      <c r="A222" s="23"/>
      <c r="B222" s="23"/>
      <c r="C222" s="23"/>
      <c r="F222" s="23"/>
    </row>
    <row r="223" ht="15.75" customHeight="1">
      <c r="A223" s="23"/>
      <c r="B223" s="23"/>
      <c r="C223" s="23"/>
      <c r="F223" s="23"/>
    </row>
    <row r="224" ht="15.75" customHeight="1">
      <c r="A224" s="23"/>
      <c r="B224" s="23"/>
      <c r="C224" s="23"/>
      <c r="F224" s="23"/>
    </row>
    <row r="225" ht="15.75" customHeight="1">
      <c r="A225" s="23"/>
      <c r="B225" s="23"/>
      <c r="C225" s="23"/>
      <c r="F225" s="23"/>
    </row>
    <row r="226" ht="15.75" customHeight="1">
      <c r="A226" s="23"/>
      <c r="B226" s="23"/>
      <c r="C226" s="23"/>
      <c r="F226" s="23"/>
    </row>
    <row r="227" ht="15.75" customHeight="1">
      <c r="A227" s="23"/>
      <c r="B227" s="23"/>
      <c r="C227" s="23"/>
      <c r="F227" s="23"/>
    </row>
    <row r="228" ht="15.75" customHeight="1">
      <c r="A228" s="23"/>
      <c r="B228" s="23"/>
      <c r="C228" s="23"/>
      <c r="F228" s="23"/>
    </row>
    <row r="229" ht="15.75" customHeight="1">
      <c r="A229" s="23"/>
      <c r="B229" s="23"/>
      <c r="C229" s="23"/>
      <c r="F229" s="23"/>
    </row>
    <row r="230" ht="15.75" customHeight="1">
      <c r="A230" s="23"/>
      <c r="B230" s="23"/>
      <c r="C230" s="23"/>
      <c r="F230" s="23"/>
    </row>
    <row r="231" ht="15.75" customHeight="1">
      <c r="A231" s="23"/>
      <c r="B231" s="23"/>
      <c r="C231" s="23"/>
      <c r="F231" s="23"/>
    </row>
    <row r="232" ht="15.75" customHeight="1">
      <c r="A232" s="23"/>
      <c r="B232" s="23"/>
      <c r="C232" s="23"/>
      <c r="F232" s="23"/>
    </row>
    <row r="233" ht="15.75" customHeight="1">
      <c r="A233" s="23"/>
      <c r="B233" s="23"/>
      <c r="C233" s="23"/>
      <c r="F233" s="23"/>
    </row>
    <row r="234" ht="15.75" customHeight="1">
      <c r="A234" s="23"/>
      <c r="B234" s="23"/>
      <c r="C234" s="23"/>
      <c r="F234" s="23"/>
    </row>
    <row r="235" ht="15.75" customHeight="1">
      <c r="A235" s="23"/>
      <c r="B235" s="23"/>
      <c r="C235" s="23"/>
      <c r="F235" s="23"/>
    </row>
    <row r="236" ht="15.75" customHeight="1">
      <c r="A236" s="23"/>
      <c r="B236" s="23"/>
      <c r="C236" s="23"/>
      <c r="F236" s="23"/>
    </row>
    <row r="237" ht="15.75" customHeight="1">
      <c r="A237" s="23"/>
      <c r="B237" s="23"/>
      <c r="C237" s="23"/>
      <c r="F237" s="23"/>
    </row>
    <row r="238" ht="15.75" customHeight="1">
      <c r="A238" s="23"/>
      <c r="B238" s="23"/>
      <c r="C238" s="23"/>
      <c r="F238" s="23"/>
    </row>
    <row r="239" ht="15.75" customHeight="1">
      <c r="A239" s="23"/>
      <c r="B239" s="23"/>
      <c r="C239" s="23"/>
      <c r="F239" s="23"/>
    </row>
    <row r="240" ht="15.75" customHeight="1">
      <c r="A240" s="23"/>
      <c r="B240" s="23"/>
      <c r="C240" s="23"/>
      <c r="F240" s="23"/>
    </row>
    <row r="241" ht="15.75" customHeight="1">
      <c r="A241" s="23"/>
      <c r="B241" s="23"/>
      <c r="C241" s="23"/>
      <c r="F241" s="23"/>
    </row>
    <row r="242" ht="15.75" customHeight="1">
      <c r="A242" s="23"/>
      <c r="B242" s="23"/>
      <c r="C242" s="23"/>
      <c r="F242" s="23"/>
    </row>
    <row r="243" ht="15.75" customHeight="1">
      <c r="A243" s="23"/>
      <c r="B243" s="23"/>
      <c r="C243" s="23"/>
      <c r="F243" s="23"/>
    </row>
    <row r="244" ht="15.75" customHeight="1">
      <c r="A244" s="23"/>
      <c r="B244" s="23"/>
      <c r="C244" s="23"/>
      <c r="F244" s="23"/>
    </row>
    <row r="245" ht="15.75" customHeight="1">
      <c r="A245" s="23"/>
      <c r="B245" s="23"/>
      <c r="C245" s="23"/>
      <c r="F245" s="23"/>
    </row>
    <row r="246" ht="15.75" customHeight="1">
      <c r="A246" s="23"/>
      <c r="B246" s="23"/>
      <c r="C246" s="23"/>
      <c r="F246" s="23"/>
    </row>
    <row r="247" ht="15.75" customHeight="1">
      <c r="A247" s="23"/>
      <c r="B247" s="23"/>
      <c r="C247" s="23"/>
      <c r="F247" s="23"/>
    </row>
    <row r="248" ht="15.75" customHeight="1">
      <c r="A248" s="23"/>
      <c r="B248" s="23"/>
      <c r="C248" s="23"/>
      <c r="F248" s="23"/>
    </row>
    <row r="249" ht="15.75" customHeight="1">
      <c r="A249" s="23"/>
      <c r="B249" s="23"/>
      <c r="C249" s="23"/>
      <c r="F249" s="23"/>
    </row>
    <row r="250" ht="15.75" customHeight="1">
      <c r="A250" s="23"/>
      <c r="B250" s="23"/>
      <c r="C250" s="23"/>
      <c r="F250" s="23"/>
    </row>
    <row r="251" ht="15.75" customHeight="1">
      <c r="A251" s="23"/>
      <c r="B251" s="23"/>
      <c r="C251" s="23"/>
      <c r="F251" s="23"/>
    </row>
    <row r="252" ht="15.75" customHeight="1">
      <c r="A252" s="23"/>
      <c r="B252" s="23"/>
      <c r="C252" s="23"/>
      <c r="F252" s="23"/>
    </row>
    <row r="253" ht="15.75" customHeight="1">
      <c r="A253" s="23"/>
      <c r="B253" s="23"/>
      <c r="C253" s="23"/>
      <c r="F253" s="23"/>
    </row>
    <row r="254" ht="15.75" customHeight="1">
      <c r="A254" s="23"/>
      <c r="B254" s="23"/>
      <c r="C254" s="23"/>
      <c r="F254" s="23"/>
    </row>
    <row r="255" ht="15.75" customHeight="1">
      <c r="A255" s="23"/>
      <c r="B255" s="23"/>
      <c r="C255" s="23"/>
      <c r="F255" s="23"/>
    </row>
    <row r="256" ht="15.75" customHeight="1">
      <c r="A256" s="23"/>
      <c r="B256" s="23"/>
      <c r="C256" s="23"/>
      <c r="F256" s="23"/>
    </row>
    <row r="257" ht="15.75" customHeight="1">
      <c r="A257" s="23"/>
      <c r="B257" s="23"/>
      <c r="C257" s="23"/>
      <c r="F257" s="23"/>
    </row>
    <row r="258" ht="15.75" customHeight="1">
      <c r="A258" s="23"/>
      <c r="B258" s="23"/>
      <c r="C258" s="23"/>
      <c r="F258" s="23"/>
    </row>
    <row r="259" ht="15.75" customHeight="1">
      <c r="A259" s="23"/>
      <c r="B259" s="23"/>
      <c r="C259" s="23"/>
      <c r="F259" s="23"/>
    </row>
    <row r="260" ht="15.75" customHeight="1">
      <c r="A260" s="23"/>
      <c r="B260" s="23"/>
      <c r="C260" s="23"/>
      <c r="F260" s="23"/>
    </row>
    <row r="261" ht="15.75" customHeight="1">
      <c r="A261" s="23"/>
      <c r="B261" s="23"/>
      <c r="C261" s="23"/>
      <c r="F261" s="23"/>
    </row>
    <row r="262" ht="15.75" customHeight="1">
      <c r="A262" s="23"/>
      <c r="B262" s="23"/>
      <c r="C262" s="23"/>
      <c r="F262" s="23"/>
    </row>
    <row r="263" ht="15.75" customHeight="1">
      <c r="A263" s="23"/>
      <c r="B263" s="23"/>
      <c r="C263" s="23"/>
      <c r="F263" s="23"/>
    </row>
    <row r="264" ht="15.75" customHeight="1">
      <c r="A264" s="23"/>
      <c r="B264" s="23"/>
      <c r="C264" s="23"/>
      <c r="F264" s="23"/>
    </row>
    <row r="265" ht="15.75" customHeight="1">
      <c r="A265" s="23"/>
      <c r="B265" s="23"/>
      <c r="C265" s="23"/>
      <c r="F265" s="23"/>
    </row>
    <row r="266" ht="15.75" customHeight="1">
      <c r="A266" s="23"/>
      <c r="B266" s="23"/>
      <c r="C266" s="23"/>
      <c r="F266" s="23"/>
    </row>
    <row r="267" ht="15.75" customHeight="1">
      <c r="A267" s="23"/>
      <c r="B267" s="23"/>
      <c r="C267" s="23"/>
      <c r="F267" s="23"/>
    </row>
    <row r="268" ht="15.75" customHeight="1">
      <c r="A268" s="23"/>
      <c r="B268" s="23"/>
      <c r="C268" s="23"/>
      <c r="F268" s="23"/>
    </row>
    <row r="269" ht="15.75" customHeight="1">
      <c r="A269" s="23"/>
      <c r="B269" s="23"/>
      <c r="C269" s="23"/>
      <c r="F269" s="23"/>
    </row>
    <row r="270" ht="15.75" customHeight="1">
      <c r="A270" s="23"/>
      <c r="B270" s="23"/>
      <c r="C270" s="23"/>
      <c r="F270" s="23"/>
    </row>
    <row r="271" ht="15.75" customHeight="1">
      <c r="A271" s="23"/>
      <c r="B271" s="23"/>
      <c r="C271" s="23"/>
      <c r="F271" s="23"/>
    </row>
    <row r="272" ht="15.75" customHeight="1">
      <c r="A272" s="23"/>
      <c r="B272" s="23"/>
      <c r="C272" s="23"/>
      <c r="F272" s="23"/>
    </row>
    <row r="273" ht="15.75" customHeight="1">
      <c r="A273" s="23"/>
      <c r="B273" s="23"/>
      <c r="C273" s="23"/>
      <c r="F273" s="23"/>
    </row>
    <row r="274" ht="15.75" customHeight="1">
      <c r="A274" s="23"/>
      <c r="B274" s="23"/>
      <c r="C274" s="23"/>
      <c r="F274" s="23"/>
    </row>
    <row r="275" ht="15.75" customHeight="1">
      <c r="A275" s="23"/>
      <c r="B275" s="23"/>
      <c r="C275" s="23"/>
      <c r="F275" s="23"/>
    </row>
    <row r="276" ht="15.75" customHeight="1">
      <c r="A276" s="23"/>
      <c r="B276" s="23"/>
      <c r="C276" s="23"/>
      <c r="F276" s="23"/>
    </row>
    <row r="277" ht="15.75" customHeight="1">
      <c r="A277" s="23"/>
      <c r="B277" s="23"/>
      <c r="C277" s="23"/>
      <c r="F277" s="23"/>
    </row>
    <row r="278" ht="15.75" customHeight="1">
      <c r="A278" s="23"/>
      <c r="B278" s="23"/>
      <c r="C278" s="23"/>
      <c r="F278" s="23"/>
    </row>
    <row r="279" ht="15.75" customHeight="1">
      <c r="A279" s="23"/>
      <c r="B279" s="23"/>
      <c r="C279" s="23"/>
      <c r="F279" s="23"/>
    </row>
    <row r="280" ht="15.75" customHeight="1">
      <c r="A280" s="23"/>
      <c r="B280" s="23"/>
      <c r="C280" s="23"/>
      <c r="F280" s="23"/>
    </row>
    <row r="281" ht="15.75" customHeight="1">
      <c r="A281" s="23"/>
      <c r="B281" s="23"/>
      <c r="C281" s="23"/>
      <c r="F281" s="23"/>
    </row>
    <row r="282" ht="15.75" customHeight="1">
      <c r="A282" s="23"/>
      <c r="B282" s="23"/>
      <c r="C282" s="23"/>
      <c r="F282" s="23"/>
    </row>
    <row r="283" ht="15.75" customHeight="1">
      <c r="A283" s="23"/>
      <c r="B283" s="23"/>
      <c r="C283" s="23"/>
      <c r="F283" s="23"/>
    </row>
    <row r="284" ht="15.75" customHeight="1">
      <c r="A284" s="23"/>
      <c r="B284" s="23"/>
      <c r="C284" s="23"/>
      <c r="F284" s="23"/>
    </row>
    <row r="285" ht="15.75" customHeight="1">
      <c r="A285" s="23"/>
      <c r="B285" s="23"/>
      <c r="C285" s="23"/>
      <c r="F285" s="23"/>
    </row>
    <row r="286" ht="15.75" customHeight="1">
      <c r="A286" s="23"/>
      <c r="B286" s="23"/>
      <c r="C286" s="23"/>
      <c r="F286" s="23"/>
    </row>
    <row r="287" ht="15.75" customHeight="1">
      <c r="A287" s="23"/>
      <c r="B287" s="23"/>
      <c r="C287" s="23"/>
      <c r="F287" s="23"/>
    </row>
    <row r="288" ht="15.75" customHeight="1">
      <c r="A288" s="23"/>
      <c r="B288" s="23"/>
      <c r="C288" s="23"/>
      <c r="F288" s="23"/>
    </row>
    <row r="289" ht="15.75" customHeight="1">
      <c r="A289" s="23"/>
      <c r="B289" s="23"/>
      <c r="C289" s="23"/>
      <c r="F289" s="23"/>
    </row>
    <row r="290" ht="15.75" customHeight="1">
      <c r="A290" s="23"/>
      <c r="B290" s="23"/>
      <c r="C290" s="23"/>
      <c r="F290" s="23"/>
    </row>
    <row r="291" ht="15.75" customHeight="1">
      <c r="A291" s="23"/>
      <c r="B291" s="23"/>
      <c r="C291" s="23"/>
      <c r="F291" s="23"/>
    </row>
    <row r="292" ht="15.75" customHeight="1">
      <c r="A292" s="23"/>
      <c r="B292" s="23"/>
      <c r="C292" s="23"/>
      <c r="F292" s="23"/>
    </row>
    <row r="293" ht="15.75" customHeight="1">
      <c r="A293" s="23"/>
      <c r="B293" s="23"/>
      <c r="C293" s="23"/>
      <c r="F293" s="23"/>
    </row>
    <row r="294" ht="15.75" customHeight="1">
      <c r="A294" s="23"/>
      <c r="B294" s="23"/>
      <c r="C294" s="23"/>
      <c r="F294" s="23"/>
    </row>
    <row r="295" ht="15.75" customHeight="1">
      <c r="A295" s="23"/>
      <c r="B295" s="23"/>
      <c r="C295" s="23"/>
      <c r="F295" s="23"/>
    </row>
    <row r="296" ht="15.75" customHeight="1">
      <c r="A296" s="23"/>
      <c r="B296" s="23"/>
      <c r="C296" s="23"/>
      <c r="F296" s="23"/>
    </row>
    <row r="297" ht="15.75" customHeight="1">
      <c r="A297" s="23"/>
      <c r="B297" s="23"/>
      <c r="C297" s="23"/>
      <c r="F297" s="23"/>
    </row>
    <row r="298" ht="15.75" customHeight="1">
      <c r="A298" s="23"/>
      <c r="B298" s="23"/>
      <c r="C298" s="23"/>
      <c r="F298" s="23"/>
    </row>
    <row r="299" ht="15.75" customHeight="1">
      <c r="A299" s="23"/>
      <c r="B299" s="23"/>
      <c r="C299" s="23"/>
      <c r="F299" s="23"/>
    </row>
    <row r="300" ht="15.75" customHeight="1">
      <c r="A300" s="23"/>
      <c r="B300" s="23"/>
      <c r="C300" s="23"/>
      <c r="F300" s="23"/>
    </row>
    <row r="301" ht="15.75" customHeight="1">
      <c r="A301" s="23"/>
      <c r="B301" s="23"/>
      <c r="C301" s="23"/>
      <c r="F301" s="23"/>
    </row>
    <row r="302" ht="15.75" customHeight="1">
      <c r="A302" s="23"/>
      <c r="B302" s="23"/>
      <c r="C302" s="23"/>
      <c r="F302" s="23"/>
    </row>
    <row r="303" ht="15.75" customHeight="1">
      <c r="A303" s="23"/>
      <c r="B303" s="23"/>
      <c r="C303" s="23"/>
      <c r="F303" s="23"/>
    </row>
    <row r="304" ht="15.75" customHeight="1">
      <c r="A304" s="23"/>
      <c r="B304" s="23"/>
      <c r="C304" s="23"/>
      <c r="F304" s="23"/>
    </row>
    <row r="305" ht="15.75" customHeight="1">
      <c r="A305" s="23"/>
      <c r="B305" s="23"/>
      <c r="C305" s="23"/>
      <c r="F305" s="23"/>
    </row>
    <row r="306" ht="15.75" customHeight="1">
      <c r="A306" s="23"/>
      <c r="B306" s="23"/>
      <c r="C306" s="23"/>
      <c r="F306" s="23"/>
    </row>
    <row r="307" ht="15.75" customHeight="1">
      <c r="A307" s="23"/>
      <c r="B307" s="23"/>
      <c r="C307" s="23"/>
      <c r="F307" s="23"/>
    </row>
    <row r="308" ht="15.75" customHeight="1">
      <c r="A308" s="23"/>
      <c r="B308" s="23"/>
      <c r="C308" s="23"/>
      <c r="F308" s="23"/>
    </row>
    <row r="309" ht="15.75" customHeight="1">
      <c r="A309" s="23"/>
      <c r="B309" s="23"/>
      <c r="C309" s="23"/>
      <c r="F309" s="23"/>
    </row>
    <row r="310" ht="15.75" customHeight="1">
      <c r="A310" s="23"/>
      <c r="B310" s="23"/>
      <c r="C310" s="23"/>
      <c r="F310" s="23"/>
    </row>
    <row r="311" ht="15.75" customHeight="1">
      <c r="A311" s="23"/>
      <c r="B311" s="23"/>
      <c r="C311" s="23"/>
      <c r="F311" s="23"/>
    </row>
    <row r="312" ht="15.75" customHeight="1">
      <c r="A312" s="23"/>
      <c r="B312" s="23"/>
      <c r="C312" s="23"/>
      <c r="F312" s="23"/>
    </row>
    <row r="313" ht="15.75" customHeight="1">
      <c r="A313" s="23"/>
      <c r="B313" s="23"/>
      <c r="C313" s="23"/>
      <c r="F313" s="23"/>
    </row>
    <row r="314" ht="15.75" customHeight="1">
      <c r="A314" s="23"/>
      <c r="B314" s="23"/>
      <c r="C314" s="23"/>
      <c r="F314" s="23"/>
    </row>
    <row r="315" ht="15.75" customHeight="1">
      <c r="A315" s="23"/>
      <c r="B315" s="23"/>
      <c r="C315" s="23"/>
      <c r="F315" s="23"/>
    </row>
    <row r="316" ht="15.75" customHeight="1">
      <c r="A316" s="23"/>
      <c r="B316" s="23"/>
      <c r="C316" s="23"/>
      <c r="F316" s="23"/>
    </row>
    <row r="317" ht="15.75" customHeight="1">
      <c r="A317" s="23"/>
      <c r="B317" s="23"/>
      <c r="C317" s="23"/>
      <c r="F317" s="23"/>
    </row>
    <row r="318" ht="15.75" customHeight="1">
      <c r="A318" s="23"/>
      <c r="B318" s="23"/>
      <c r="C318" s="23"/>
      <c r="F318" s="23"/>
    </row>
    <row r="319" ht="15.75" customHeight="1">
      <c r="A319" s="23"/>
      <c r="B319" s="23"/>
      <c r="C319" s="23"/>
      <c r="F319" s="23"/>
    </row>
    <row r="320" ht="15.75" customHeight="1">
      <c r="A320" s="23"/>
      <c r="B320" s="23"/>
      <c r="C320" s="23"/>
      <c r="F320" s="23"/>
    </row>
    <row r="321" ht="15.75" customHeight="1">
      <c r="A321" s="23"/>
      <c r="B321" s="23"/>
      <c r="C321" s="23"/>
      <c r="F321" s="23"/>
    </row>
    <row r="322" ht="15.75" customHeight="1">
      <c r="A322" s="23"/>
      <c r="B322" s="23"/>
      <c r="C322" s="23"/>
      <c r="F322" s="23"/>
    </row>
    <row r="323" ht="15.75" customHeight="1">
      <c r="A323" s="23"/>
      <c r="B323" s="23"/>
      <c r="C323" s="23"/>
      <c r="F323" s="23"/>
    </row>
    <row r="324" ht="15.75" customHeight="1">
      <c r="A324" s="23"/>
      <c r="B324" s="23"/>
      <c r="C324" s="23"/>
      <c r="F324" s="23"/>
    </row>
    <row r="325" ht="15.75" customHeight="1">
      <c r="A325" s="23"/>
      <c r="B325" s="23"/>
      <c r="C325" s="23"/>
      <c r="F325" s="23"/>
    </row>
    <row r="326" ht="15.75" customHeight="1">
      <c r="A326" s="23"/>
      <c r="B326" s="23"/>
      <c r="C326" s="23"/>
      <c r="F326" s="23"/>
    </row>
    <row r="327" ht="15.75" customHeight="1">
      <c r="A327" s="23"/>
      <c r="B327" s="23"/>
      <c r="C327" s="23"/>
      <c r="F327" s="23"/>
    </row>
    <row r="328" ht="15.75" customHeight="1">
      <c r="A328" s="23"/>
      <c r="B328" s="23"/>
      <c r="C328" s="23"/>
      <c r="F328" s="23"/>
    </row>
    <row r="329" ht="15.75" customHeight="1">
      <c r="A329" s="23"/>
      <c r="B329" s="23"/>
      <c r="C329" s="23"/>
      <c r="F329" s="23"/>
    </row>
    <row r="330" ht="15.75" customHeight="1">
      <c r="A330" s="23"/>
      <c r="B330" s="23"/>
      <c r="C330" s="23"/>
      <c r="F330" s="23"/>
    </row>
    <row r="331" ht="15.75" customHeight="1">
      <c r="A331" s="23"/>
      <c r="B331" s="23"/>
      <c r="C331" s="23"/>
      <c r="F331" s="23"/>
    </row>
    <row r="332" ht="15.75" customHeight="1">
      <c r="A332" s="23"/>
      <c r="B332" s="23"/>
      <c r="C332" s="23"/>
      <c r="F332" s="23"/>
    </row>
    <row r="333" ht="15.75" customHeight="1">
      <c r="A333" s="23"/>
      <c r="B333" s="23"/>
      <c r="C333" s="23"/>
      <c r="F333" s="23"/>
    </row>
    <row r="334" ht="15.75" customHeight="1">
      <c r="A334" s="23"/>
      <c r="B334" s="23"/>
      <c r="C334" s="23"/>
      <c r="F334" s="23"/>
    </row>
    <row r="335" ht="15.75" customHeight="1">
      <c r="A335" s="23"/>
      <c r="B335" s="23"/>
      <c r="C335" s="23"/>
      <c r="F335" s="23"/>
    </row>
    <row r="336" ht="15.75" customHeight="1">
      <c r="A336" s="23"/>
      <c r="B336" s="23"/>
      <c r="C336" s="23"/>
      <c r="F336" s="23"/>
    </row>
    <row r="337" ht="15.75" customHeight="1">
      <c r="A337" s="23"/>
      <c r="B337" s="23"/>
      <c r="C337" s="23"/>
      <c r="F337" s="23"/>
    </row>
    <row r="338" ht="15.75" customHeight="1">
      <c r="A338" s="23"/>
      <c r="B338" s="23"/>
      <c r="C338" s="23"/>
      <c r="F338" s="23"/>
    </row>
    <row r="339" ht="15.75" customHeight="1">
      <c r="A339" s="23"/>
      <c r="B339" s="23"/>
      <c r="C339" s="23"/>
      <c r="F339" s="23"/>
    </row>
    <row r="340" ht="15.75" customHeight="1">
      <c r="A340" s="23"/>
      <c r="B340" s="23"/>
      <c r="C340" s="23"/>
      <c r="F340" s="23"/>
    </row>
    <row r="341" ht="15.75" customHeight="1">
      <c r="A341" s="23"/>
      <c r="B341" s="23"/>
      <c r="C341" s="23"/>
      <c r="F341" s="23"/>
    </row>
    <row r="342" ht="15.75" customHeight="1">
      <c r="A342" s="23"/>
      <c r="B342" s="23"/>
      <c r="C342" s="23"/>
      <c r="F342" s="23"/>
    </row>
    <row r="343" ht="15.75" customHeight="1">
      <c r="A343" s="23"/>
      <c r="B343" s="23"/>
      <c r="C343" s="23"/>
      <c r="F343" s="23"/>
    </row>
    <row r="344" ht="15.75" customHeight="1">
      <c r="A344" s="23"/>
      <c r="B344" s="23"/>
      <c r="C344" s="23"/>
      <c r="F344" s="23"/>
    </row>
    <row r="345" ht="15.75" customHeight="1">
      <c r="A345" s="23"/>
      <c r="B345" s="23"/>
      <c r="C345" s="23"/>
      <c r="F345" s="23"/>
    </row>
    <row r="346" ht="15.75" customHeight="1">
      <c r="A346" s="23"/>
      <c r="B346" s="23"/>
      <c r="C346" s="23"/>
      <c r="F346" s="23"/>
    </row>
    <row r="347" ht="15.75" customHeight="1">
      <c r="A347" s="23"/>
      <c r="B347" s="23"/>
      <c r="C347" s="23"/>
      <c r="F347" s="23"/>
    </row>
    <row r="348" ht="15.75" customHeight="1">
      <c r="A348" s="23"/>
      <c r="B348" s="23"/>
      <c r="C348" s="23"/>
      <c r="F348" s="23"/>
    </row>
    <row r="349" ht="15.75" customHeight="1">
      <c r="A349" s="23"/>
      <c r="B349" s="23"/>
      <c r="C349" s="23"/>
      <c r="F349" s="23"/>
    </row>
    <row r="350" ht="15.75" customHeight="1">
      <c r="A350" s="23"/>
      <c r="B350" s="23"/>
      <c r="C350" s="23"/>
      <c r="F350" s="23"/>
    </row>
    <row r="351" ht="15.75" customHeight="1">
      <c r="A351" s="23"/>
      <c r="B351" s="23"/>
      <c r="C351" s="23"/>
      <c r="F351" s="23"/>
    </row>
    <row r="352" ht="15.75" customHeight="1">
      <c r="A352" s="23"/>
      <c r="B352" s="23"/>
      <c r="C352" s="23"/>
      <c r="F352" s="23"/>
    </row>
    <row r="353" ht="15.75" customHeight="1">
      <c r="A353" s="23"/>
      <c r="B353" s="23"/>
      <c r="C353" s="23"/>
      <c r="F353" s="23"/>
    </row>
    <row r="354" ht="15.75" customHeight="1">
      <c r="A354" s="23"/>
      <c r="B354" s="23"/>
      <c r="C354" s="23"/>
      <c r="F354" s="23"/>
    </row>
    <row r="355" ht="15.75" customHeight="1">
      <c r="A355" s="23"/>
      <c r="B355" s="23"/>
      <c r="C355" s="23"/>
      <c r="F355" s="23"/>
    </row>
    <row r="356" ht="15.75" customHeight="1">
      <c r="A356" s="23"/>
      <c r="B356" s="23"/>
      <c r="C356" s="23"/>
      <c r="F356" s="23"/>
    </row>
    <row r="357" ht="15.75" customHeight="1">
      <c r="A357" s="23"/>
      <c r="B357" s="23"/>
      <c r="C357" s="23"/>
      <c r="F357" s="23"/>
    </row>
    <row r="358" ht="15.75" customHeight="1">
      <c r="A358" s="23"/>
      <c r="B358" s="23"/>
      <c r="C358" s="23"/>
      <c r="F358" s="23"/>
    </row>
    <row r="359" ht="15.75" customHeight="1">
      <c r="A359" s="23"/>
      <c r="B359" s="23"/>
      <c r="C359" s="23"/>
      <c r="F359" s="23"/>
    </row>
    <row r="360" ht="15.75" customHeight="1">
      <c r="A360" s="23"/>
      <c r="B360" s="23"/>
      <c r="C360" s="23"/>
      <c r="F360" s="23"/>
    </row>
    <row r="361" ht="15.75" customHeight="1">
      <c r="A361" s="23"/>
      <c r="B361" s="23"/>
      <c r="C361" s="23"/>
      <c r="F361" s="23"/>
    </row>
    <row r="362" ht="15.75" customHeight="1">
      <c r="A362" s="23"/>
      <c r="B362" s="23"/>
      <c r="C362" s="23"/>
      <c r="F362" s="23"/>
    </row>
    <row r="363" ht="15.75" customHeight="1">
      <c r="A363" s="23"/>
      <c r="B363" s="23"/>
      <c r="C363" s="23"/>
      <c r="F363" s="23"/>
    </row>
    <row r="364" ht="15.75" customHeight="1">
      <c r="A364" s="23"/>
      <c r="B364" s="23"/>
      <c r="C364" s="23"/>
      <c r="F364" s="23"/>
    </row>
    <row r="365" ht="15.75" customHeight="1">
      <c r="A365" s="23"/>
      <c r="B365" s="23"/>
      <c r="C365" s="23"/>
      <c r="F365" s="23"/>
    </row>
    <row r="366" ht="15.75" customHeight="1">
      <c r="A366" s="23"/>
      <c r="B366" s="23"/>
      <c r="C366" s="23"/>
      <c r="F366" s="23"/>
    </row>
    <row r="367" ht="15.75" customHeight="1">
      <c r="A367" s="23"/>
      <c r="B367" s="23"/>
      <c r="C367" s="23"/>
      <c r="F367" s="23"/>
    </row>
    <row r="368" ht="15.75" customHeight="1">
      <c r="A368" s="23"/>
      <c r="B368" s="23"/>
      <c r="C368" s="23"/>
      <c r="F368" s="23"/>
    </row>
    <row r="369" ht="15.75" customHeight="1">
      <c r="A369" s="23"/>
      <c r="B369" s="23"/>
      <c r="C369" s="23"/>
      <c r="F369" s="23"/>
    </row>
    <row r="370" ht="15.75" customHeight="1">
      <c r="A370" s="23"/>
      <c r="B370" s="23"/>
      <c r="C370" s="23"/>
      <c r="F370" s="23"/>
    </row>
    <row r="371" ht="15.75" customHeight="1">
      <c r="A371" s="23"/>
      <c r="B371" s="23"/>
      <c r="C371" s="23"/>
      <c r="F371" s="23"/>
    </row>
    <row r="372" ht="15.75" customHeight="1">
      <c r="A372" s="23"/>
      <c r="B372" s="23"/>
      <c r="C372" s="23"/>
      <c r="F372" s="23"/>
    </row>
    <row r="373" ht="15.75" customHeight="1">
      <c r="A373" s="23"/>
      <c r="B373" s="23"/>
      <c r="C373" s="23"/>
      <c r="F373" s="23"/>
    </row>
    <row r="374" ht="15.75" customHeight="1">
      <c r="A374" s="23"/>
      <c r="B374" s="23"/>
      <c r="C374" s="23"/>
      <c r="F374" s="23"/>
    </row>
    <row r="375" ht="15.75" customHeight="1">
      <c r="A375" s="23"/>
      <c r="B375" s="23"/>
      <c r="C375" s="23"/>
      <c r="F375" s="23"/>
    </row>
    <row r="376" ht="15.75" customHeight="1">
      <c r="A376" s="23"/>
      <c r="B376" s="23"/>
      <c r="C376" s="23"/>
      <c r="F376" s="23"/>
    </row>
    <row r="377" ht="15.75" customHeight="1">
      <c r="A377" s="23"/>
      <c r="B377" s="23"/>
      <c r="C377" s="23"/>
      <c r="F377" s="23"/>
    </row>
    <row r="378" ht="15.75" customHeight="1">
      <c r="A378" s="23"/>
      <c r="B378" s="23"/>
      <c r="C378" s="23"/>
      <c r="F378" s="23"/>
    </row>
    <row r="379" ht="15.75" customHeight="1">
      <c r="A379" s="23"/>
      <c r="B379" s="23"/>
      <c r="C379" s="23"/>
      <c r="F379" s="23"/>
    </row>
    <row r="380" ht="15.75" customHeight="1">
      <c r="A380" s="23"/>
      <c r="B380" s="23"/>
      <c r="C380" s="23"/>
      <c r="F380" s="23"/>
    </row>
    <row r="381" ht="15.75" customHeight="1">
      <c r="A381" s="23"/>
      <c r="B381" s="23"/>
      <c r="C381" s="23"/>
      <c r="F381" s="23"/>
    </row>
    <row r="382" ht="15.75" customHeight="1">
      <c r="A382" s="23"/>
      <c r="B382" s="23"/>
      <c r="C382" s="23"/>
      <c r="F382" s="23"/>
    </row>
    <row r="383" ht="15.75" customHeight="1">
      <c r="A383" s="23"/>
      <c r="B383" s="23"/>
      <c r="C383" s="23"/>
      <c r="F383" s="23"/>
    </row>
    <row r="384" ht="15.75" customHeight="1">
      <c r="A384" s="23"/>
      <c r="B384" s="23"/>
      <c r="C384" s="23"/>
      <c r="F384" s="23"/>
    </row>
    <row r="385" ht="15.75" customHeight="1">
      <c r="A385" s="23"/>
      <c r="B385" s="23"/>
      <c r="C385" s="23"/>
      <c r="F385" s="23"/>
    </row>
    <row r="386" ht="15.75" customHeight="1">
      <c r="A386" s="23"/>
      <c r="B386" s="23"/>
      <c r="C386" s="23"/>
      <c r="F386" s="23"/>
    </row>
    <row r="387" ht="15.75" customHeight="1">
      <c r="A387" s="23"/>
      <c r="B387" s="23"/>
      <c r="C387" s="23"/>
      <c r="F387" s="23"/>
    </row>
    <row r="388" ht="15.75" customHeight="1">
      <c r="A388" s="23"/>
      <c r="B388" s="23"/>
      <c r="C388" s="23"/>
      <c r="F388" s="23"/>
    </row>
    <row r="389" ht="15.75" customHeight="1">
      <c r="A389" s="23"/>
      <c r="B389" s="23"/>
      <c r="C389" s="23"/>
      <c r="F389" s="23"/>
    </row>
    <row r="390" ht="15.75" customHeight="1">
      <c r="A390" s="23"/>
      <c r="B390" s="23"/>
      <c r="C390" s="23"/>
      <c r="F390" s="23"/>
    </row>
    <row r="391" ht="15.75" customHeight="1">
      <c r="A391" s="23"/>
      <c r="B391" s="23"/>
      <c r="C391" s="23"/>
      <c r="F391" s="23"/>
    </row>
    <row r="392" ht="15.75" customHeight="1">
      <c r="A392" s="23"/>
      <c r="B392" s="23"/>
      <c r="C392" s="23"/>
      <c r="F392" s="23"/>
    </row>
    <row r="393" ht="15.75" customHeight="1">
      <c r="A393" s="23"/>
      <c r="B393" s="23"/>
      <c r="C393" s="23"/>
      <c r="F393" s="23"/>
    </row>
    <row r="394" ht="15.75" customHeight="1">
      <c r="A394" s="23"/>
      <c r="B394" s="23"/>
      <c r="C394" s="23"/>
      <c r="F394" s="23"/>
    </row>
    <row r="395" ht="15.75" customHeight="1">
      <c r="A395" s="23"/>
      <c r="B395" s="23"/>
      <c r="C395" s="23"/>
      <c r="F395" s="23"/>
    </row>
    <row r="396" ht="15.75" customHeight="1">
      <c r="A396" s="23"/>
      <c r="B396" s="23"/>
      <c r="C396" s="23"/>
      <c r="F396" s="23"/>
    </row>
    <row r="397" ht="15.75" customHeight="1">
      <c r="A397" s="23"/>
      <c r="B397" s="23"/>
      <c r="C397" s="23"/>
      <c r="F397" s="23"/>
    </row>
    <row r="398" ht="15.75" customHeight="1">
      <c r="A398" s="23"/>
      <c r="B398" s="23"/>
      <c r="C398" s="23"/>
      <c r="F398" s="23"/>
    </row>
    <row r="399" ht="15.75" customHeight="1">
      <c r="A399" s="23"/>
      <c r="B399" s="23"/>
      <c r="C399" s="23"/>
      <c r="F399" s="23"/>
    </row>
    <row r="400" ht="15.75" customHeight="1">
      <c r="A400" s="23"/>
      <c r="B400" s="23"/>
      <c r="C400" s="23"/>
      <c r="F400" s="23"/>
    </row>
    <row r="401" ht="15.75" customHeight="1">
      <c r="A401" s="23"/>
      <c r="B401" s="23"/>
      <c r="C401" s="23"/>
      <c r="F401" s="23"/>
    </row>
    <row r="402" ht="15.75" customHeight="1">
      <c r="A402" s="23"/>
      <c r="B402" s="23"/>
      <c r="C402" s="23"/>
      <c r="F402" s="23"/>
    </row>
    <row r="403" ht="15.75" customHeight="1">
      <c r="A403" s="23"/>
      <c r="B403" s="23"/>
      <c r="C403" s="23"/>
      <c r="F403" s="23"/>
    </row>
    <row r="404" ht="15.75" customHeight="1">
      <c r="A404" s="23"/>
      <c r="B404" s="23"/>
      <c r="C404" s="23"/>
      <c r="F404" s="23"/>
    </row>
    <row r="405" ht="15.75" customHeight="1">
      <c r="A405" s="23"/>
      <c r="B405" s="23"/>
      <c r="C405" s="23"/>
      <c r="F405" s="23"/>
    </row>
    <row r="406" ht="15.75" customHeight="1">
      <c r="A406" s="23"/>
      <c r="B406" s="23"/>
      <c r="C406" s="23"/>
      <c r="F406" s="23"/>
    </row>
    <row r="407" ht="15.75" customHeight="1">
      <c r="A407" s="23"/>
      <c r="B407" s="23"/>
      <c r="C407" s="23"/>
      <c r="F407" s="23"/>
    </row>
    <row r="408" ht="15.75" customHeight="1">
      <c r="A408" s="23"/>
      <c r="B408" s="23"/>
      <c r="C408" s="23"/>
      <c r="F408" s="23"/>
    </row>
    <row r="409" ht="15.75" customHeight="1">
      <c r="A409" s="23"/>
      <c r="B409" s="23"/>
      <c r="C409" s="23"/>
      <c r="F409" s="23"/>
    </row>
    <row r="410" ht="15.75" customHeight="1">
      <c r="A410" s="23"/>
      <c r="B410" s="23"/>
      <c r="C410" s="23"/>
      <c r="F410" s="23"/>
    </row>
    <row r="411" ht="15.75" customHeight="1">
      <c r="A411" s="23"/>
      <c r="B411" s="23"/>
      <c r="C411" s="23"/>
      <c r="F411" s="23"/>
    </row>
    <row r="412" ht="15.75" customHeight="1">
      <c r="A412" s="23"/>
      <c r="B412" s="23"/>
      <c r="C412" s="23"/>
      <c r="F412" s="23"/>
    </row>
    <row r="413" ht="15.75" customHeight="1">
      <c r="A413" s="23"/>
      <c r="B413" s="23"/>
      <c r="C413" s="23"/>
      <c r="F413" s="23"/>
    </row>
    <row r="414" ht="15.75" customHeight="1">
      <c r="A414" s="23"/>
      <c r="B414" s="23"/>
      <c r="C414" s="23"/>
      <c r="F414" s="23"/>
    </row>
    <row r="415" ht="15.75" customHeight="1">
      <c r="A415" s="23"/>
      <c r="B415" s="23"/>
      <c r="C415" s="23"/>
      <c r="F415" s="23"/>
    </row>
    <row r="416" ht="15.75" customHeight="1">
      <c r="A416" s="23"/>
      <c r="B416" s="23"/>
      <c r="C416" s="23"/>
      <c r="F416" s="23"/>
    </row>
    <row r="417" ht="15.75" customHeight="1">
      <c r="A417" s="23"/>
      <c r="B417" s="23"/>
      <c r="C417" s="23"/>
      <c r="F417" s="23"/>
    </row>
    <row r="418" ht="15.75" customHeight="1">
      <c r="A418" s="23"/>
      <c r="B418" s="23"/>
      <c r="C418" s="23"/>
      <c r="F418" s="23"/>
    </row>
    <row r="419" ht="15.75" customHeight="1">
      <c r="A419" s="23"/>
      <c r="B419" s="23"/>
      <c r="C419" s="23"/>
      <c r="F419" s="23"/>
    </row>
    <row r="420" ht="15.75" customHeight="1">
      <c r="A420" s="23"/>
      <c r="B420" s="23"/>
      <c r="C420" s="23"/>
      <c r="F420" s="23"/>
    </row>
    <row r="421" ht="15.75" customHeight="1">
      <c r="A421" s="23"/>
      <c r="B421" s="23"/>
      <c r="C421" s="23"/>
      <c r="F421" s="23"/>
    </row>
    <row r="422" ht="15.75" customHeight="1">
      <c r="A422" s="23"/>
      <c r="B422" s="23"/>
      <c r="C422" s="23"/>
      <c r="F422" s="23"/>
    </row>
    <row r="423" ht="15.75" customHeight="1">
      <c r="A423" s="23"/>
      <c r="B423" s="23"/>
      <c r="C423" s="23"/>
      <c r="F423" s="23"/>
    </row>
    <row r="424" ht="15.75" customHeight="1">
      <c r="A424" s="23"/>
      <c r="B424" s="23"/>
      <c r="C424" s="23"/>
      <c r="F424" s="23"/>
    </row>
    <row r="425" ht="15.75" customHeight="1">
      <c r="A425" s="23"/>
      <c r="B425" s="23"/>
      <c r="C425" s="23"/>
      <c r="F425" s="23"/>
    </row>
    <row r="426" ht="15.75" customHeight="1">
      <c r="A426" s="23"/>
      <c r="B426" s="23"/>
      <c r="C426" s="23"/>
      <c r="F426" s="23"/>
    </row>
    <row r="427" ht="15.75" customHeight="1">
      <c r="A427" s="23"/>
      <c r="B427" s="23"/>
      <c r="C427" s="23"/>
      <c r="F427" s="23"/>
    </row>
    <row r="428" ht="15.75" customHeight="1">
      <c r="A428" s="23"/>
      <c r="B428" s="23"/>
      <c r="C428" s="23"/>
      <c r="F428" s="23"/>
    </row>
    <row r="429" ht="15.75" customHeight="1">
      <c r="A429" s="23"/>
      <c r="B429" s="23"/>
      <c r="C429" s="23"/>
      <c r="F429" s="23"/>
    </row>
    <row r="430" ht="15.75" customHeight="1">
      <c r="A430" s="23"/>
      <c r="B430" s="23"/>
      <c r="C430" s="23"/>
      <c r="F430" s="23"/>
    </row>
    <row r="431" ht="15.75" customHeight="1">
      <c r="A431" s="23"/>
      <c r="B431" s="23"/>
      <c r="C431" s="23"/>
      <c r="F431" s="23"/>
    </row>
    <row r="432" ht="15.75" customHeight="1">
      <c r="A432" s="23"/>
      <c r="B432" s="23"/>
      <c r="C432" s="23"/>
      <c r="F432" s="23"/>
    </row>
    <row r="433" ht="15.75" customHeight="1">
      <c r="A433" s="23"/>
      <c r="B433" s="23"/>
      <c r="C433" s="23"/>
      <c r="F433" s="23"/>
    </row>
    <row r="434" ht="15.75" customHeight="1">
      <c r="A434" s="23"/>
      <c r="B434" s="23"/>
      <c r="C434" s="23"/>
      <c r="F434" s="23"/>
    </row>
    <row r="435" ht="15.75" customHeight="1">
      <c r="A435" s="23"/>
      <c r="B435" s="23"/>
      <c r="C435" s="23"/>
      <c r="F435" s="23"/>
    </row>
    <row r="436" ht="15.75" customHeight="1">
      <c r="A436" s="23"/>
      <c r="B436" s="23"/>
      <c r="C436" s="23"/>
      <c r="F436" s="23"/>
    </row>
    <row r="437" ht="15.75" customHeight="1">
      <c r="A437" s="23"/>
      <c r="B437" s="23"/>
      <c r="C437" s="23"/>
      <c r="F437" s="23"/>
    </row>
    <row r="438" ht="15.75" customHeight="1">
      <c r="A438" s="23"/>
      <c r="B438" s="23"/>
      <c r="C438" s="23"/>
      <c r="F438" s="23"/>
    </row>
    <row r="439" ht="15.75" customHeight="1">
      <c r="A439" s="23"/>
      <c r="B439" s="23"/>
      <c r="C439" s="23"/>
      <c r="F439" s="23"/>
    </row>
    <row r="440" ht="15.75" customHeight="1">
      <c r="A440" s="23"/>
      <c r="B440" s="23"/>
      <c r="C440" s="23"/>
      <c r="F440" s="23"/>
    </row>
    <row r="441" ht="15.75" customHeight="1">
      <c r="A441" s="23"/>
      <c r="B441" s="23"/>
      <c r="C441" s="23"/>
      <c r="F441" s="23"/>
    </row>
    <row r="442" ht="15.75" customHeight="1">
      <c r="A442" s="23"/>
      <c r="B442" s="23"/>
      <c r="C442" s="23"/>
      <c r="F442" s="23"/>
    </row>
    <row r="443" ht="15.75" customHeight="1">
      <c r="A443" s="23"/>
      <c r="B443" s="23"/>
      <c r="C443" s="23"/>
      <c r="F443" s="23"/>
    </row>
    <row r="444" ht="15.75" customHeight="1">
      <c r="A444" s="23"/>
      <c r="B444" s="23"/>
      <c r="C444" s="23"/>
      <c r="F444" s="23"/>
    </row>
    <row r="445" ht="15.75" customHeight="1">
      <c r="A445" s="23"/>
      <c r="B445" s="23"/>
      <c r="C445" s="23"/>
      <c r="F445" s="23"/>
    </row>
    <row r="446" ht="15.75" customHeight="1">
      <c r="A446" s="23"/>
      <c r="B446" s="23"/>
      <c r="C446" s="23"/>
      <c r="F446" s="23"/>
    </row>
    <row r="447" ht="15.75" customHeight="1">
      <c r="A447" s="23"/>
      <c r="B447" s="23"/>
      <c r="C447" s="23"/>
      <c r="F447" s="23"/>
    </row>
    <row r="448" ht="15.75" customHeight="1">
      <c r="A448" s="23"/>
      <c r="B448" s="23"/>
      <c r="C448" s="23"/>
      <c r="F448" s="23"/>
    </row>
    <row r="449" ht="15.75" customHeight="1">
      <c r="A449" s="23"/>
      <c r="B449" s="23"/>
      <c r="C449" s="23"/>
      <c r="F449" s="23"/>
    </row>
    <row r="450" ht="15.75" customHeight="1">
      <c r="A450" s="23"/>
      <c r="B450" s="23"/>
      <c r="C450" s="23"/>
      <c r="F450" s="23"/>
    </row>
    <row r="451" ht="15.75" customHeight="1">
      <c r="A451" s="23"/>
      <c r="B451" s="23"/>
      <c r="C451" s="23"/>
      <c r="F451" s="23"/>
    </row>
    <row r="452" ht="15.75" customHeight="1">
      <c r="A452" s="23"/>
      <c r="B452" s="23"/>
      <c r="C452" s="23"/>
      <c r="F452" s="23"/>
    </row>
    <row r="453" ht="15.75" customHeight="1">
      <c r="A453" s="23"/>
      <c r="B453" s="23"/>
      <c r="C453" s="23"/>
      <c r="F453" s="23"/>
    </row>
    <row r="454" ht="15.75" customHeight="1">
      <c r="A454" s="23"/>
      <c r="B454" s="23"/>
      <c r="C454" s="23"/>
      <c r="F454" s="23"/>
    </row>
    <row r="455" ht="15.75" customHeight="1">
      <c r="A455" s="23"/>
      <c r="B455" s="23"/>
      <c r="C455" s="23"/>
      <c r="F455" s="23"/>
    </row>
    <row r="456" ht="15.75" customHeight="1">
      <c r="A456" s="23"/>
      <c r="B456" s="23"/>
      <c r="C456" s="23"/>
      <c r="F456" s="23"/>
    </row>
    <row r="457" ht="15.75" customHeight="1">
      <c r="A457" s="23"/>
      <c r="B457" s="23"/>
      <c r="C457" s="23"/>
      <c r="F457" s="23"/>
    </row>
    <row r="458" ht="15.75" customHeight="1">
      <c r="A458" s="23"/>
      <c r="B458" s="23"/>
      <c r="C458" s="23"/>
      <c r="F458" s="23"/>
    </row>
    <row r="459" ht="15.75" customHeight="1">
      <c r="A459" s="23"/>
      <c r="B459" s="23"/>
      <c r="C459" s="23"/>
      <c r="F459" s="23"/>
    </row>
    <row r="460" ht="15.75" customHeight="1">
      <c r="A460" s="23"/>
      <c r="B460" s="23"/>
      <c r="C460" s="23"/>
      <c r="F460" s="23"/>
    </row>
    <row r="461" ht="15.75" customHeight="1">
      <c r="A461" s="23"/>
      <c r="B461" s="23"/>
      <c r="C461" s="23"/>
      <c r="F461" s="23"/>
    </row>
    <row r="462" ht="15.75" customHeight="1">
      <c r="A462" s="23"/>
      <c r="B462" s="23"/>
      <c r="C462" s="23"/>
      <c r="F462" s="23"/>
    </row>
    <row r="463" ht="15.75" customHeight="1">
      <c r="A463" s="23"/>
      <c r="B463" s="23"/>
      <c r="C463" s="23"/>
      <c r="F463" s="23"/>
    </row>
    <row r="464" ht="15.75" customHeight="1">
      <c r="A464" s="23"/>
      <c r="B464" s="23"/>
      <c r="C464" s="23"/>
      <c r="F464" s="23"/>
    </row>
    <row r="465" ht="15.75" customHeight="1">
      <c r="A465" s="23"/>
      <c r="B465" s="23"/>
      <c r="C465" s="23"/>
      <c r="F465" s="23"/>
    </row>
    <row r="466" ht="15.75" customHeight="1">
      <c r="A466" s="23"/>
      <c r="B466" s="23"/>
      <c r="C466" s="23"/>
      <c r="F466" s="23"/>
    </row>
    <row r="467" ht="15.75" customHeight="1">
      <c r="A467" s="23"/>
      <c r="B467" s="23"/>
      <c r="C467" s="23"/>
      <c r="F467" s="23"/>
    </row>
    <row r="468" ht="15.75" customHeight="1">
      <c r="A468" s="23"/>
      <c r="B468" s="23"/>
      <c r="C468" s="23"/>
      <c r="F468" s="23"/>
    </row>
    <row r="469" ht="15.75" customHeight="1">
      <c r="A469" s="23"/>
      <c r="B469" s="23"/>
      <c r="C469" s="23"/>
      <c r="F469" s="23"/>
    </row>
    <row r="470" ht="15.75" customHeight="1">
      <c r="A470" s="23"/>
      <c r="B470" s="23"/>
      <c r="C470" s="23"/>
      <c r="F470" s="23"/>
    </row>
    <row r="471" ht="15.75" customHeight="1">
      <c r="A471" s="23"/>
      <c r="B471" s="23"/>
      <c r="C471" s="23"/>
      <c r="F471" s="23"/>
    </row>
    <row r="472" ht="15.75" customHeight="1">
      <c r="A472" s="23"/>
      <c r="B472" s="23"/>
      <c r="C472" s="23"/>
      <c r="F472" s="23"/>
    </row>
    <row r="473" ht="15.75" customHeight="1">
      <c r="A473" s="23"/>
      <c r="B473" s="23"/>
      <c r="C473" s="23"/>
      <c r="F473" s="23"/>
    </row>
    <row r="474" ht="15.75" customHeight="1">
      <c r="A474" s="23"/>
      <c r="B474" s="23"/>
      <c r="C474" s="23"/>
      <c r="F474" s="23"/>
    </row>
    <row r="475" ht="15.75" customHeight="1">
      <c r="A475" s="23"/>
      <c r="B475" s="23"/>
      <c r="C475" s="23"/>
      <c r="F475" s="23"/>
    </row>
    <row r="476" ht="15.75" customHeight="1">
      <c r="A476" s="23"/>
      <c r="B476" s="23"/>
      <c r="C476" s="23"/>
      <c r="F476" s="23"/>
    </row>
    <row r="477" ht="15.75" customHeight="1">
      <c r="A477" s="23"/>
      <c r="B477" s="23"/>
      <c r="C477" s="23"/>
      <c r="F477" s="23"/>
    </row>
    <row r="478" ht="15.75" customHeight="1">
      <c r="A478" s="23"/>
      <c r="B478" s="23"/>
      <c r="C478" s="23"/>
      <c r="F478" s="23"/>
    </row>
    <row r="479" ht="15.75" customHeight="1">
      <c r="A479" s="23"/>
      <c r="B479" s="23"/>
      <c r="C479" s="23"/>
      <c r="F479" s="23"/>
    </row>
    <row r="480" ht="15.75" customHeight="1">
      <c r="A480" s="23"/>
      <c r="B480" s="23"/>
      <c r="C480" s="23"/>
      <c r="F480" s="23"/>
    </row>
    <row r="481" ht="15.75" customHeight="1">
      <c r="A481" s="23"/>
      <c r="B481" s="23"/>
      <c r="C481" s="23"/>
      <c r="F481" s="23"/>
    </row>
    <row r="482" ht="15.75" customHeight="1">
      <c r="A482" s="23"/>
      <c r="B482" s="23"/>
      <c r="C482" s="23"/>
      <c r="F482" s="23"/>
    </row>
    <row r="483" ht="15.75" customHeight="1">
      <c r="A483" s="23"/>
      <c r="B483" s="23"/>
      <c r="C483" s="23"/>
      <c r="F483" s="23"/>
    </row>
    <row r="484" ht="15.75" customHeight="1">
      <c r="A484" s="23"/>
      <c r="B484" s="23"/>
      <c r="C484" s="23"/>
      <c r="F484" s="23"/>
    </row>
    <row r="485" ht="15.75" customHeight="1">
      <c r="A485" s="23"/>
      <c r="B485" s="23"/>
      <c r="C485" s="23"/>
      <c r="F485" s="23"/>
    </row>
    <row r="486" ht="15.75" customHeight="1">
      <c r="A486" s="23"/>
      <c r="B486" s="23"/>
      <c r="C486" s="23"/>
      <c r="F486" s="23"/>
    </row>
    <row r="487" ht="15.75" customHeight="1">
      <c r="A487" s="23"/>
      <c r="B487" s="23"/>
      <c r="C487" s="23"/>
      <c r="F487" s="23"/>
    </row>
    <row r="488" ht="15.75" customHeight="1">
      <c r="A488" s="23"/>
      <c r="B488" s="23"/>
      <c r="C488" s="23"/>
      <c r="F488" s="23"/>
    </row>
    <row r="489" ht="15.75" customHeight="1">
      <c r="A489" s="23"/>
      <c r="B489" s="23"/>
      <c r="C489" s="23"/>
      <c r="F489" s="23"/>
    </row>
    <row r="490" ht="15.75" customHeight="1">
      <c r="A490" s="23"/>
      <c r="B490" s="23"/>
      <c r="C490" s="23"/>
      <c r="F490" s="23"/>
    </row>
    <row r="491" ht="15.75" customHeight="1">
      <c r="A491" s="23"/>
      <c r="B491" s="23"/>
      <c r="C491" s="23"/>
      <c r="F491" s="23"/>
    </row>
    <row r="492" ht="15.75" customHeight="1">
      <c r="A492" s="23"/>
      <c r="B492" s="23"/>
      <c r="C492" s="23"/>
      <c r="F492" s="23"/>
    </row>
    <row r="493" ht="15.75" customHeight="1">
      <c r="A493" s="23"/>
      <c r="B493" s="23"/>
      <c r="C493" s="23"/>
      <c r="F493" s="23"/>
    </row>
    <row r="494" ht="15.75" customHeight="1">
      <c r="A494" s="23"/>
      <c r="B494" s="23"/>
      <c r="C494" s="23"/>
      <c r="F494" s="23"/>
    </row>
    <row r="495" ht="15.75" customHeight="1">
      <c r="A495" s="23"/>
      <c r="B495" s="23"/>
      <c r="C495" s="23"/>
      <c r="F495" s="23"/>
    </row>
    <row r="496" ht="15.75" customHeight="1">
      <c r="A496" s="23"/>
      <c r="B496" s="23"/>
      <c r="C496" s="23"/>
      <c r="F496" s="23"/>
    </row>
    <row r="497" ht="15.75" customHeight="1">
      <c r="A497" s="23"/>
      <c r="B497" s="23"/>
      <c r="C497" s="23"/>
      <c r="F497" s="23"/>
    </row>
    <row r="498" ht="15.75" customHeight="1">
      <c r="A498" s="23"/>
      <c r="B498" s="23"/>
      <c r="C498" s="23"/>
      <c r="F498" s="23"/>
    </row>
    <row r="499" ht="15.75" customHeight="1">
      <c r="A499" s="23"/>
      <c r="B499" s="23"/>
      <c r="C499" s="23"/>
      <c r="F499" s="23"/>
    </row>
    <row r="500" ht="15.75" customHeight="1">
      <c r="A500" s="23"/>
      <c r="B500" s="23"/>
      <c r="C500" s="23"/>
      <c r="F500" s="23"/>
    </row>
    <row r="501" ht="15.75" customHeight="1">
      <c r="A501" s="23"/>
      <c r="B501" s="23"/>
      <c r="C501" s="23"/>
      <c r="F501" s="23"/>
    </row>
    <row r="502" ht="15.75" customHeight="1">
      <c r="A502" s="23"/>
      <c r="B502" s="23"/>
      <c r="C502" s="23"/>
      <c r="F502" s="23"/>
    </row>
    <row r="503" ht="15.75" customHeight="1">
      <c r="A503" s="23"/>
      <c r="B503" s="23"/>
      <c r="C503" s="23"/>
      <c r="F503" s="23"/>
    </row>
    <row r="504" ht="15.75" customHeight="1">
      <c r="A504" s="23"/>
      <c r="B504" s="23"/>
      <c r="C504" s="23"/>
      <c r="F504" s="23"/>
    </row>
    <row r="505" ht="15.75" customHeight="1">
      <c r="A505" s="23"/>
      <c r="B505" s="23"/>
      <c r="C505" s="23"/>
      <c r="F505" s="23"/>
    </row>
    <row r="506" ht="15.75" customHeight="1">
      <c r="A506" s="23"/>
      <c r="B506" s="23"/>
      <c r="C506" s="23"/>
      <c r="F506" s="23"/>
    </row>
    <row r="507" ht="15.75" customHeight="1">
      <c r="A507" s="23"/>
      <c r="B507" s="23"/>
      <c r="C507" s="23"/>
      <c r="F507" s="23"/>
    </row>
    <row r="508" ht="15.75" customHeight="1">
      <c r="A508" s="23"/>
      <c r="B508" s="23"/>
      <c r="C508" s="23"/>
      <c r="F508" s="23"/>
    </row>
    <row r="509" ht="15.75" customHeight="1">
      <c r="A509" s="23"/>
      <c r="B509" s="23"/>
      <c r="C509" s="23"/>
      <c r="F509" s="23"/>
    </row>
    <row r="510" ht="15.75" customHeight="1">
      <c r="A510" s="23"/>
      <c r="B510" s="23"/>
      <c r="C510" s="23"/>
      <c r="F510" s="23"/>
    </row>
    <row r="511" ht="15.75" customHeight="1">
      <c r="A511" s="23"/>
      <c r="B511" s="23"/>
      <c r="C511" s="23"/>
      <c r="F511" s="23"/>
    </row>
    <row r="512" ht="15.75" customHeight="1">
      <c r="A512" s="23"/>
      <c r="B512" s="23"/>
      <c r="C512" s="23"/>
      <c r="F512" s="23"/>
    </row>
    <row r="513" ht="15.75" customHeight="1">
      <c r="A513" s="23"/>
      <c r="B513" s="23"/>
      <c r="C513" s="23"/>
      <c r="F513" s="23"/>
    </row>
    <row r="514" ht="15.75" customHeight="1">
      <c r="A514" s="23"/>
      <c r="B514" s="23"/>
      <c r="C514" s="23"/>
      <c r="F514" s="23"/>
    </row>
    <row r="515" ht="15.75" customHeight="1">
      <c r="A515" s="23"/>
      <c r="B515" s="23"/>
      <c r="C515" s="23"/>
      <c r="F515" s="23"/>
    </row>
    <row r="516" ht="15.75" customHeight="1">
      <c r="A516" s="23"/>
      <c r="B516" s="23"/>
      <c r="C516" s="23"/>
      <c r="F516" s="23"/>
    </row>
    <row r="517" ht="15.75" customHeight="1">
      <c r="A517" s="23"/>
      <c r="B517" s="23"/>
      <c r="C517" s="23"/>
      <c r="F517" s="23"/>
    </row>
    <row r="518" ht="15.75" customHeight="1">
      <c r="A518" s="23"/>
      <c r="B518" s="23"/>
      <c r="C518" s="23"/>
      <c r="F518" s="23"/>
    </row>
    <row r="519" ht="15.75" customHeight="1">
      <c r="A519" s="23"/>
      <c r="B519" s="23"/>
      <c r="C519" s="23"/>
      <c r="F519" s="23"/>
    </row>
    <row r="520" ht="15.75" customHeight="1">
      <c r="A520" s="23"/>
      <c r="B520" s="23"/>
      <c r="C520" s="23"/>
      <c r="F520" s="23"/>
    </row>
    <row r="521" ht="15.75" customHeight="1">
      <c r="A521" s="23"/>
      <c r="B521" s="23"/>
      <c r="C521" s="23"/>
      <c r="F521" s="23"/>
    </row>
    <row r="522" ht="15.75" customHeight="1">
      <c r="A522" s="23"/>
      <c r="B522" s="23"/>
      <c r="C522" s="23"/>
      <c r="F522" s="23"/>
    </row>
    <row r="523" ht="15.75" customHeight="1">
      <c r="A523" s="23"/>
      <c r="B523" s="23"/>
      <c r="C523" s="23"/>
      <c r="F523" s="23"/>
    </row>
    <row r="524" ht="15.75" customHeight="1">
      <c r="A524" s="23"/>
      <c r="B524" s="23"/>
      <c r="C524" s="23"/>
      <c r="F524" s="23"/>
    </row>
    <row r="525" ht="15.75" customHeight="1">
      <c r="A525" s="23"/>
      <c r="B525" s="23"/>
      <c r="C525" s="23"/>
      <c r="F525" s="23"/>
    </row>
    <row r="526" ht="15.75" customHeight="1">
      <c r="A526" s="23"/>
      <c r="B526" s="23"/>
      <c r="C526" s="23"/>
      <c r="F526" s="23"/>
    </row>
    <row r="527" ht="15.75" customHeight="1">
      <c r="A527" s="23"/>
      <c r="B527" s="23"/>
      <c r="C527" s="23"/>
      <c r="F527" s="23"/>
    </row>
    <row r="528" ht="15.75" customHeight="1">
      <c r="A528" s="23"/>
      <c r="B528" s="23"/>
      <c r="C528" s="23"/>
      <c r="F528" s="23"/>
    </row>
    <row r="529" ht="15.75" customHeight="1">
      <c r="A529" s="23"/>
      <c r="B529" s="23"/>
      <c r="C529" s="23"/>
      <c r="F529" s="23"/>
    </row>
    <row r="530" ht="15.75" customHeight="1">
      <c r="A530" s="23"/>
      <c r="B530" s="23"/>
      <c r="C530" s="23"/>
      <c r="F530" s="23"/>
    </row>
    <row r="531" ht="15.75" customHeight="1">
      <c r="A531" s="23"/>
      <c r="B531" s="23"/>
      <c r="C531" s="23"/>
      <c r="F531" s="23"/>
    </row>
    <row r="532" ht="15.75" customHeight="1">
      <c r="A532" s="23"/>
      <c r="B532" s="23"/>
      <c r="C532" s="23"/>
      <c r="F532" s="23"/>
    </row>
    <row r="533" ht="15.75" customHeight="1">
      <c r="A533" s="23"/>
      <c r="B533" s="23"/>
      <c r="C533" s="23"/>
      <c r="F533" s="23"/>
    </row>
    <row r="534" ht="15.75" customHeight="1">
      <c r="A534" s="23"/>
      <c r="B534" s="23"/>
      <c r="C534" s="23"/>
      <c r="F534" s="23"/>
    </row>
    <row r="535" ht="15.75" customHeight="1">
      <c r="A535" s="23"/>
      <c r="B535" s="23"/>
      <c r="C535" s="23"/>
      <c r="F535" s="23"/>
    </row>
    <row r="536" ht="15.75" customHeight="1">
      <c r="A536" s="23"/>
      <c r="B536" s="23"/>
      <c r="C536" s="23"/>
      <c r="F536" s="23"/>
    </row>
    <row r="537" ht="15.75" customHeight="1">
      <c r="A537" s="23"/>
      <c r="B537" s="23"/>
      <c r="C537" s="23"/>
      <c r="F537" s="23"/>
    </row>
    <row r="538" ht="15.75" customHeight="1">
      <c r="A538" s="23"/>
      <c r="B538" s="23"/>
      <c r="C538" s="23"/>
      <c r="F538" s="23"/>
    </row>
    <row r="539" ht="15.75" customHeight="1">
      <c r="A539" s="23"/>
      <c r="B539" s="23"/>
      <c r="C539" s="23"/>
      <c r="F539" s="23"/>
    </row>
    <row r="540" ht="15.75" customHeight="1">
      <c r="A540" s="23"/>
      <c r="B540" s="23"/>
      <c r="C540" s="23"/>
      <c r="F540" s="23"/>
    </row>
    <row r="541" ht="15.75" customHeight="1">
      <c r="A541" s="23"/>
      <c r="B541" s="23"/>
      <c r="C541" s="23"/>
      <c r="F541" s="23"/>
    </row>
    <row r="542" ht="15.75" customHeight="1">
      <c r="A542" s="23"/>
      <c r="B542" s="23"/>
      <c r="C542" s="23"/>
      <c r="F542" s="23"/>
    </row>
    <row r="543" ht="15.75" customHeight="1">
      <c r="A543" s="23"/>
      <c r="B543" s="23"/>
      <c r="C543" s="23"/>
      <c r="F543" s="23"/>
    </row>
    <row r="544" ht="15.75" customHeight="1">
      <c r="A544" s="23"/>
      <c r="B544" s="23"/>
      <c r="C544" s="23"/>
      <c r="F544" s="23"/>
    </row>
    <row r="545" ht="15.75" customHeight="1">
      <c r="A545" s="23"/>
      <c r="B545" s="23"/>
      <c r="C545" s="23"/>
      <c r="F545" s="23"/>
    </row>
    <row r="546" ht="15.75" customHeight="1">
      <c r="A546" s="23"/>
      <c r="B546" s="23"/>
      <c r="C546" s="23"/>
      <c r="F546" s="23"/>
    </row>
    <row r="547" ht="15.75" customHeight="1">
      <c r="A547" s="23"/>
      <c r="B547" s="23"/>
      <c r="C547" s="23"/>
      <c r="F547" s="23"/>
    </row>
    <row r="548" ht="15.75" customHeight="1">
      <c r="A548" s="23"/>
      <c r="B548" s="23"/>
      <c r="C548" s="23"/>
      <c r="F548" s="23"/>
    </row>
    <row r="549" ht="15.75" customHeight="1">
      <c r="A549" s="23"/>
      <c r="B549" s="23"/>
      <c r="C549" s="23"/>
      <c r="F549" s="23"/>
    </row>
    <row r="550" ht="15.75" customHeight="1">
      <c r="A550" s="23"/>
      <c r="B550" s="23"/>
      <c r="C550" s="23"/>
      <c r="F550" s="23"/>
    </row>
    <row r="551" ht="15.75" customHeight="1">
      <c r="A551" s="23"/>
      <c r="B551" s="23"/>
      <c r="C551" s="23"/>
      <c r="F551" s="23"/>
    </row>
    <row r="552" ht="15.75" customHeight="1">
      <c r="A552" s="23"/>
      <c r="B552" s="23"/>
      <c r="C552" s="23"/>
      <c r="F552" s="23"/>
    </row>
    <row r="553" ht="15.75" customHeight="1">
      <c r="A553" s="23"/>
      <c r="B553" s="23"/>
      <c r="C553" s="23"/>
      <c r="F553" s="23"/>
    </row>
    <row r="554" ht="15.75" customHeight="1">
      <c r="A554" s="23"/>
      <c r="B554" s="23"/>
      <c r="C554" s="23"/>
      <c r="F554" s="23"/>
    </row>
    <row r="555" ht="15.75" customHeight="1">
      <c r="A555" s="23"/>
      <c r="B555" s="23"/>
      <c r="C555" s="23"/>
      <c r="F555" s="23"/>
    </row>
    <row r="556" ht="15.75" customHeight="1">
      <c r="A556" s="23"/>
      <c r="B556" s="23"/>
      <c r="C556" s="23"/>
      <c r="F556" s="23"/>
    </row>
    <row r="557" ht="15.75" customHeight="1">
      <c r="A557" s="23"/>
      <c r="B557" s="23"/>
      <c r="C557" s="23"/>
      <c r="F557" s="23"/>
    </row>
    <row r="558" ht="15.75" customHeight="1">
      <c r="A558" s="23"/>
      <c r="B558" s="23"/>
      <c r="C558" s="23"/>
      <c r="F558" s="23"/>
    </row>
    <row r="559" ht="15.75" customHeight="1">
      <c r="A559" s="23"/>
      <c r="B559" s="23"/>
      <c r="C559" s="23"/>
      <c r="F559" s="23"/>
    </row>
    <row r="560" ht="15.75" customHeight="1">
      <c r="A560" s="23"/>
      <c r="B560" s="23"/>
      <c r="C560" s="23"/>
      <c r="F560" s="23"/>
    </row>
    <row r="561" ht="15.75" customHeight="1">
      <c r="A561" s="23"/>
      <c r="B561" s="23"/>
      <c r="C561" s="23"/>
      <c r="F561" s="23"/>
    </row>
    <row r="562" ht="15.75" customHeight="1">
      <c r="A562" s="23"/>
      <c r="B562" s="23"/>
      <c r="C562" s="23"/>
      <c r="F562" s="23"/>
    </row>
    <row r="563" ht="15.75" customHeight="1">
      <c r="A563" s="23"/>
      <c r="B563" s="23"/>
      <c r="C563" s="23"/>
      <c r="F563" s="23"/>
    </row>
    <row r="564" ht="15.75" customHeight="1">
      <c r="A564" s="23"/>
      <c r="B564" s="23"/>
      <c r="C564" s="23"/>
      <c r="F564" s="23"/>
    </row>
    <row r="565" ht="15.75" customHeight="1">
      <c r="A565" s="23"/>
      <c r="B565" s="23"/>
      <c r="C565" s="23"/>
      <c r="F565" s="23"/>
    </row>
    <row r="566" ht="15.75" customHeight="1">
      <c r="A566" s="23"/>
      <c r="B566" s="23"/>
      <c r="C566" s="23"/>
      <c r="F566" s="23"/>
    </row>
    <row r="567" ht="15.75" customHeight="1">
      <c r="A567" s="23"/>
      <c r="B567" s="23"/>
      <c r="C567" s="23"/>
      <c r="F567" s="23"/>
    </row>
    <row r="568" ht="15.75" customHeight="1">
      <c r="A568" s="23"/>
      <c r="B568" s="23"/>
      <c r="C568" s="23"/>
      <c r="F568" s="23"/>
    </row>
    <row r="569" ht="15.75" customHeight="1">
      <c r="A569" s="23"/>
      <c r="B569" s="23"/>
      <c r="C569" s="23"/>
      <c r="F569" s="23"/>
    </row>
    <row r="570" ht="15.75" customHeight="1">
      <c r="A570" s="23"/>
      <c r="B570" s="23"/>
      <c r="C570" s="23"/>
      <c r="F570" s="23"/>
    </row>
    <row r="571" ht="15.75" customHeight="1">
      <c r="A571" s="23"/>
      <c r="B571" s="23"/>
      <c r="C571" s="23"/>
      <c r="F571" s="23"/>
    </row>
    <row r="572" ht="15.75" customHeight="1">
      <c r="A572" s="23"/>
      <c r="B572" s="23"/>
      <c r="C572" s="23"/>
      <c r="F572" s="23"/>
    </row>
    <row r="573" ht="15.75" customHeight="1">
      <c r="A573" s="23"/>
      <c r="B573" s="23"/>
      <c r="C573" s="23"/>
      <c r="F573" s="23"/>
    </row>
    <row r="574" ht="15.75" customHeight="1">
      <c r="A574" s="23"/>
      <c r="B574" s="23"/>
      <c r="C574" s="23"/>
      <c r="F574" s="23"/>
    </row>
    <row r="575" ht="15.75" customHeight="1">
      <c r="A575" s="23"/>
      <c r="B575" s="23"/>
      <c r="C575" s="23"/>
      <c r="F575" s="23"/>
    </row>
    <row r="576" ht="15.75" customHeight="1">
      <c r="A576" s="23"/>
      <c r="B576" s="23"/>
      <c r="C576" s="23"/>
      <c r="F576" s="23"/>
    </row>
    <row r="577" ht="15.75" customHeight="1">
      <c r="A577" s="23"/>
      <c r="B577" s="23"/>
      <c r="C577" s="23"/>
      <c r="F577" s="23"/>
    </row>
    <row r="578" ht="15.75" customHeight="1">
      <c r="A578" s="23"/>
      <c r="B578" s="23"/>
      <c r="C578" s="23"/>
      <c r="F578" s="23"/>
    </row>
    <row r="579" ht="15.75" customHeight="1">
      <c r="A579" s="23"/>
      <c r="B579" s="23"/>
      <c r="C579" s="23"/>
      <c r="F579" s="23"/>
    </row>
    <row r="580" ht="15.75" customHeight="1">
      <c r="A580" s="23"/>
      <c r="B580" s="23"/>
      <c r="C580" s="23"/>
      <c r="F580" s="23"/>
    </row>
    <row r="581" ht="15.75" customHeight="1">
      <c r="A581" s="23"/>
      <c r="B581" s="23"/>
      <c r="C581" s="23"/>
      <c r="F581" s="23"/>
    </row>
    <row r="582" ht="15.75" customHeight="1">
      <c r="A582" s="23"/>
      <c r="B582" s="23"/>
      <c r="C582" s="23"/>
      <c r="F582" s="23"/>
    </row>
    <row r="583" ht="15.75" customHeight="1">
      <c r="A583" s="23"/>
      <c r="B583" s="23"/>
      <c r="C583" s="23"/>
      <c r="F583" s="23"/>
    </row>
    <row r="584" ht="15.75" customHeight="1">
      <c r="A584" s="23"/>
      <c r="B584" s="23"/>
      <c r="C584" s="23"/>
      <c r="F584" s="23"/>
    </row>
    <row r="585" ht="15.75" customHeight="1">
      <c r="A585" s="23"/>
      <c r="B585" s="23"/>
      <c r="C585" s="23"/>
      <c r="F585" s="23"/>
    </row>
    <row r="586" ht="15.75" customHeight="1">
      <c r="A586" s="23"/>
      <c r="B586" s="23"/>
      <c r="C586" s="23"/>
      <c r="F586" s="23"/>
    </row>
    <row r="587" ht="15.75" customHeight="1">
      <c r="A587" s="23"/>
      <c r="B587" s="23"/>
      <c r="C587" s="23"/>
      <c r="F587" s="23"/>
    </row>
    <row r="588" ht="15.75" customHeight="1">
      <c r="A588" s="23"/>
      <c r="B588" s="23"/>
      <c r="C588" s="23"/>
      <c r="F588" s="23"/>
    </row>
    <row r="589" ht="15.75" customHeight="1">
      <c r="A589" s="23"/>
      <c r="B589" s="23"/>
      <c r="C589" s="23"/>
      <c r="F589" s="23"/>
    </row>
    <row r="590" ht="15.75" customHeight="1">
      <c r="A590" s="23"/>
      <c r="B590" s="23"/>
      <c r="C590" s="23"/>
      <c r="F590" s="23"/>
    </row>
    <row r="591" ht="15.75" customHeight="1">
      <c r="A591" s="23"/>
      <c r="B591" s="23"/>
      <c r="C591" s="23"/>
      <c r="F591" s="23"/>
    </row>
    <row r="592" ht="15.75" customHeight="1">
      <c r="A592" s="23"/>
      <c r="B592" s="23"/>
      <c r="C592" s="23"/>
      <c r="F592" s="23"/>
    </row>
    <row r="593" ht="15.75" customHeight="1">
      <c r="A593" s="23"/>
      <c r="B593" s="23"/>
      <c r="C593" s="23"/>
      <c r="F593" s="23"/>
    </row>
    <row r="594" ht="15.75" customHeight="1">
      <c r="A594" s="23"/>
      <c r="B594" s="23"/>
      <c r="C594" s="23"/>
      <c r="F594" s="23"/>
    </row>
    <row r="595" ht="15.75" customHeight="1">
      <c r="A595" s="23"/>
      <c r="B595" s="23"/>
      <c r="C595" s="23"/>
      <c r="F595" s="23"/>
    </row>
    <row r="596" ht="15.75" customHeight="1">
      <c r="A596" s="23"/>
      <c r="B596" s="23"/>
      <c r="C596" s="23"/>
      <c r="F596" s="23"/>
    </row>
    <row r="597" ht="15.75" customHeight="1">
      <c r="A597" s="23"/>
      <c r="B597" s="23"/>
      <c r="C597" s="23"/>
      <c r="F597" s="23"/>
    </row>
    <row r="598" ht="15.75" customHeight="1">
      <c r="A598" s="23"/>
      <c r="B598" s="23"/>
      <c r="C598" s="23"/>
      <c r="F598" s="23"/>
    </row>
    <row r="599" ht="15.75" customHeight="1">
      <c r="A599" s="23"/>
      <c r="B599" s="23"/>
      <c r="C599" s="23"/>
      <c r="F599" s="23"/>
    </row>
    <row r="600" ht="15.75" customHeight="1">
      <c r="A600" s="23"/>
      <c r="B600" s="23"/>
      <c r="C600" s="23"/>
      <c r="F600" s="23"/>
    </row>
    <row r="601" ht="15.75" customHeight="1">
      <c r="A601" s="23"/>
      <c r="B601" s="23"/>
      <c r="C601" s="23"/>
      <c r="F601" s="23"/>
    </row>
    <row r="602" ht="15.75" customHeight="1">
      <c r="A602" s="23"/>
      <c r="B602" s="23"/>
      <c r="C602" s="23"/>
      <c r="F602" s="23"/>
    </row>
    <row r="603" ht="15.75" customHeight="1">
      <c r="A603" s="23"/>
      <c r="B603" s="23"/>
      <c r="C603" s="23"/>
      <c r="F603" s="23"/>
    </row>
    <row r="604" ht="15.75" customHeight="1">
      <c r="A604" s="23"/>
      <c r="B604" s="23"/>
      <c r="C604" s="23"/>
      <c r="F604" s="23"/>
    </row>
    <row r="605" ht="15.75" customHeight="1">
      <c r="A605" s="23"/>
      <c r="B605" s="23"/>
      <c r="C605" s="23"/>
      <c r="F605" s="23"/>
    </row>
    <row r="606" ht="15.75" customHeight="1">
      <c r="A606" s="23"/>
      <c r="B606" s="23"/>
      <c r="C606" s="23"/>
      <c r="F606" s="23"/>
    </row>
    <row r="607" ht="15.75" customHeight="1">
      <c r="A607" s="23"/>
      <c r="B607" s="23"/>
      <c r="C607" s="23"/>
      <c r="F607" s="23"/>
    </row>
    <row r="608" ht="15.75" customHeight="1">
      <c r="A608" s="23"/>
      <c r="B608" s="23"/>
      <c r="C608" s="23"/>
      <c r="F608" s="23"/>
    </row>
    <row r="609" ht="15.75" customHeight="1">
      <c r="A609" s="23"/>
      <c r="B609" s="23"/>
      <c r="C609" s="23"/>
      <c r="F609" s="23"/>
    </row>
    <row r="610" ht="15.75" customHeight="1">
      <c r="A610" s="23"/>
      <c r="B610" s="23"/>
      <c r="C610" s="23"/>
      <c r="F610" s="23"/>
    </row>
    <row r="611" ht="15.75" customHeight="1">
      <c r="A611" s="23"/>
      <c r="B611" s="23"/>
      <c r="C611" s="23"/>
      <c r="F611" s="23"/>
    </row>
    <row r="612" ht="15.75" customHeight="1">
      <c r="A612" s="23"/>
      <c r="B612" s="23"/>
      <c r="C612" s="23"/>
      <c r="F612" s="23"/>
    </row>
    <row r="613" ht="15.75" customHeight="1">
      <c r="A613" s="23"/>
      <c r="B613" s="23"/>
      <c r="C613" s="23"/>
      <c r="F613" s="23"/>
    </row>
    <row r="614" ht="15.75" customHeight="1">
      <c r="A614" s="23"/>
      <c r="B614" s="23"/>
      <c r="C614" s="23"/>
      <c r="F614" s="23"/>
    </row>
    <row r="615" ht="15.75" customHeight="1">
      <c r="A615" s="23"/>
      <c r="B615" s="23"/>
      <c r="C615" s="23"/>
      <c r="F615" s="23"/>
    </row>
    <row r="616" ht="15.75" customHeight="1">
      <c r="A616" s="23"/>
      <c r="B616" s="23"/>
      <c r="C616" s="23"/>
      <c r="F616" s="23"/>
    </row>
    <row r="617" ht="15.75" customHeight="1">
      <c r="A617" s="23"/>
      <c r="B617" s="23"/>
      <c r="C617" s="23"/>
      <c r="F617" s="23"/>
    </row>
    <row r="618" ht="15.75" customHeight="1">
      <c r="A618" s="23"/>
      <c r="B618" s="23"/>
      <c r="C618" s="23"/>
      <c r="F618" s="23"/>
    </row>
    <row r="619" ht="15.75" customHeight="1">
      <c r="A619" s="23"/>
      <c r="B619" s="23"/>
      <c r="C619" s="23"/>
      <c r="F619" s="23"/>
    </row>
    <row r="620" ht="15.75" customHeight="1">
      <c r="A620" s="23"/>
      <c r="B620" s="23"/>
      <c r="C620" s="23"/>
      <c r="F620" s="23"/>
    </row>
    <row r="621" ht="15.75" customHeight="1">
      <c r="A621" s="23"/>
      <c r="B621" s="23"/>
      <c r="C621" s="23"/>
      <c r="F621" s="23"/>
    </row>
    <row r="622" ht="15.75" customHeight="1">
      <c r="A622" s="23"/>
      <c r="B622" s="23"/>
      <c r="C622" s="23"/>
      <c r="F622" s="23"/>
    </row>
    <row r="623" ht="15.75" customHeight="1">
      <c r="A623" s="23"/>
      <c r="B623" s="23"/>
      <c r="C623" s="23"/>
      <c r="F623" s="23"/>
    </row>
    <row r="624" ht="15.75" customHeight="1">
      <c r="A624" s="23"/>
      <c r="B624" s="23"/>
      <c r="C624" s="23"/>
      <c r="F624" s="23"/>
    </row>
    <row r="625" ht="15.75" customHeight="1">
      <c r="A625" s="23"/>
      <c r="B625" s="23"/>
      <c r="C625" s="23"/>
      <c r="F625" s="23"/>
    </row>
    <row r="626" ht="15.75" customHeight="1">
      <c r="A626" s="23"/>
      <c r="B626" s="23"/>
      <c r="C626" s="23"/>
      <c r="F626" s="23"/>
    </row>
    <row r="627" ht="15.75" customHeight="1">
      <c r="A627" s="23"/>
      <c r="B627" s="23"/>
      <c r="C627" s="23"/>
      <c r="F627" s="23"/>
    </row>
    <row r="628" ht="15.75" customHeight="1">
      <c r="A628" s="23"/>
      <c r="B628" s="23"/>
      <c r="C628" s="23"/>
      <c r="F628" s="23"/>
    </row>
    <row r="629" ht="15.75" customHeight="1">
      <c r="A629" s="23"/>
      <c r="B629" s="23"/>
      <c r="C629" s="23"/>
      <c r="F629" s="23"/>
    </row>
    <row r="630" ht="15.75" customHeight="1">
      <c r="A630" s="23"/>
      <c r="B630" s="23"/>
      <c r="C630" s="23"/>
      <c r="F630" s="23"/>
    </row>
    <row r="631" ht="15.75" customHeight="1">
      <c r="A631" s="23"/>
      <c r="B631" s="23"/>
      <c r="C631" s="23"/>
      <c r="F631" s="23"/>
    </row>
    <row r="632" ht="15.75" customHeight="1">
      <c r="A632" s="23"/>
      <c r="B632" s="23"/>
      <c r="C632" s="23"/>
      <c r="F632" s="23"/>
    </row>
    <row r="633" ht="15.75" customHeight="1">
      <c r="A633" s="23"/>
      <c r="B633" s="23"/>
      <c r="C633" s="23"/>
      <c r="F633" s="23"/>
    </row>
    <row r="634" ht="15.75" customHeight="1">
      <c r="A634" s="23"/>
      <c r="B634" s="23"/>
      <c r="C634" s="23"/>
      <c r="F634" s="23"/>
    </row>
    <row r="635" ht="15.75" customHeight="1">
      <c r="A635" s="23"/>
      <c r="B635" s="23"/>
      <c r="C635" s="23"/>
      <c r="F635" s="23"/>
    </row>
    <row r="636" ht="15.75" customHeight="1">
      <c r="A636" s="23"/>
      <c r="B636" s="23"/>
      <c r="C636" s="23"/>
      <c r="F636" s="23"/>
    </row>
    <row r="637" ht="15.75" customHeight="1">
      <c r="A637" s="23"/>
      <c r="B637" s="23"/>
      <c r="C637" s="23"/>
      <c r="F637" s="23"/>
    </row>
    <row r="638" ht="15.75" customHeight="1">
      <c r="A638" s="23"/>
      <c r="B638" s="23"/>
      <c r="C638" s="23"/>
      <c r="F638" s="23"/>
    </row>
    <row r="639" ht="15.75" customHeight="1">
      <c r="A639" s="23"/>
      <c r="B639" s="23"/>
      <c r="C639" s="23"/>
      <c r="F639" s="23"/>
    </row>
    <row r="640" ht="15.75" customHeight="1">
      <c r="A640" s="23"/>
      <c r="B640" s="23"/>
      <c r="C640" s="23"/>
      <c r="F640" s="23"/>
    </row>
    <row r="641" ht="15.75" customHeight="1">
      <c r="A641" s="23"/>
      <c r="B641" s="23"/>
      <c r="C641" s="23"/>
      <c r="F641" s="23"/>
    </row>
    <row r="642" ht="15.75" customHeight="1">
      <c r="A642" s="23"/>
      <c r="B642" s="23"/>
      <c r="C642" s="23"/>
      <c r="F642" s="23"/>
    </row>
    <row r="643" ht="15.75" customHeight="1">
      <c r="A643" s="23"/>
      <c r="B643" s="23"/>
      <c r="C643" s="23"/>
      <c r="F643" s="23"/>
    </row>
    <row r="644" ht="15.75" customHeight="1">
      <c r="A644" s="23"/>
      <c r="B644" s="23"/>
      <c r="C644" s="23"/>
      <c r="F644" s="23"/>
    </row>
    <row r="645" ht="15.75" customHeight="1">
      <c r="A645" s="23"/>
      <c r="B645" s="23"/>
      <c r="C645" s="23"/>
      <c r="F645" s="23"/>
    </row>
    <row r="646" ht="15.75" customHeight="1">
      <c r="A646" s="23"/>
      <c r="B646" s="23"/>
      <c r="C646" s="23"/>
      <c r="F646" s="23"/>
    </row>
    <row r="647" ht="15.75" customHeight="1">
      <c r="A647" s="23"/>
      <c r="B647" s="23"/>
      <c r="C647" s="23"/>
      <c r="F647" s="23"/>
    </row>
    <row r="648" ht="15.75" customHeight="1">
      <c r="A648" s="23"/>
      <c r="B648" s="23"/>
      <c r="C648" s="23"/>
      <c r="F648" s="23"/>
    </row>
    <row r="649" ht="15.75" customHeight="1">
      <c r="A649" s="23"/>
      <c r="B649" s="23"/>
      <c r="C649" s="23"/>
      <c r="F649" s="23"/>
    </row>
    <row r="650" ht="15.75" customHeight="1">
      <c r="A650" s="23"/>
      <c r="B650" s="23"/>
      <c r="C650" s="23"/>
      <c r="F650" s="23"/>
    </row>
    <row r="651" ht="15.75" customHeight="1">
      <c r="A651" s="23"/>
      <c r="B651" s="23"/>
      <c r="C651" s="23"/>
      <c r="F651" s="23"/>
    </row>
    <row r="652" ht="15.75" customHeight="1">
      <c r="A652" s="23"/>
      <c r="B652" s="23"/>
      <c r="C652" s="23"/>
      <c r="F652" s="23"/>
    </row>
    <row r="653" ht="15.75" customHeight="1">
      <c r="A653" s="23"/>
      <c r="B653" s="23"/>
      <c r="C653" s="23"/>
      <c r="F653" s="23"/>
    </row>
    <row r="654" ht="15.75" customHeight="1">
      <c r="A654" s="23"/>
      <c r="B654" s="23"/>
      <c r="C654" s="23"/>
      <c r="F654" s="23"/>
    </row>
    <row r="655" ht="15.75" customHeight="1">
      <c r="A655" s="23"/>
      <c r="B655" s="23"/>
      <c r="C655" s="23"/>
      <c r="F655" s="23"/>
    </row>
    <row r="656" ht="15.75" customHeight="1">
      <c r="A656" s="23"/>
      <c r="B656" s="23"/>
      <c r="C656" s="23"/>
      <c r="F656" s="23"/>
    </row>
    <row r="657" ht="15.75" customHeight="1">
      <c r="A657" s="23"/>
      <c r="B657" s="23"/>
      <c r="C657" s="23"/>
      <c r="F657" s="23"/>
    </row>
    <row r="658" ht="15.75" customHeight="1">
      <c r="A658" s="23"/>
      <c r="B658" s="23"/>
      <c r="C658" s="23"/>
      <c r="F658" s="23"/>
    </row>
    <row r="659" ht="15.75" customHeight="1">
      <c r="A659" s="23"/>
      <c r="B659" s="23"/>
      <c r="C659" s="23"/>
      <c r="F659" s="23"/>
    </row>
    <row r="660" ht="15.75" customHeight="1">
      <c r="A660" s="23"/>
      <c r="B660" s="23"/>
      <c r="C660" s="23"/>
      <c r="F660" s="23"/>
    </row>
    <row r="661" ht="15.75" customHeight="1">
      <c r="A661" s="23"/>
      <c r="B661" s="23"/>
      <c r="C661" s="23"/>
      <c r="F661" s="23"/>
    </row>
    <row r="662" ht="15.75" customHeight="1">
      <c r="A662" s="23"/>
      <c r="B662" s="23"/>
      <c r="C662" s="23"/>
      <c r="F662" s="23"/>
    </row>
    <row r="663" ht="15.75" customHeight="1">
      <c r="A663" s="23"/>
      <c r="B663" s="23"/>
      <c r="C663" s="23"/>
      <c r="F663" s="23"/>
    </row>
    <row r="664" ht="15.75" customHeight="1">
      <c r="A664" s="23"/>
      <c r="B664" s="23"/>
      <c r="C664" s="23"/>
      <c r="F664" s="23"/>
    </row>
    <row r="665" ht="15.75" customHeight="1">
      <c r="A665" s="23"/>
      <c r="B665" s="23"/>
      <c r="C665" s="23"/>
      <c r="F665" s="23"/>
    </row>
    <row r="666" ht="15.75" customHeight="1">
      <c r="A666" s="23"/>
      <c r="B666" s="23"/>
      <c r="C666" s="23"/>
      <c r="F666" s="23"/>
    </row>
    <row r="667" ht="15.75" customHeight="1">
      <c r="A667" s="23"/>
      <c r="B667" s="23"/>
      <c r="C667" s="23"/>
      <c r="F667" s="23"/>
    </row>
    <row r="668" ht="15.75" customHeight="1">
      <c r="A668" s="23"/>
      <c r="B668" s="23"/>
      <c r="C668" s="23"/>
      <c r="F668" s="23"/>
    </row>
    <row r="669" ht="15.75" customHeight="1">
      <c r="A669" s="23"/>
      <c r="B669" s="23"/>
      <c r="C669" s="23"/>
      <c r="F669" s="23"/>
    </row>
    <row r="670" ht="15.75" customHeight="1">
      <c r="A670" s="23"/>
      <c r="B670" s="23"/>
      <c r="C670" s="23"/>
      <c r="F670" s="23"/>
    </row>
    <row r="671" ht="15.75" customHeight="1">
      <c r="A671" s="23"/>
      <c r="B671" s="23"/>
      <c r="C671" s="23"/>
      <c r="F671" s="23"/>
    </row>
    <row r="672" ht="15.75" customHeight="1">
      <c r="A672" s="23"/>
      <c r="B672" s="23"/>
      <c r="C672" s="23"/>
      <c r="F672" s="23"/>
    </row>
    <row r="673" ht="15.75" customHeight="1">
      <c r="A673" s="23"/>
      <c r="B673" s="23"/>
      <c r="C673" s="23"/>
      <c r="F673" s="23"/>
    </row>
    <row r="674" ht="15.75" customHeight="1">
      <c r="A674" s="23"/>
      <c r="B674" s="23"/>
      <c r="C674" s="23"/>
      <c r="F674" s="23"/>
    </row>
    <row r="675" ht="15.75" customHeight="1">
      <c r="A675" s="23"/>
      <c r="B675" s="23"/>
      <c r="C675" s="23"/>
      <c r="F675" s="23"/>
    </row>
    <row r="676" ht="15.75" customHeight="1">
      <c r="A676" s="23"/>
      <c r="B676" s="23"/>
      <c r="C676" s="23"/>
      <c r="F676" s="23"/>
    </row>
    <row r="677" ht="15.75" customHeight="1">
      <c r="A677" s="23"/>
      <c r="B677" s="23"/>
      <c r="C677" s="23"/>
      <c r="F677" s="23"/>
    </row>
    <row r="678" ht="15.75" customHeight="1">
      <c r="A678" s="23"/>
      <c r="B678" s="23"/>
      <c r="C678" s="23"/>
      <c r="F678" s="23"/>
    </row>
    <row r="679" ht="15.75" customHeight="1">
      <c r="A679" s="23"/>
      <c r="B679" s="23"/>
      <c r="C679" s="23"/>
      <c r="F679" s="23"/>
    </row>
    <row r="680" ht="15.75" customHeight="1">
      <c r="A680" s="23"/>
      <c r="B680" s="23"/>
      <c r="C680" s="23"/>
      <c r="F680" s="23"/>
    </row>
    <row r="681" ht="15.75" customHeight="1">
      <c r="A681" s="23"/>
      <c r="B681" s="23"/>
      <c r="C681" s="23"/>
      <c r="F681" s="23"/>
    </row>
    <row r="682" ht="15.75" customHeight="1">
      <c r="A682" s="23"/>
      <c r="B682" s="23"/>
      <c r="C682" s="23"/>
      <c r="F682" s="23"/>
    </row>
    <row r="683" ht="15.75" customHeight="1">
      <c r="A683" s="23"/>
      <c r="B683" s="23"/>
      <c r="C683" s="23"/>
      <c r="F683" s="23"/>
    </row>
    <row r="684" ht="15.75" customHeight="1">
      <c r="A684" s="23"/>
      <c r="B684" s="23"/>
      <c r="C684" s="23"/>
      <c r="F684" s="23"/>
    </row>
    <row r="685" ht="15.75" customHeight="1">
      <c r="A685" s="23"/>
      <c r="B685" s="23"/>
      <c r="C685" s="23"/>
      <c r="F685" s="23"/>
    </row>
    <row r="686" ht="15.75" customHeight="1">
      <c r="A686" s="23"/>
      <c r="B686" s="23"/>
      <c r="C686" s="23"/>
      <c r="F686" s="23"/>
    </row>
    <row r="687" ht="15.75" customHeight="1">
      <c r="A687" s="23"/>
      <c r="B687" s="23"/>
      <c r="C687" s="23"/>
      <c r="F687" s="23"/>
    </row>
    <row r="688" ht="15.75" customHeight="1">
      <c r="A688" s="23"/>
      <c r="B688" s="23"/>
      <c r="C688" s="23"/>
      <c r="F688" s="23"/>
    </row>
    <row r="689" ht="15.75" customHeight="1">
      <c r="A689" s="23"/>
      <c r="B689" s="23"/>
      <c r="C689" s="23"/>
      <c r="F689" s="23"/>
    </row>
    <row r="690" ht="15.75" customHeight="1">
      <c r="A690" s="23"/>
      <c r="B690" s="23"/>
      <c r="C690" s="23"/>
      <c r="F690" s="23"/>
    </row>
    <row r="691" ht="15.75" customHeight="1">
      <c r="A691" s="23"/>
      <c r="B691" s="23"/>
      <c r="C691" s="23"/>
      <c r="F691" s="23"/>
    </row>
    <row r="692" ht="15.75" customHeight="1">
      <c r="A692" s="23"/>
      <c r="B692" s="23"/>
      <c r="C692" s="23"/>
      <c r="F692" s="23"/>
    </row>
    <row r="693" ht="15.75" customHeight="1">
      <c r="A693" s="23"/>
      <c r="B693" s="23"/>
      <c r="C693" s="23"/>
      <c r="F693" s="23"/>
    </row>
    <row r="694" ht="15.75" customHeight="1">
      <c r="A694" s="23"/>
      <c r="B694" s="23"/>
      <c r="C694" s="23"/>
      <c r="F694" s="23"/>
    </row>
    <row r="695" ht="15.75" customHeight="1">
      <c r="A695" s="23"/>
      <c r="B695" s="23"/>
      <c r="C695" s="23"/>
      <c r="F695" s="23"/>
    </row>
    <row r="696" ht="15.75" customHeight="1">
      <c r="A696" s="23"/>
      <c r="B696" s="23"/>
      <c r="C696" s="23"/>
      <c r="F696" s="23"/>
    </row>
    <row r="697" ht="15.75" customHeight="1">
      <c r="A697" s="23"/>
      <c r="B697" s="23"/>
      <c r="C697" s="23"/>
      <c r="F697" s="23"/>
    </row>
    <row r="698" ht="15.75" customHeight="1">
      <c r="A698" s="23"/>
      <c r="B698" s="23"/>
      <c r="C698" s="23"/>
      <c r="F698" s="23"/>
    </row>
    <row r="699" ht="15.75" customHeight="1">
      <c r="A699" s="23"/>
      <c r="B699" s="23"/>
      <c r="C699" s="23"/>
      <c r="F699" s="23"/>
    </row>
    <row r="700" ht="15.75" customHeight="1">
      <c r="A700" s="23"/>
      <c r="B700" s="23"/>
      <c r="C700" s="23"/>
      <c r="F700" s="23"/>
    </row>
    <row r="701" ht="15.75" customHeight="1">
      <c r="A701" s="23"/>
      <c r="B701" s="23"/>
      <c r="C701" s="23"/>
      <c r="F701" s="23"/>
    </row>
    <row r="702" ht="15.75" customHeight="1">
      <c r="A702" s="23"/>
      <c r="B702" s="23"/>
      <c r="C702" s="23"/>
      <c r="F702" s="23"/>
    </row>
    <row r="703" ht="15.75" customHeight="1">
      <c r="A703" s="23"/>
      <c r="B703" s="23"/>
      <c r="C703" s="23"/>
      <c r="F703" s="23"/>
    </row>
    <row r="704" ht="15.75" customHeight="1">
      <c r="A704" s="23"/>
      <c r="B704" s="23"/>
      <c r="C704" s="23"/>
      <c r="F704" s="23"/>
    </row>
    <row r="705" ht="15.75" customHeight="1">
      <c r="A705" s="23"/>
      <c r="B705" s="23"/>
      <c r="C705" s="23"/>
      <c r="F705" s="23"/>
    </row>
    <row r="706" ht="15.75" customHeight="1">
      <c r="A706" s="23"/>
      <c r="B706" s="23"/>
      <c r="C706" s="23"/>
      <c r="F706" s="23"/>
    </row>
    <row r="707" ht="15.75" customHeight="1">
      <c r="A707" s="23"/>
      <c r="B707" s="23"/>
      <c r="C707" s="23"/>
      <c r="F707" s="23"/>
    </row>
    <row r="708" ht="15.75" customHeight="1">
      <c r="A708" s="23"/>
      <c r="B708" s="23"/>
      <c r="C708" s="23"/>
      <c r="F708" s="23"/>
    </row>
    <row r="709" ht="15.75" customHeight="1">
      <c r="A709" s="23"/>
      <c r="B709" s="23"/>
      <c r="C709" s="23"/>
      <c r="F709" s="23"/>
    </row>
    <row r="710" ht="15.75" customHeight="1">
      <c r="A710" s="23"/>
      <c r="B710" s="23"/>
      <c r="C710" s="23"/>
      <c r="F710" s="23"/>
    </row>
    <row r="711" ht="15.75" customHeight="1">
      <c r="A711" s="23"/>
      <c r="B711" s="23"/>
      <c r="C711" s="23"/>
      <c r="F711" s="23"/>
    </row>
    <row r="712" ht="15.75" customHeight="1">
      <c r="A712" s="23"/>
      <c r="B712" s="23"/>
      <c r="C712" s="23"/>
      <c r="F712" s="23"/>
    </row>
    <row r="713" ht="15.75" customHeight="1">
      <c r="A713" s="23"/>
      <c r="B713" s="23"/>
      <c r="C713" s="23"/>
      <c r="F713" s="23"/>
    </row>
    <row r="714" ht="15.75" customHeight="1">
      <c r="A714" s="23"/>
      <c r="B714" s="23"/>
      <c r="C714" s="23"/>
      <c r="F714" s="23"/>
    </row>
    <row r="715" ht="15.75" customHeight="1">
      <c r="A715" s="23"/>
      <c r="B715" s="23"/>
      <c r="C715" s="23"/>
      <c r="F715" s="23"/>
    </row>
    <row r="716" ht="15.75" customHeight="1">
      <c r="A716" s="23"/>
      <c r="B716" s="23"/>
      <c r="C716" s="23"/>
      <c r="F716" s="23"/>
    </row>
    <row r="717" ht="15.75" customHeight="1">
      <c r="A717" s="23"/>
      <c r="B717" s="23"/>
      <c r="C717" s="23"/>
      <c r="F717" s="23"/>
    </row>
    <row r="718" ht="15.75" customHeight="1">
      <c r="A718" s="23"/>
      <c r="B718" s="23"/>
      <c r="C718" s="23"/>
      <c r="F718" s="23"/>
    </row>
    <row r="719" ht="15.75" customHeight="1">
      <c r="A719" s="23"/>
      <c r="B719" s="23"/>
      <c r="C719" s="23"/>
      <c r="F719" s="23"/>
    </row>
    <row r="720" ht="15.75" customHeight="1">
      <c r="A720" s="23"/>
      <c r="B720" s="23"/>
      <c r="C720" s="23"/>
      <c r="F720" s="23"/>
    </row>
    <row r="721" ht="15.75" customHeight="1">
      <c r="A721" s="23"/>
      <c r="B721" s="23"/>
      <c r="C721" s="23"/>
      <c r="F721" s="23"/>
    </row>
    <row r="722" ht="15.75" customHeight="1">
      <c r="A722" s="23"/>
      <c r="B722" s="23"/>
      <c r="C722" s="23"/>
      <c r="F722" s="23"/>
    </row>
    <row r="723" ht="15.75" customHeight="1">
      <c r="A723" s="23"/>
      <c r="B723" s="23"/>
      <c r="C723" s="23"/>
      <c r="F723" s="23"/>
    </row>
    <row r="724" ht="15.75" customHeight="1">
      <c r="A724" s="23"/>
      <c r="B724" s="23"/>
      <c r="C724" s="23"/>
      <c r="F724" s="23"/>
    </row>
    <row r="725" ht="15.75" customHeight="1">
      <c r="A725" s="23"/>
      <c r="B725" s="23"/>
      <c r="C725" s="23"/>
      <c r="F725" s="23"/>
    </row>
    <row r="726" ht="15.75" customHeight="1">
      <c r="A726" s="23"/>
      <c r="B726" s="23"/>
      <c r="C726" s="23"/>
      <c r="F726" s="23"/>
    </row>
    <row r="727" ht="15.75" customHeight="1">
      <c r="A727" s="23"/>
      <c r="B727" s="23"/>
      <c r="C727" s="23"/>
      <c r="F727" s="23"/>
    </row>
    <row r="728" ht="15.75" customHeight="1">
      <c r="A728" s="23"/>
      <c r="B728" s="23"/>
      <c r="C728" s="23"/>
      <c r="F728" s="23"/>
    </row>
    <row r="729" ht="15.75" customHeight="1">
      <c r="A729" s="23"/>
      <c r="B729" s="23"/>
      <c r="C729" s="23"/>
      <c r="F729" s="23"/>
    </row>
    <row r="730" ht="15.75" customHeight="1">
      <c r="A730" s="23"/>
      <c r="B730" s="23"/>
      <c r="C730" s="23"/>
      <c r="F730" s="23"/>
    </row>
    <row r="731" ht="15.75" customHeight="1">
      <c r="A731" s="23"/>
      <c r="B731" s="23"/>
      <c r="C731" s="23"/>
      <c r="F731" s="23"/>
    </row>
    <row r="732" ht="15.75" customHeight="1">
      <c r="A732" s="23"/>
      <c r="B732" s="23"/>
      <c r="C732" s="23"/>
      <c r="F732" s="23"/>
    </row>
    <row r="733" ht="15.75" customHeight="1">
      <c r="A733" s="23"/>
      <c r="B733" s="23"/>
      <c r="C733" s="23"/>
      <c r="F733" s="23"/>
    </row>
    <row r="734" ht="15.75" customHeight="1">
      <c r="A734" s="23"/>
      <c r="B734" s="23"/>
      <c r="C734" s="23"/>
      <c r="F734" s="23"/>
    </row>
    <row r="735" ht="15.75" customHeight="1">
      <c r="A735" s="23"/>
      <c r="B735" s="23"/>
      <c r="C735" s="23"/>
      <c r="F735" s="23"/>
    </row>
    <row r="736" ht="15.75" customHeight="1">
      <c r="A736" s="23"/>
      <c r="B736" s="23"/>
      <c r="C736" s="23"/>
      <c r="F736" s="23"/>
    </row>
    <row r="737" ht="15.75" customHeight="1">
      <c r="A737" s="23"/>
      <c r="B737" s="23"/>
      <c r="C737" s="23"/>
      <c r="F737" s="23"/>
    </row>
    <row r="738" ht="15.75" customHeight="1">
      <c r="A738" s="23"/>
      <c r="B738" s="23"/>
      <c r="C738" s="23"/>
      <c r="F738" s="23"/>
    </row>
    <row r="739" ht="15.75" customHeight="1">
      <c r="A739" s="23"/>
      <c r="B739" s="23"/>
      <c r="C739" s="23"/>
      <c r="F739" s="23"/>
    </row>
    <row r="740" ht="15.75" customHeight="1">
      <c r="A740" s="23"/>
      <c r="B740" s="23"/>
      <c r="C740" s="23"/>
      <c r="F740" s="23"/>
    </row>
    <row r="741" ht="15.75" customHeight="1">
      <c r="A741" s="23"/>
      <c r="B741" s="23"/>
      <c r="C741" s="23"/>
      <c r="F741" s="23"/>
    </row>
    <row r="742" ht="15.75" customHeight="1">
      <c r="A742" s="23"/>
      <c r="B742" s="23"/>
      <c r="C742" s="23"/>
      <c r="F742" s="23"/>
    </row>
    <row r="743" ht="15.75" customHeight="1">
      <c r="A743" s="23"/>
      <c r="B743" s="23"/>
      <c r="C743" s="23"/>
      <c r="F743" s="23"/>
    </row>
    <row r="744" ht="15.75" customHeight="1">
      <c r="A744" s="23"/>
      <c r="B744" s="23"/>
      <c r="C744" s="23"/>
      <c r="F744" s="23"/>
    </row>
    <row r="745" ht="15.75" customHeight="1">
      <c r="A745" s="23"/>
      <c r="B745" s="23"/>
      <c r="C745" s="23"/>
      <c r="F745" s="23"/>
    </row>
    <row r="746" ht="15.75" customHeight="1">
      <c r="A746" s="23"/>
      <c r="B746" s="23"/>
      <c r="C746" s="23"/>
      <c r="F746" s="23"/>
    </row>
    <row r="747" ht="15.75" customHeight="1">
      <c r="A747" s="23"/>
      <c r="B747" s="23"/>
      <c r="C747" s="23"/>
      <c r="F747" s="23"/>
    </row>
    <row r="748" ht="15.75" customHeight="1">
      <c r="A748" s="23"/>
      <c r="B748" s="23"/>
      <c r="C748" s="23"/>
      <c r="F748" s="23"/>
    </row>
    <row r="749" ht="15.75" customHeight="1">
      <c r="A749" s="23"/>
      <c r="B749" s="23"/>
      <c r="C749" s="23"/>
      <c r="F749" s="23"/>
    </row>
    <row r="750" ht="15.75" customHeight="1">
      <c r="A750" s="23"/>
      <c r="B750" s="23"/>
      <c r="C750" s="23"/>
      <c r="F750" s="23"/>
    </row>
    <row r="751" ht="15.75" customHeight="1">
      <c r="A751" s="23"/>
      <c r="B751" s="23"/>
      <c r="C751" s="23"/>
      <c r="F751" s="23"/>
    </row>
    <row r="752" ht="15.75" customHeight="1">
      <c r="A752" s="23"/>
      <c r="B752" s="23"/>
      <c r="C752" s="23"/>
      <c r="F752" s="23"/>
    </row>
    <row r="753" ht="15.75" customHeight="1">
      <c r="A753" s="23"/>
      <c r="B753" s="23"/>
      <c r="C753" s="23"/>
      <c r="F753" s="23"/>
    </row>
    <row r="754" ht="15.75" customHeight="1">
      <c r="A754" s="23"/>
      <c r="B754" s="23"/>
      <c r="C754" s="23"/>
      <c r="F754" s="23"/>
    </row>
    <row r="755" ht="15.75" customHeight="1">
      <c r="A755" s="23"/>
      <c r="B755" s="23"/>
      <c r="C755" s="23"/>
      <c r="F755" s="23"/>
    </row>
    <row r="756" ht="15.75" customHeight="1">
      <c r="A756" s="23"/>
      <c r="B756" s="23"/>
      <c r="C756" s="23"/>
      <c r="F756" s="23"/>
    </row>
    <row r="757" ht="15.75" customHeight="1">
      <c r="A757" s="23"/>
      <c r="B757" s="23"/>
      <c r="C757" s="23"/>
      <c r="F757" s="23"/>
    </row>
    <row r="758" ht="15.75" customHeight="1">
      <c r="A758" s="23"/>
      <c r="B758" s="23"/>
      <c r="C758" s="23"/>
      <c r="F758" s="23"/>
    </row>
    <row r="759" ht="15.75" customHeight="1">
      <c r="A759" s="23"/>
      <c r="B759" s="23"/>
      <c r="C759" s="23"/>
      <c r="F759" s="23"/>
    </row>
    <row r="760" ht="15.75" customHeight="1">
      <c r="A760" s="23"/>
      <c r="B760" s="23"/>
      <c r="C760" s="23"/>
      <c r="F760" s="23"/>
    </row>
    <row r="761" ht="15.75" customHeight="1">
      <c r="A761" s="23"/>
      <c r="B761" s="23"/>
      <c r="C761" s="23"/>
      <c r="F761" s="23"/>
    </row>
    <row r="762" ht="15.75" customHeight="1">
      <c r="A762" s="23"/>
      <c r="B762" s="23"/>
      <c r="C762" s="23"/>
      <c r="F762" s="23"/>
    </row>
    <row r="763" ht="15.75" customHeight="1">
      <c r="A763" s="23"/>
      <c r="B763" s="23"/>
      <c r="C763" s="23"/>
      <c r="F763" s="23"/>
    </row>
    <row r="764" ht="15.75" customHeight="1">
      <c r="A764" s="23"/>
      <c r="B764" s="23"/>
      <c r="C764" s="23"/>
      <c r="F764" s="23"/>
    </row>
    <row r="765" ht="15.75" customHeight="1">
      <c r="A765" s="23"/>
      <c r="B765" s="23"/>
      <c r="C765" s="23"/>
      <c r="F765" s="23"/>
    </row>
    <row r="766" ht="15.75" customHeight="1">
      <c r="A766" s="23"/>
      <c r="B766" s="23"/>
      <c r="C766" s="23"/>
      <c r="F766" s="23"/>
    </row>
    <row r="767" ht="15.75" customHeight="1">
      <c r="A767" s="23"/>
      <c r="B767" s="23"/>
      <c r="C767" s="23"/>
      <c r="F767" s="23"/>
    </row>
    <row r="768" ht="15.75" customHeight="1">
      <c r="A768" s="23"/>
      <c r="B768" s="23"/>
      <c r="C768" s="23"/>
      <c r="F768" s="23"/>
    </row>
    <row r="769" ht="15.75" customHeight="1">
      <c r="A769" s="23"/>
      <c r="B769" s="23"/>
      <c r="C769" s="23"/>
      <c r="F769" s="23"/>
    </row>
    <row r="770" ht="15.75" customHeight="1">
      <c r="A770" s="23"/>
      <c r="B770" s="23"/>
      <c r="C770" s="23"/>
      <c r="F770" s="23"/>
    </row>
    <row r="771" ht="15.75" customHeight="1">
      <c r="A771" s="23"/>
      <c r="B771" s="23"/>
      <c r="C771" s="23"/>
      <c r="F771" s="23"/>
    </row>
    <row r="772" ht="15.75" customHeight="1">
      <c r="A772" s="23"/>
      <c r="B772" s="23"/>
      <c r="C772" s="23"/>
      <c r="F772" s="23"/>
    </row>
    <row r="773" ht="15.75" customHeight="1">
      <c r="A773" s="23"/>
      <c r="B773" s="23"/>
      <c r="C773" s="23"/>
      <c r="F773" s="23"/>
    </row>
    <row r="774" ht="15.75" customHeight="1">
      <c r="A774" s="23"/>
      <c r="B774" s="23"/>
      <c r="C774" s="23"/>
      <c r="F774" s="23"/>
    </row>
    <row r="775" ht="15.75" customHeight="1">
      <c r="A775" s="23"/>
      <c r="B775" s="23"/>
      <c r="C775" s="23"/>
      <c r="F775" s="23"/>
    </row>
    <row r="776" ht="15.75" customHeight="1">
      <c r="A776" s="23"/>
      <c r="B776" s="23"/>
      <c r="C776" s="23"/>
      <c r="F776" s="23"/>
    </row>
    <row r="777" ht="15.75" customHeight="1">
      <c r="A777" s="23"/>
      <c r="B777" s="23"/>
      <c r="C777" s="23"/>
      <c r="F777" s="23"/>
    </row>
    <row r="778" ht="15.75" customHeight="1">
      <c r="A778" s="23"/>
      <c r="B778" s="23"/>
      <c r="C778" s="23"/>
      <c r="F778" s="23"/>
    </row>
    <row r="779" ht="15.75" customHeight="1">
      <c r="A779" s="23"/>
      <c r="B779" s="23"/>
      <c r="C779" s="23"/>
      <c r="F779" s="23"/>
    </row>
    <row r="780" ht="15.75" customHeight="1">
      <c r="A780" s="23"/>
      <c r="B780" s="23"/>
      <c r="C780" s="23"/>
      <c r="F780" s="23"/>
    </row>
    <row r="781" ht="15.75" customHeight="1">
      <c r="A781" s="23"/>
      <c r="B781" s="23"/>
      <c r="C781" s="23"/>
      <c r="F781" s="23"/>
    </row>
    <row r="782" ht="15.75" customHeight="1">
      <c r="A782" s="23"/>
      <c r="B782" s="23"/>
      <c r="C782" s="23"/>
      <c r="F782" s="23"/>
    </row>
    <row r="783" ht="15.75" customHeight="1">
      <c r="A783" s="23"/>
      <c r="B783" s="23"/>
      <c r="C783" s="23"/>
      <c r="F783" s="23"/>
    </row>
    <row r="784" ht="15.75" customHeight="1">
      <c r="A784" s="23"/>
      <c r="B784" s="23"/>
      <c r="C784" s="23"/>
      <c r="F784" s="23"/>
    </row>
    <row r="785" ht="15.75" customHeight="1">
      <c r="A785" s="23"/>
      <c r="B785" s="23"/>
      <c r="C785" s="23"/>
      <c r="F785" s="23"/>
    </row>
    <row r="786" ht="15.75" customHeight="1">
      <c r="A786" s="23"/>
      <c r="B786" s="23"/>
      <c r="C786" s="23"/>
      <c r="F786" s="23"/>
    </row>
    <row r="787" ht="15.75" customHeight="1">
      <c r="A787" s="23"/>
      <c r="B787" s="23"/>
      <c r="C787" s="23"/>
      <c r="F787" s="23"/>
    </row>
    <row r="788" ht="15.75" customHeight="1">
      <c r="A788" s="23"/>
      <c r="B788" s="23"/>
      <c r="C788" s="23"/>
      <c r="F788" s="23"/>
    </row>
    <row r="789" ht="15.75" customHeight="1">
      <c r="A789" s="23"/>
      <c r="B789" s="23"/>
      <c r="C789" s="23"/>
      <c r="F789" s="23"/>
    </row>
    <row r="790" ht="15.75" customHeight="1">
      <c r="A790" s="23"/>
      <c r="B790" s="23"/>
      <c r="C790" s="23"/>
      <c r="F790" s="23"/>
    </row>
    <row r="791" ht="15.75" customHeight="1">
      <c r="A791" s="23"/>
      <c r="B791" s="23"/>
      <c r="C791" s="23"/>
      <c r="F791" s="23"/>
    </row>
    <row r="792" ht="15.75" customHeight="1">
      <c r="A792" s="23"/>
      <c r="B792" s="23"/>
      <c r="C792" s="23"/>
      <c r="F792" s="23"/>
    </row>
    <row r="793" ht="15.75" customHeight="1">
      <c r="A793" s="23"/>
      <c r="B793" s="23"/>
      <c r="C793" s="23"/>
      <c r="F793" s="23"/>
    </row>
    <row r="794" ht="15.75" customHeight="1">
      <c r="A794" s="23"/>
      <c r="B794" s="23"/>
      <c r="C794" s="23"/>
      <c r="F794" s="23"/>
    </row>
    <row r="795" ht="15.75" customHeight="1">
      <c r="A795" s="23"/>
      <c r="B795" s="23"/>
      <c r="C795" s="23"/>
      <c r="F795" s="23"/>
    </row>
    <row r="796" ht="15.75" customHeight="1">
      <c r="A796" s="23"/>
      <c r="B796" s="23"/>
      <c r="C796" s="23"/>
      <c r="F796" s="23"/>
    </row>
    <row r="797" ht="15.75" customHeight="1">
      <c r="A797" s="23"/>
      <c r="B797" s="23"/>
      <c r="C797" s="23"/>
      <c r="F797" s="23"/>
    </row>
    <row r="798" ht="15.75" customHeight="1">
      <c r="A798" s="23"/>
      <c r="B798" s="23"/>
      <c r="C798" s="23"/>
      <c r="F798" s="23"/>
    </row>
    <row r="799" ht="15.75" customHeight="1">
      <c r="A799" s="23"/>
      <c r="B799" s="23"/>
      <c r="C799" s="23"/>
      <c r="F799" s="23"/>
    </row>
    <row r="800" ht="15.75" customHeight="1">
      <c r="A800" s="23"/>
      <c r="B800" s="23"/>
      <c r="C800" s="23"/>
      <c r="F800" s="23"/>
    </row>
    <row r="801" ht="15.75" customHeight="1">
      <c r="A801" s="23"/>
      <c r="B801" s="23"/>
      <c r="C801" s="23"/>
      <c r="F801" s="23"/>
    </row>
    <row r="802" ht="15.75" customHeight="1">
      <c r="A802" s="23"/>
      <c r="B802" s="23"/>
      <c r="C802" s="23"/>
      <c r="F802" s="23"/>
    </row>
    <row r="803" ht="15.75" customHeight="1">
      <c r="A803" s="23"/>
      <c r="B803" s="23"/>
      <c r="C803" s="23"/>
      <c r="F803" s="23"/>
    </row>
    <row r="804" ht="15.75" customHeight="1">
      <c r="A804" s="23"/>
      <c r="B804" s="23"/>
      <c r="C804" s="23"/>
      <c r="F804" s="23"/>
    </row>
    <row r="805" ht="15.75" customHeight="1">
      <c r="A805" s="23"/>
      <c r="B805" s="23"/>
      <c r="C805" s="23"/>
      <c r="F805" s="23"/>
    </row>
    <row r="806" ht="15.75" customHeight="1">
      <c r="A806" s="23"/>
      <c r="B806" s="23"/>
      <c r="C806" s="23"/>
      <c r="F806" s="23"/>
    </row>
    <row r="807" ht="15.75" customHeight="1">
      <c r="A807" s="23"/>
      <c r="B807" s="23"/>
      <c r="C807" s="23"/>
      <c r="F807" s="23"/>
    </row>
    <row r="808" ht="15.75" customHeight="1">
      <c r="A808" s="23"/>
      <c r="B808" s="23"/>
      <c r="C808" s="23"/>
      <c r="F808" s="23"/>
    </row>
    <row r="809" ht="15.75" customHeight="1">
      <c r="A809" s="23"/>
      <c r="B809" s="23"/>
      <c r="C809" s="23"/>
      <c r="F809" s="23"/>
    </row>
    <row r="810" ht="15.75" customHeight="1">
      <c r="A810" s="23"/>
      <c r="B810" s="23"/>
      <c r="C810" s="23"/>
      <c r="F810" s="23"/>
    </row>
    <row r="811" ht="15.75" customHeight="1">
      <c r="A811" s="23"/>
      <c r="B811" s="23"/>
      <c r="C811" s="23"/>
      <c r="F811" s="23"/>
    </row>
    <row r="812" ht="15.75" customHeight="1">
      <c r="A812" s="23"/>
      <c r="B812" s="23"/>
      <c r="C812" s="23"/>
      <c r="F812" s="23"/>
    </row>
    <row r="813" ht="15.75" customHeight="1">
      <c r="A813" s="23"/>
      <c r="B813" s="23"/>
      <c r="C813" s="23"/>
      <c r="F813" s="23"/>
    </row>
    <row r="814" ht="15.75" customHeight="1">
      <c r="A814" s="23"/>
      <c r="B814" s="23"/>
      <c r="C814" s="23"/>
      <c r="F814" s="23"/>
    </row>
    <row r="815" ht="15.75" customHeight="1">
      <c r="A815" s="23"/>
      <c r="B815" s="23"/>
      <c r="C815" s="23"/>
      <c r="F815" s="23"/>
    </row>
    <row r="816" ht="15.75" customHeight="1">
      <c r="A816" s="23"/>
      <c r="B816" s="23"/>
      <c r="C816" s="23"/>
      <c r="F816" s="23"/>
    </row>
    <row r="817" ht="15.75" customHeight="1">
      <c r="A817" s="23"/>
      <c r="B817" s="23"/>
      <c r="C817" s="23"/>
      <c r="F817" s="23"/>
    </row>
    <row r="818" ht="15.75" customHeight="1">
      <c r="A818" s="23"/>
      <c r="B818" s="23"/>
      <c r="C818" s="23"/>
      <c r="F818" s="23"/>
    </row>
    <row r="819" ht="15.75" customHeight="1">
      <c r="A819" s="23"/>
      <c r="B819" s="23"/>
      <c r="C819" s="23"/>
      <c r="F819" s="23"/>
    </row>
    <row r="820" ht="15.75" customHeight="1">
      <c r="A820" s="23"/>
      <c r="B820" s="23"/>
      <c r="C820" s="23"/>
      <c r="F820" s="23"/>
    </row>
    <row r="821" ht="15.75" customHeight="1">
      <c r="A821" s="23"/>
      <c r="B821" s="23"/>
      <c r="C821" s="23"/>
      <c r="F821" s="23"/>
    </row>
    <row r="822" ht="15.75" customHeight="1">
      <c r="A822" s="23"/>
      <c r="B822" s="23"/>
      <c r="C822" s="23"/>
      <c r="F822" s="23"/>
    </row>
    <row r="823" ht="15.75" customHeight="1">
      <c r="A823" s="23"/>
      <c r="B823" s="23"/>
      <c r="C823" s="23"/>
      <c r="F823" s="23"/>
    </row>
    <row r="824" ht="15.75" customHeight="1">
      <c r="A824" s="23"/>
      <c r="B824" s="23"/>
      <c r="C824" s="23"/>
      <c r="F824" s="23"/>
    </row>
    <row r="825" ht="15.75" customHeight="1">
      <c r="A825" s="23"/>
      <c r="B825" s="23"/>
      <c r="C825" s="23"/>
      <c r="F825" s="23"/>
    </row>
    <row r="826" ht="15.75" customHeight="1">
      <c r="A826" s="23"/>
      <c r="B826" s="23"/>
      <c r="C826" s="23"/>
      <c r="F826" s="23"/>
    </row>
    <row r="827" ht="15.75" customHeight="1">
      <c r="A827" s="23"/>
      <c r="B827" s="23"/>
      <c r="C827" s="23"/>
      <c r="F827" s="23"/>
    </row>
    <row r="828" ht="15.75" customHeight="1">
      <c r="A828" s="23"/>
      <c r="B828" s="23"/>
      <c r="C828" s="23"/>
      <c r="F828" s="23"/>
    </row>
    <row r="829" ht="15.75" customHeight="1">
      <c r="A829" s="23"/>
      <c r="B829" s="23"/>
      <c r="C829" s="23"/>
      <c r="F829" s="23"/>
    </row>
    <row r="830" ht="15.75" customHeight="1">
      <c r="A830" s="23"/>
      <c r="B830" s="23"/>
      <c r="C830" s="23"/>
      <c r="F830" s="23"/>
    </row>
    <row r="831" ht="15.75" customHeight="1">
      <c r="A831" s="23"/>
      <c r="B831" s="23"/>
      <c r="C831" s="23"/>
      <c r="F831" s="23"/>
    </row>
    <row r="832" ht="15.75" customHeight="1">
      <c r="A832" s="23"/>
      <c r="B832" s="23"/>
      <c r="C832" s="23"/>
      <c r="F832" s="23"/>
    </row>
    <row r="833" ht="15.75" customHeight="1">
      <c r="A833" s="23"/>
      <c r="B833" s="23"/>
      <c r="C833" s="23"/>
      <c r="F833" s="23"/>
    </row>
    <row r="834" ht="15.75" customHeight="1">
      <c r="A834" s="23"/>
      <c r="B834" s="23"/>
      <c r="C834" s="23"/>
      <c r="F834" s="23"/>
    </row>
    <row r="835" ht="15.75" customHeight="1">
      <c r="A835" s="23"/>
      <c r="B835" s="23"/>
      <c r="C835" s="23"/>
      <c r="F835" s="23"/>
    </row>
    <row r="836" ht="15.75" customHeight="1">
      <c r="A836" s="23"/>
      <c r="B836" s="23"/>
      <c r="C836" s="23"/>
      <c r="F836" s="23"/>
    </row>
    <row r="837" ht="15.75" customHeight="1">
      <c r="A837" s="23"/>
      <c r="B837" s="23"/>
      <c r="C837" s="23"/>
      <c r="F837" s="23"/>
    </row>
    <row r="838" ht="15.75" customHeight="1">
      <c r="A838" s="23"/>
      <c r="B838" s="23"/>
      <c r="C838" s="23"/>
      <c r="F838" s="23"/>
    </row>
    <row r="839" ht="15.75" customHeight="1">
      <c r="A839" s="23"/>
      <c r="B839" s="23"/>
      <c r="C839" s="23"/>
      <c r="F839" s="23"/>
    </row>
    <row r="840" ht="15.75" customHeight="1">
      <c r="A840" s="23"/>
      <c r="B840" s="23"/>
      <c r="C840" s="23"/>
      <c r="F840" s="23"/>
    </row>
    <row r="841" ht="15.75" customHeight="1">
      <c r="A841" s="23"/>
      <c r="B841" s="23"/>
      <c r="C841" s="23"/>
      <c r="F841" s="23"/>
    </row>
    <row r="842" ht="15.75" customHeight="1">
      <c r="A842" s="23"/>
      <c r="B842" s="23"/>
      <c r="C842" s="23"/>
      <c r="F842" s="23"/>
    </row>
    <row r="843" ht="15.75" customHeight="1">
      <c r="A843" s="23"/>
      <c r="B843" s="23"/>
      <c r="C843" s="23"/>
      <c r="F843" s="23"/>
    </row>
    <row r="844" ht="15.75" customHeight="1">
      <c r="A844" s="23"/>
      <c r="B844" s="23"/>
      <c r="C844" s="23"/>
      <c r="F844" s="23"/>
    </row>
    <row r="845" ht="15.75" customHeight="1">
      <c r="A845" s="23"/>
      <c r="B845" s="23"/>
      <c r="C845" s="23"/>
      <c r="F845" s="23"/>
    </row>
    <row r="846" ht="15.75" customHeight="1">
      <c r="A846" s="23"/>
      <c r="B846" s="23"/>
      <c r="C846" s="23"/>
      <c r="F846" s="23"/>
    </row>
    <row r="847" ht="15.75" customHeight="1">
      <c r="A847" s="23"/>
      <c r="B847" s="23"/>
      <c r="C847" s="23"/>
      <c r="F847" s="23"/>
    </row>
    <row r="848" ht="15.75" customHeight="1">
      <c r="A848" s="23"/>
      <c r="B848" s="23"/>
      <c r="C848" s="23"/>
      <c r="F848" s="23"/>
    </row>
    <row r="849" ht="15.75" customHeight="1">
      <c r="A849" s="23"/>
      <c r="B849" s="23"/>
      <c r="C849" s="23"/>
      <c r="F849" s="23"/>
    </row>
    <row r="850" ht="15.75" customHeight="1">
      <c r="A850" s="23"/>
      <c r="B850" s="23"/>
      <c r="C850" s="23"/>
      <c r="F850" s="23"/>
    </row>
    <row r="851" ht="15.75" customHeight="1">
      <c r="A851" s="23"/>
      <c r="B851" s="23"/>
      <c r="C851" s="23"/>
      <c r="F851" s="23"/>
    </row>
    <row r="852" ht="15.75" customHeight="1">
      <c r="A852" s="23"/>
      <c r="B852" s="23"/>
      <c r="C852" s="23"/>
      <c r="F852" s="23"/>
    </row>
    <row r="853" ht="15.75" customHeight="1">
      <c r="A853" s="23"/>
      <c r="B853" s="23"/>
      <c r="C853" s="23"/>
      <c r="F853" s="23"/>
    </row>
    <row r="854" ht="15.75" customHeight="1">
      <c r="A854" s="23"/>
      <c r="B854" s="23"/>
      <c r="C854" s="23"/>
      <c r="F854" s="23"/>
    </row>
    <row r="855" ht="15.75" customHeight="1">
      <c r="A855" s="23"/>
      <c r="B855" s="23"/>
      <c r="C855" s="23"/>
      <c r="F855" s="23"/>
    </row>
    <row r="856" ht="15.75" customHeight="1">
      <c r="A856" s="23"/>
      <c r="B856" s="23"/>
      <c r="C856" s="23"/>
      <c r="F856" s="23"/>
    </row>
    <row r="857" ht="15.75" customHeight="1">
      <c r="A857" s="23"/>
      <c r="B857" s="23"/>
      <c r="C857" s="23"/>
      <c r="F857" s="23"/>
    </row>
    <row r="858" ht="15.75" customHeight="1">
      <c r="A858" s="23"/>
      <c r="B858" s="23"/>
      <c r="C858" s="23"/>
      <c r="F858" s="23"/>
    </row>
    <row r="859" ht="15.75" customHeight="1">
      <c r="A859" s="23"/>
      <c r="B859" s="23"/>
      <c r="C859" s="23"/>
      <c r="F859" s="23"/>
    </row>
    <row r="860" ht="15.75" customHeight="1">
      <c r="A860" s="23"/>
      <c r="B860" s="23"/>
      <c r="C860" s="23"/>
      <c r="F860" s="23"/>
    </row>
    <row r="861" ht="15.75" customHeight="1">
      <c r="A861" s="23"/>
      <c r="B861" s="23"/>
      <c r="C861" s="23"/>
      <c r="F861" s="23"/>
    </row>
    <row r="862" ht="15.75" customHeight="1">
      <c r="A862" s="23"/>
      <c r="B862" s="23"/>
      <c r="C862" s="23"/>
      <c r="F862" s="23"/>
    </row>
    <row r="863" ht="15.75" customHeight="1">
      <c r="A863" s="23"/>
      <c r="B863" s="23"/>
      <c r="C863" s="23"/>
      <c r="F863" s="23"/>
    </row>
    <row r="864" ht="15.75" customHeight="1">
      <c r="A864" s="23"/>
      <c r="B864" s="23"/>
      <c r="C864" s="23"/>
      <c r="F864" s="23"/>
    </row>
    <row r="865" ht="15.75" customHeight="1">
      <c r="A865" s="23"/>
      <c r="B865" s="23"/>
      <c r="C865" s="23"/>
      <c r="F865" s="23"/>
    </row>
    <row r="866" ht="15.75" customHeight="1">
      <c r="A866" s="23"/>
      <c r="B866" s="23"/>
      <c r="C866" s="23"/>
      <c r="F866" s="23"/>
    </row>
    <row r="867" ht="15.75" customHeight="1">
      <c r="A867" s="23"/>
      <c r="B867" s="23"/>
      <c r="C867" s="23"/>
      <c r="F867" s="23"/>
    </row>
    <row r="868" ht="15.75" customHeight="1">
      <c r="A868" s="23"/>
      <c r="B868" s="23"/>
      <c r="C868" s="23"/>
      <c r="F868" s="23"/>
    </row>
    <row r="869" ht="15.75" customHeight="1">
      <c r="A869" s="23"/>
      <c r="B869" s="23"/>
      <c r="C869" s="23"/>
      <c r="F869" s="23"/>
    </row>
    <row r="870" ht="15.75" customHeight="1">
      <c r="A870" s="23"/>
      <c r="B870" s="23"/>
      <c r="C870" s="23"/>
      <c r="F870" s="23"/>
    </row>
    <row r="871" ht="15.75" customHeight="1">
      <c r="A871" s="23"/>
      <c r="B871" s="23"/>
      <c r="C871" s="23"/>
      <c r="F871" s="23"/>
    </row>
    <row r="872" ht="15.75" customHeight="1">
      <c r="A872" s="23"/>
      <c r="B872" s="23"/>
      <c r="C872" s="23"/>
      <c r="F872" s="23"/>
    </row>
    <row r="873" ht="15.75" customHeight="1">
      <c r="A873" s="23"/>
      <c r="B873" s="23"/>
      <c r="C873" s="23"/>
      <c r="F873" s="23"/>
    </row>
    <row r="874" ht="15.75" customHeight="1">
      <c r="A874" s="23"/>
      <c r="B874" s="23"/>
      <c r="C874" s="23"/>
      <c r="F874" s="23"/>
    </row>
    <row r="875" ht="15.75" customHeight="1">
      <c r="A875" s="23"/>
      <c r="B875" s="23"/>
      <c r="C875" s="23"/>
      <c r="F875" s="23"/>
    </row>
    <row r="876" ht="15.75" customHeight="1">
      <c r="A876" s="23"/>
      <c r="B876" s="23"/>
      <c r="C876" s="23"/>
      <c r="F876" s="23"/>
    </row>
    <row r="877" ht="15.75" customHeight="1">
      <c r="A877" s="23"/>
      <c r="B877" s="23"/>
      <c r="C877" s="23"/>
      <c r="F877" s="23"/>
    </row>
    <row r="878" ht="15.75" customHeight="1">
      <c r="A878" s="23"/>
      <c r="B878" s="23"/>
      <c r="C878" s="23"/>
      <c r="F878" s="23"/>
    </row>
    <row r="879" ht="15.75" customHeight="1">
      <c r="A879" s="23"/>
      <c r="B879" s="23"/>
      <c r="C879" s="23"/>
      <c r="F879" s="23"/>
    </row>
    <row r="880" ht="15.75" customHeight="1">
      <c r="A880" s="23"/>
      <c r="B880" s="23"/>
      <c r="C880" s="23"/>
      <c r="F880" s="23"/>
    </row>
    <row r="881" ht="15.75" customHeight="1">
      <c r="A881" s="23"/>
      <c r="B881" s="23"/>
      <c r="C881" s="23"/>
      <c r="F881" s="23"/>
    </row>
    <row r="882" ht="15.75" customHeight="1">
      <c r="A882" s="23"/>
      <c r="B882" s="23"/>
      <c r="C882" s="23"/>
      <c r="F882" s="23"/>
    </row>
    <row r="883" ht="15.75" customHeight="1">
      <c r="A883" s="23"/>
      <c r="B883" s="23"/>
      <c r="C883" s="23"/>
      <c r="F883" s="23"/>
    </row>
    <row r="884" ht="15.75" customHeight="1">
      <c r="A884" s="23"/>
      <c r="B884" s="23"/>
      <c r="C884" s="23"/>
      <c r="F884" s="23"/>
    </row>
    <row r="885" ht="15.75" customHeight="1">
      <c r="A885" s="23"/>
      <c r="B885" s="23"/>
      <c r="C885" s="23"/>
      <c r="F885" s="23"/>
    </row>
    <row r="886" ht="15.75" customHeight="1">
      <c r="A886" s="23"/>
      <c r="B886" s="23"/>
      <c r="C886" s="23"/>
      <c r="F886" s="23"/>
    </row>
    <row r="887" ht="15.75" customHeight="1">
      <c r="A887" s="23"/>
      <c r="B887" s="23"/>
      <c r="C887" s="23"/>
      <c r="F887" s="23"/>
    </row>
    <row r="888" ht="15.75" customHeight="1">
      <c r="A888" s="23"/>
      <c r="B888" s="23"/>
      <c r="C888" s="23"/>
      <c r="F888" s="23"/>
    </row>
    <row r="889" ht="15.75" customHeight="1">
      <c r="A889" s="23"/>
      <c r="B889" s="23"/>
      <c r="C889" s="23"/>
      <c r="F889" s="23"/>
    </row>
    <row r="890" ht="15.75" customHeight="1">
      <c r="A890" s="23"/>
      <c r="B890" s="23"/>
      <c r="C890" s="23"/>
      <c r="F890" s="23"/>
    </row>
    <row r="891" ht="15.75" customHeight="1">
      <c r="A891" s="23"/>
      <c r="B891" s="23"/>
      <c r="C891" s="23"/>
      <c r="F891" s="23"/>
    </row>
    <row r="892" ht="15.75" customHeight="1">
      <c r="A892" s="23"/>
      <c r="B892" s="23"/>
      <c r="C892" s="23"/>
      <c r="F892" s="23"/>
    </row>
    <row r="893" ht="15.75" customHeight="1">
      <c r="A893" s="23"/>
      <c r="B893" s="23"/>
      <c r="C893" s="23"/>
      <c r="F893" s="23"/>
    </row>
    <row r="894" ht="15.75" customHeight="1">
      <c r="A894" s="23"/>
      <c r="B894" s="23"/>
      <c r="C894" s="23"/>
      <c r="F894" s="23"/>
    </row>
    <row r="895" ht="15.75" customHeight="1">
      <c r="A895" s="23"/>
      <c r="B895" s="23"/>
      <c r="C895" s="23"/>
      <c r="F895" s="23"/>
    </row>
    <row r="896" ht="15.75" customHeight="1">
      <c r="A896" s="23"/>
      <c r="B896" s="23"/>
      <c r="C896" s="23"/>
      <c r="F896" s="23"/>
    </row>
    <row r="897" ht="15.75" customHeight="1">
      <c r="A897" s="23"/>
      <c r="B897" s="23"/>
      <c r="C897" s="23"/>
      <c r="F897" s="23"/>
    </row>
    <row r="898" ht="15.75" customHeight="1">
      <c r="A898" s="23"/>
      <c r="B898" s="23"/>
      <c r="C898" s="23"/>
      <c r="F898" s="23"/>
    </row>
    <row r="899" ht="15.75" customHeight="1">
      <c r="A899" s="23"/>
      <c r="B899" s="23"/>
      <c r="C899" s="23"/>
      <c r="F899" s="23"/>
    </row>
    <row r="900" ht="15.75" customHeight="1">
      <c r="A900" s="23"/>
      <c r="B900" s="23"/>
      <c r="C900" s="23"/>
      <c r="F900" s="23"/>
    </row>
    <row r="901" ht="15.75" customHeight="1">
      <c r="A901" s="23"/>
      <c r="B901" s="23"/>
      <c r="C901" s="23"/>
      <c r="F901" s="23"/>
    </row>
    <row r="902" ht="15.75" customHeight="1">
      <c r="A902" s="23"/>
      <c r="B902" s="23"/>
      <c r="C902" s="23"/>
      <c r="F902" s="23"/>
    </row>
    <row r="903" ht="15.75" customHeight="1">
      <c r="A903" s="23"/>
      <c r="B903" s="23"/>
      <c r="C903" s="23"/>
      <c r="F903" s="23"/>
    </row>
    <row r="904" ht="15.75" customHeight="1">
      <c r="A904" s="23"/>
      <c r="B904" s="23"/>
      <c r="C904" s="23"/>
      <c r="F904" s="23"/>
    </row>
    <row r="905" ht="15.75" customHeight="1">
      <c r="A905" s="23"/>
      <c r="B905" s="23"/>
      <c r="C905" s="23"/>
      <c r="F905" s="23"/>
    </row>
    <row r="906" ht="15.75" customHeight="1">
      <c r="A906" s="23"/>
      <c r="B906" s="23"/>
      <c r="C906" s="23"/>
      <c r="F906" s="23"/>
    </row>
    <row r="907" ht="15.75" customHeight="1">
      <c r="A907" s="23"/>
      <c r="B907" s="23"/>
      <c r="C907" s="23"/>
      <c r="F907" s="23"/>
    </row>
    <row r="908" ht="15.75" customHeight="1">
      <c r="A908" s="23"/>
      <c r="B908" s="23"/>
      <c r="C908" s="23"/>
      <c r="F908" s="23"/>
    </row>
    <row r="909" ht="15.75" customHeight="1">
      <c r="A909" s="23"/>
      <c r="B909" s="23"/>
      <c r="C909" s="23"/>
      <c r="F909" s="23"/>
    </row>
    <row r="910" ht="15.75" customHeight="1">
      <c r="A910" s="23"/>
      <c r="B910" s="23"/>
      <c r="C910" s="23"/>
      <c r="F910" s="23"/>
    </row>
    <row r="911" ht="15.75" customHeight="1">
      <c r="A911" s="23"/>
      <c r="B911" s="23"/>
      <c r="C911" s="23"/>
      <c r="F911" s="23"/>
    </row>
    <row r="912" ht="15.75" customHeight="1">
      <c r="A912" s="23"/>
      <c r="B912" s="23"/>
      <c r="C912" s="23"/>
      <c r="F912" s="23"/>
    </row>
    <row r="913" ht="15.75" customHeight="1">
      <c r="A913" s="23"/>
      <c r="B913" s="23"/>
      <c r="C913" s="23"/>
      <c r="F913" s="23"/>
    </row>
    <row r="914" ht="15.75" customHeight="1">
      <c r="A914" s="23"/>
      <c r="B914" s="23"/>
      <c r="C914" s="23"/>
      <c r="F914" s="23"/>
    </row>
    <row r="915" ht="15.75" customHeight="1">
      <c r="A915" s="23"/>
      <c r="B915" s="23"/>
      <c r="C915" s="23"/>
      <c r="F915" s="23"/>
    </row>
    <row r="916" ht="15.75" customHeight="1">
      <c r="A916" s="23"/>
      <c r="B916" s="23"/>
      <c r="C916" s="23"/>
      <c r="F916" s="23"/>
    </row>
    <row r="917" ht="15.75" customHeight="1">
      <c r="A917" s="23"/>
      <c r="B917" s="23"/>
      <c r="C917" s="23"/>
      <c r="F917" s="23"/>
    </row>
    <row r="918" ht="15.75" customHeight="1">
      <c r="A918" s="23"/>
      <c r="B918" s="23"/>
      <c r="C918" s="23"/>
      <c r="F918" s="23"/>
    </row>
    <row r="919" ht="15.75" customHeight="1">
      <c r="A919" s="23"/>
      <c r="B919" s="23"/>
      <c r="C919" s="23"/>
      <c r="F919" s="23"/>
    </row>
    <row r="920" ht="15.75" customHeight="1">
      <c r="A920" s="23"/>
      <c r="B920" s="23"/>
      <c r="C920" s="23"/>
      <c r="F920" s="23"/>
    </row>
    <row r="921" ht="15.75" customHeight="1">
      <c r="A921" s="23"/>
      <c r="B921" s="23"/>
      <c r="C921" s="23"/>
      <c r="F921" s="23"/>
    </row>
    <row r="922" ht="15.75" customHeight="1">
      <c r="A922" s="23"/>
      <c r="B922" s="23"/>
      <c r="C922" s="23"/>
      <c r="F922" s="23"/>
    </row>
    <row r="923" ht="15.75" customHeight="1">
      <c r="A923" s="23"/>
      <c r="B923" s="23"/>
      <c r="C923" s="23"/>
      <c r="F923" s="23"/>
    </row>
    <row r="924" ht="15.75" customHeight="1">
      <c r="A924" s="23"/>
      <c r="B924" s="23"/>
      <c r="C924" s="23"/>
      <c r="F924" s="23"/>
    </row>
    <row r="925" ht="15.75" customHeight="1">
      <c r="A925" s="23"/>
      <c r="B925" s="23"/>
      <c r="C925" s="23"/>
      <c r="F925" s="23"/>
    </row>
    <row r="926" ht="15.75" customHeight="1">
      <c r="A926" s="23"/>
      <c r="B926" s="23"/>
      <c r="C926" s="23"/>
      <c r="F926" s="23"/>
    </row>
    <row r="927" ht="15.75" customHeight="1">
      <c r="A927" s="23"/>
      <c r="B927" s="23"/>
      <c r="C927" s="23"/>
      <c r="F927" s="23"/>
    </row>
    <row r="928" ht="15.75" customHeight="1">
      <c r="A928" s="23"/>
      <c r="B928" s="23"/>
      <c r="C928" s="23"/>
      <c r="F928" s="23"/>
    </row>
    <row r="929" ht="15.75" customHeight="1">
      <c r="A929" s="23"/>
      <c r="B929" s="23"/>
      <c r="C929" s="23"/>
      <c r="F929" s="23"/>
    </row>
    <row r="930" ht="15.75" customHeight="1">
      <c r="A930" s="23"/>
      <c r="B930" s="23"/>
      <c r="C930" s="23"/>
      <c r="F930" s="23"/>
    </row>
    <row r="931" ht="15.75" customHeight="1">
      <c r="A931" s="23"/>
      <c r="B931" s="23"/>
      <c r="C931" s="23"/>
      <c r="F931" s="23"/>
    </row>
    <row r="932" ht="15.75" customHeight="1">
      <c r="A932" s="23"/>
      <c r="B932" s="23"/>
      <c r="C932" s="23"/>
      <c r="F932" s="23"/>
    </row>
    <row r="933" ht="15.75" customHeight="1">
      <c r="A933" s="23"/>
      <c r="B933" s="23"/>
      <c r="C933" s="23"/>
      <c r="F933" s="23"/>
    </row>
    <row r="934" ht="15.75" customHeight="1">
      <c r="A934" s="23"/>
      <c r="B934" s="23"/>
      <c r="C934" s="23"/>
      <c r="F934" s="23"/>
    </row>
    <row r="935" ht="15.75" customHeight="1">
      <c r="A935" s="23"/>
      <c r="B935" s="23"/>
      <c r="C935" s="23"/>
      <c r="F935" s="23"/>
    </row>
    <row r="936" ht="15.75" customHeight="1">
      <c r="A936" s="23"/>
      <c r="B936" s="23"/>
      <c r="C936" s="23"/>
      <c r="F936" s="23"/>
    </row>
    <row r="937" ht="15.75" customHeight="1">
      <c r="A937" s="23"/>
      <c r="B937" s="23"/>
      <c r="C937" s="23"/>
      <c r="F937" s="23"/>
    </row>
    <row r="938" ht="15.75" customHeight="1">
      <c r="A938" s="23"/>
      <c r="B938" s="23"/>
      <c r="C938" s="23"/>
      <c r="F938" s="23"/>
    </row>
    <row r="939" ht="15.75" customHeight="1">
      <c r="A939" s="23"/>
      <c r="B939" s="23"/>
      <c r="C939" s="23"/>
      <c r="F939" s="23"/>
    </row>
    <row r="940" ht="15.75" customHeight="1">
      <c r="A940" s="23"/>
      <c r="B940" s="23"/>
      <c r="C940" s="23"/>
      <c r="F940" s="23"/>
    </row>
    <row r="941" ht="15.75" customHeight="1">
      <c r="A941" s="23"/>
      <c r="B941" s="23"/>
      <c r="C941" s="23"/>
      <c r="F941" s="23"/>
    </row>
    <row r="942" ht="15.75" customHeight="1">
      <c r="A942" s="23"/>
      <c r="B942" s="23"/>
      <c r="C942" s="23"/>
      <c r="F942" s="23"/>
    </row>
    <row r="943" ht="15.75" customHeight="1">
      <c r="A943" s="23"/>
      <c r="B943" s="23"/>
      <c r="C943" s="23"/>
      <c r="F943" s="23"/>
    </row>
    <row r="944" ht="15.75" customHeight="1">
      <c r="A944" s="23"/>
      <c r="B944" s="23"/>
      <c r="C944" s="23"/>
      <c r="F944" s="23"/>
    </row>
    <row r="945" ht="15.75" customHeight="1">
      <c r="A945" s="23"/>
      <c r="B945" s="23"/>
      <c r="C945" s="23"/>
      <c r="F945" s="23"/>
    </row>
    <row r="946" ht="15.75" customHeight="1">
      <c r="A946" s="23"/>
      <c r="B946" s="23"/>
      <c r="C946" s="23"/>
      <c r="F946" s="23"/>
    </row>
    <row r="947" ht="15.75" customHeight="1">
      <c r="A947" s="23"/>
      <c r="B947" s="23"/>
      <c r="C947" s="23"/>
      <c r="F947" s="23"/>
    </row>
    <row r="948" ht="15.75" customHeight="1">
      <c r="A948" s="23"/>
      <c r="B948" s="23"/>
      <c r="C948" s="23"/>
      <c r="F948" s="23"/>
    </row>
    <row r="949" ht="15.75" customHeight="1">
      <c r="A949" s="23"/>
      <c r="B949" s="23"/>
      <c r="C949" s="23"/>
      <c r="F949" s="23"/>
    </row>
    <row r="950" ht="15.75" customHeight="1">
      <c r="A950" s="23"/>
      <c r="B950" s="23"/>
      <c r="C950" s="23"/>
      <c r="F950" s="23"/>
    </row>
    <row r="951" ht="15.75" customHeight="1">
      <c r="A951" s="23"/>
      <c r="B951" s="23"/>
      <c r="C951" s="23"/>
      <c r="F951" s="23"/>
    </row>
    <row r="952" ht="15.75" customHeight="1">
      <c r="A952" s="23"/>
      <c r="B952" s="23"/>
      <c r="C952" s="23"/>
      <c r="F952" s="23"/>
    </row>
    <row r="953" ht="15.75" customHeight="1">
      <c r="A953" s="23"/>
      <c r="B953" s="23"/>
      <c r="C953" s="23"/>
      <c r="F953" s="23"/>
    </row>
    <row r="954" ht="15.75" customHeight="1">
      <c r="A954" s="23"/>
      <c r="B954" s="23"/>
      <c r="C954" s="23"/>
      <c r="F954" s="23"/>
    </row>
    <row r="955" ht="15.75" customHeight="1">
      <c r="A955" s="23"/>
      <c r="B955" s="23"/>
      <c r="C955" s="23"/>
      <c r="F955" s="23"/>
    </row>
    <row r="956" ht="15.75" customHeight="1">
      <c r="A956" s="23"/>
      <c r="B956" s="23"/>
      <c r="C956" s="23"/>
      <c r="F956" s="23"/>
    </row>
    <row r="957" ht="15.75" customHeight="1">
      <c r="A957" s="23"/>
      <c r="B957" s="23"/>
      <c r="C957" s="23"/>
      <c r="F957" s="23"/>
    </row>
    <row r="958" ht="15.75" customHeight="1">
      <c r="A958" s="23"/>
      <c r="B958" s="23"/>
      <c r="C958" s="23"/>
      <c r="F958" s="23"/>
    </row>
    <row r="959" ht="15.75" customHeight="1">
      <c r="A959" s="23"/>
      <c r="B959" s="23"/>
      <c r="C959" s="23"/>
      <c r="F959" s="23"/>
    </row>
    <row r="960" ht="15.75" customHeight="1">
      <c r="A960" s="23"/>
      <c r="B960" s="23"/>
      <c r="C960" s="23"/>
      <c r="F960" s="23"/>
    </row>
    <row r="961" ht="15.75" customHeight="1">
      <c r="A961" s="23"/>
      <c r="B961" s="23"/>
      <c r="C961" s="23"/>
      <c r="F961" s="23"/>
    </row>
    <row r="962" ht="15.75" customHeight="1">
      <c r="A962" s="23"/>
      <c r="B962" s="23"/>
      <c r="C962" s="23"/>
      <c r="F962" s="23"/>
    </row>
    <row r="963" ht="15.75" customHeight="1">
      <c r="A963" s="23"/>
      <c r="B963" s="23"/>
      <c r="C963" s="23"/>
      <c r="F963" s="23"/>
    </row>
    <row r="964" ht="15.75" customHeight="1">
      <c r="A964" s="23"/>
      <c r="B964" s="23"/>
      <c r="C964" s="23"/>
      <c r="F964" s="23"/>
    </row>
    <row r="965" ht="15.75" customHeight="1">
      <c r="A965" s="23"/>
      <c r="B965" s="23"/>
      <c r="C965" s="23"/>
      <c r="F965" s="23"/>
    </row>
    <row r="966" ht="15.75" customHeight="1">
      <c r="A966" s="23"/>
      <c r="B966" s="23"/>
      <c r="C966" s="23"/>
      <c r="F966" s="23"/>
    </row>
    <row r="967" ht="15.75" customHeight="1">
      <c r="A967" s="23"/>
      <c r="B967" s="23"/>
      <c r="C967" s="23"/>
      <c r="F967" s="23"/>
    </row>
    <row r="968" ht="15.75" customHeight="1">
      <c r="A968" s="23"/>
      <c r="B968" s="23"/>
      <c r="C968" s="23"/>
      <c r="F968" s="23"/>
    </row>
    <row r="969" ht="15.75" customHeight="1">
      <c r="A969" s="23"/>
      <c r="B969" s="23"/>
      <c r="C969" s="23"/>
      <c r="F969" s="23"/>
    </row>
    <row r="970" ht="15.75" customHeight="1">
      <c r="A970" s="23"/>
      <c r="B970" s="23"/>
      <c r="C970" s="23"/>
      <c r="F970" s="23"/>
    </row>
    <row r="971" ht="15.75" customHeight="1">
      <c r="A971" s="23"/>
      <c r="B971" s="23"/>
      <c r="C971" s="23"/>
      <c r="F971" s="23"/>
    </row>
    <row r="972" ht="15.75" customHeight="1">
      <c r="A972" s="23"/>
      <c r="B972" s="23"/>
      <c r="C972" s="23"/>
      <c r="F972" s="23"/>
    </row>
    <row r="973" ht="15.75" customHeight="1">
      <c r="A973" s="23"/>
      <c r="B973" s="23"/>
      <c r="C973" s="23"/>
      <c r="F973" s="23"/>
    </row>
    <row r="974" ht="15.75" customHeight="1">
      <c r="A974" s="23"/>
      <c r="B974" s="23"/>
      <c r="C974" s="23"/>
      <c r="F974" s="23"/>
    </row>
    <row r="975" ht="15.75" customHeight="1">
      <c r="A975" s="23"/>
      <c r="B975" s="23"/>
      <c r="C975" s="23"/>
      <c r="F975" s="23"/>
    </row>
    <row r="976" ht="15.75" customHeight="1">
      <c r="A976" s="23"/>
      <c r="B976" s="23"/>
      <c r="C976" s="23"/>
      <c r="F976" s="23"/>
    </row>
    <row r="977" ht="15.75" customHeight="1">
      <c r="A977" s="23"/>
      <c r="B977" s="23"/>
      <c r="C977" s="23"/>
      <c r="F977" s="23"/>
    </row>
    <row r="978" ht="15.75" customHeight="1">
      <c r="A978" s="23"/>
      <c r="B978" s="23"/>
      <c r="C978" s="23"/>
      <c r="F978" s="23"/>
    </row>
    <row r="979" ht="15.75" customHeight="1">
      <c r="A979" s="23"/>
      <c r="B979" s="23"/>
      <c r="C979" s="23"/>
      <c r="F979" s="23"/>
    </row>
    <row r="980" ht="15.75" customHeight="1">
      <c r="A980" s="23"/>
      <c r="B980" s="23"/>
      <c r="C980" s="23"/>
      <c r="F980" s="23"/>
    </row>
    <row r="981" ht="15.75" customHeight="1">
      <c r="A981" s="23"/>
      <c r="B981" s="23"/>
      <c r="C981" s="23"/>
      <c r="F981" s="23"/>
    </row>
    <row r="982" ht="15.75" customHeight="1">
      <c r="A982" s="23"/>
      <c r="B982" s="23"/>
      <c r="C982" s="23"/>
      <c r="F982" s="23"/>
    </row>
    <row r="983" ht="15.75" customHeight="1">
      <c r="A983" s="23"/>
      <c r="B983" s="23"/>
      <c r="C983" s="23"/>
      <c r="F983" s="23"/>
    </row>
    <row r="984" ht="15.75" customHeight="1">
      <c r="A984" s="23"/>
      <c r="B984" s="23"/>
      <c r="C984" s="23"/>
      <c r="F984" s="23"/>
    </row>
    <row r="985" ht="15.75" customHeight="1">
      <c r="A985" s="23"/>
      <c r="B985" s="23"/>
      <c r="C985" s="23"/>
      <c r="F985" s="23"/>
    </row>
    <row r="986" ht="15.75" customHeight="1">
      <c r="A986" s="23"/>
      <c r="B986" s="23"/>
      <c r="C986" s="23"/>
      <c r="F986" s="23"/>
    </row>
    <row r="987" ht="15.75" customHeight="1">
      <c r="A987" s="23"/>
      <c r="B987" s="23"/>
      <c r="C987" s="23"/>
      <c r="F987" s="23"/>
    </row>
    <row r="988" ht="15.75" customHeight="1">
      <c r="A988" s="23"/>
      <c r="B988" s="23"/>
      <c r="C988" s="23"/>
      <c r="F988" s="23"/>
    </row>
    <row r="989" ht="15.75" customHeight="1">
      <c r="A989" s="23"/>
      <c r="B989" s="23"/>
      <c r="C989" s="23"/>
      <c r="F989" s="23"/>
    </row>
    <row r="990" ht="15.75" customHeight="1">
      <c r="A990" s="23"/>
      <c r="B990" s="23"/>
      <c r="C990" s="23"/>
      <c r="F990" s="23"/>
    </row>
    <row r="991" ht="15.75" customHeight="1">
      <c r="A991" s="23"/>
      <c r="B991" s="23"/>
      <c r="C991" s="23"/>
      <c r="F991" s="23"/>
    </row>
    <row r="992" ht="15.75" customHeight="1">
      <c r="A992" s="23"/>
      <c r="B992" s="23"/>
      <c r="C992" s="23"/>
      <c r="F992" s="23"/>
    </row>
    <row r="993" ht="15.75" customHeight="1">
      <c r="A993" s="23"/>
      <c r="B993" s="23"/>
      <c r="C993" s="23"/>
      <c r="F993" s="23"/>
    </row>
    <row r="994" ht="15.75" customHeight="1">
      <c r="A994" s="23"/>
      <c r="B994" s="23"/>
      <c r="C994" s="23"/>
      <c r="F994" s="23"/>
    </row>
    <row r="995" ht="15.75" customHeight="1">
      <c r="A995" s="23"/>
      <c r="B995" s="23"/>
      <c r="C995" s="23"/>
      <c r="F995" s="23"/>
    </row>
    <row r="996" ht="15.75" customHeight="1">
      <c r="A996" s="23"/>
      <c r="B996" s="23"/>
      <c r="C996" s="23"/>
      <c r="F996" s="23"/>
    </row>
    <row r="997" ht="15.75" customHeight="1">
      <c r="A997" s="23"/>
      <c r="B997" s="23"/>
      <c r="C997" s="23"/>
      <c r="F997" s="23"/>
    </row>
    <row r="998" ht="15.75" customHeight="1">
      <c r="A998" s="23"/>
      <c r="B998" s="23"/>
      <c r="C998" s="23"/>
      <c r="F998" s="23"/>
    </row>
    <row r="999" ht="15.75" customHeight="1">
      <c r="A999" s="23"/>
      <c r="B999" s="23"/>
      <c r="C999" s="23"/>
      <c r="F999" s="23"/>
    </row>
    <row r="1000" ht="15.75" customHeight="1">
      <c r="A1000" s="23"/>
      <c r="B1000" s="23"/>
      <c r="C1000" s="23"/>
      <c r="F1000" s="23"/>
    </row>
  </sheetData>
  <dataValidations>
    <dataValidation type="list" allowBlank="1" sqref="B3:B22">
      <formula1>"CEO,CTO,Engineer,Support,Customer success,Sales,Marketing,Not Applicable"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3.63"/>
    <col customWidth="1" min="3" max="14" width="10.88"/>
  </cols>
  <sheetData>
    <row r="1" ht="15.75" customHeight="1">
      <c r="A1" s="43"/>
      <c r="B1" s="43"/>
      <c r="C1" s="50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  <c r="O1" s="50" t="s">
        <v>1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2"/>
    </row>
    <row r="2" ht="15.75" customHeight="1">
      <c r="A2" s="43" t="s">
        <v>52</v>
      </c>
      <c r="B2" s="43"/>
      <c r="C2" s="53">
        <v>42736.0</v>
      </c>
      <c r="D2" s="54">
        <v>42767.0</v>
      </c>
      <c r="E2" s="54">
        <v>42795.0</v>
      </c>
      <c r="F2" s="54">
        <v>42826.0</v>
      </c>
      <c r="G2" s="54">
        <v>42856.0</v>
      </c>
      <c r="H2" s="54">
        <v>42887.0</v>
      </c>
      <c r="I2" s="54">
        <v>42917.0</v>
      </c>
      <c r="J2" s="54">
        <v>42948.0</v>
      </c>
      <c r="K2" s="54">
        <v>42979.0</v>
      </c>
      <c r="L2" s="54">
        <v>43009.0</v>
      </c>
      <c r="M2" s="54">
        <v>43040.0</v>
      </c>
      <c r="N2" s="55">
        <v>43070.0</v>
      </c>
      <c r="O2" s="53">
        <v>43101.0</v>
      </c>
      <c r="P2" s="54">
        <v>43132.0</v>
      </c>
      <c r="Q2" s="54">
        <v>43160.0</v>
      </c>
      <c r="R2" s="54">
        <v>43191.0</v>
      </c>
      <c r="S2" s="54">
        <v>43221.0</v>
      </c>
      <c r="T2" s="54">
        <v>43252.0</v>
      </c>
      <c r="U2" s="54">
        <v>43282.0</v>
      </c>
      <c r="V2" s="54">
        <v>43313.0</v>
      </c>
      <c r="W2" s="54">
        <v>43344.0</v>
      </c>
      <c r="X2" s="54">
        <v>43374.0</v>
      </c>
      <c r="Y2" s="54">
        <v>43405.0</v>
      </c>
      <c r="Z2" s="55">
        <v>43435.0</v>
      </c>
    </row>
    <row r="3" ht="15.75" customHeight="1">
      <c r="A3" s="43" t="s">
        <v>53</v>
      </c>
      <c r="B3" s="43"/>
      <c r="C3" s="56">
        <v>1.0</v>
      </c>
      <c r="D3" s="43">
        <v>2.0</v>
      </c>
      <c r="E3" s="43">
        <v>3.0</v>
      </c>
      <c r="F3" s="43">
        <v>4.0</v>
      </c>
      <c r="G3" s="43">
        <v>5.0</v>
      </c>
      <c r="H3" s="43">
        <v>6.0</v>
      </c>
      <c r="I3" s="43">
        <v>7.0</v>
      </c>
      <c r="J3" s="43">
        <v>8.0</v>
      </c>
      <c r="K3" s="43">
        <v>9.0</v>
      </c>
      <c r="L3" s="43">
        <v>10.0</v>
      </c>
      <c r="M3" s="43">
        <v>11.0</v>
      </c>
      <c r="N3" s="57">
        <v>12.0</v>
      </c>
      <c r="O3" s="56">
        <v>13.0</v>
      </c>
      <c r="P3" s="43">
        <v>14.0</v>
      </c>
      <c r="Q3" s="43">
        <v>15.0</v>
      </c>
      <c r="R3" s="43">
        <v>16.0</v>
      </c>
      <c r="S3" s="43">
        <v>17.0</v>
      </c>
      <c r="T3" s="43">
        <v>18.0</v>
      </c>
      <c r="U3" s="43">
        <v>19.0</v>
      </c>
      <c r="V3" s="43">
        <v>20.0</v>
      </c>
      <c r="W3" s="43">
        <v>21.0</v>
      </c>
      <c r="X3" s="43">
        <v>22.0</v>
      </c>
      <c r="Y3" s="43">
        <v>23.0</v>
      </c>
      <c r="Z3" s="57">
        <v>24.0</v>
      </c>
    </row>
    <row r="4" ht="15.75" customHeight="1">
      <c r="A4" s="58" t="s">
        <v>54</v>
      </c>
    </row>
    <row r="5" ht="9.0" customHeight="1">
      <c r="A5" s="42"/>
      <c r="B5" s="42"/>
      <c r="C5" s="56"/>
      <c r="D5" s="23"/>
      <c r="E5" s="23"/>
      <c r="F5" s="23"/>
      <c r="G5" s="23"/>
      <c r="H5" s="23"/>
      <c r="I5" s="23"/>
      <c r="J5" s="23"/>
      <c r="K5" s="23"/>
      <c r="L5" s="23"/>
      <c r="M5" s="23"/>
      <c r="N5" s="57"/>
      <c r="O5" s="56"/>
      <c r="Z5" s="57"/>
    </row>
    <row r="6" ht="15.75" customHeight="1">
      <c r="A6" s="42" t="s">
        <v>55</v>
      </c>
      <c r="B6" s="42"/>
      <c r="C6" s="56"/>
      <c r="D6" s="23"/>
      <c r="E6" s="23"/>
      <c r="F6" s="23"/>
      <c r="G6" s="23"/>
      <c r="H6" s="23"/>
      <c r="I6" s="23"/>
      <c r="J6" s="23"/>
      <c r="K6" s="23"/>
      <c r="L6" s="23"/>
      <c r="M6" s="23"/>
      <c r="N6" s="57"/>
      <c r="O6" s="56"/>
      <c r="Z6" s="57"/>
    </row>
    <row r="7" ht="15.75" customHeight="1">
      <c r="A7" s="43"/>
      <c r="B7" s="43" t="s">
        <v>56</v>
      </c>
      <c r="C7" s="59">
        <f>'Growth Hypotheses (1)'!B3</f>
        <v>2500</v>
      </c>
      <c r="D7" s="60">
        <f>'Growth Hypotheses (1)'!B3</f>
        <v>2500</v>
      </c>
      <c r="E7" s="60">
        <f>'Growth Hypotheses (1)'!B3</f>
        <v>2500</v>
      </c>
      <c r="F7" s="60">
        <f>'Growth Hypotheses (1)'!C3</f>
        <v>2500</v>
      </c>
      <c r="G7" s="60">
        <f>'Growth Hypotheses (1)'!C3</f>
        <v>2500</v>
      </c>
      <c r="H7" s="60">
        <f>'Growth Hypotheses (1)'!C3</f>
        <v>2500</v>
      </c>
      <c r="I7" s="60">
        <f>'Growth Hypotheses (1)'!D3</f>
        <v>2500</v>
      </c>
      <c r="J7" s="60">
        <f>'Growth Hypotheses (1)'!D3</f>
        <v>2500</v>
      </c>
      <c r="K7" s="60">
        <f>'Growth Hypotheses (1)'!D3</f>
        <v>2500</v>
      </c>
      <c r="L7" s="60">
        <f>'Growth Hypotheses (1)'!E3</f>
        <v>2500</v>
      </c>
      <c r="M7" s="60">
        <f>'Growth Hypotheses (1)'!E3</f>
        <v>2500</v>
      </c>
      <c r="N7" s="61">
        <f>'Growth Hypotheses (1)'!E3</f>
        <v>2500</v>
      </c>
      <c r="O7" s="59">
        <f>'Growth Hypotheses (1)'!F3</f>
        <v>2900</v>
      </c>
      <c r="P7" s="60">
        <f>'Growth Hypotheses (1)'!F3</f>
        <v>2900</v>
      </c>
      <c r="Q7" s="60">
        <f>'Growth Hypotheses (1)'!F3</f>
        <v>2900</v>
      </c>
      <c r="R7" s="60">
        <f>'Growth Hypotheses (1)'!G3</f>
        <v>2900</v>
      </c>
      <c r="S7" s="60">
        <f>'Growth Hypotheses (1)'!G3</f>
        <v>2900</v>
      </c>
      <c r="T7" s="60">
        <f>'Growth Hypotheses (1)'!G3</f>
        <v>2900</v>
      </c>
      <c r="U7" s="60">
        <f>'Growth Hypotheses (1)'!H3</f>
        <v>2900</v>
      </c>
      <c r="V7" s="60">
        <f>'Growth Hypotheses (1)'!H3</f>
        <v>2900</v>
      </c>
      <c r="W7" s="60">
        <f>'Growth Hypotheses (1)'!H3</f>
        <v>2900</v>
      </c>
      <c r="X7" s="60">
        <f>'Growth Hypotheses (1)'!I3</f>
        <v>2900</v>
      </c>
      <c r="Y7" s="60">
        <f>'Growth Hypotheses (1)'!I3</f>
        <v>2900</v>
      </c>
      <c r="Z7" s="61">
        <f>'Growth Hypotheses (1)'!I3</f>
        <v>2900</v>
      </c>
    </row>
    <row r="8" ht="15.75" customHeight="1">
      <c r="A8" s="62"/>
      <c r="B8" s="62" t="s">
        <v>57</v>
      </c>
      <c r="C8" s="63">
        <f>'Growth Hypotheses (1)'!B8+('Growth Hypotheses (1)'!B8*'Growth Hypotheses (1)'!B4)</f>
        <v>1.15</v>
      </c>
      <c r="D8" s="62">
        <f>C8+(C8*'Growth Hypotheses (1)'!B4)</f>
        <v>1.3225</v>
      </c>
      <c r="E8" s="62">
        <f>D8+(D8*'Growth Hypotheses (1)'!B4)</f>
        <v>1.520875</v>
      </c>
      <c r="F8" s="62">
        <f>E8+(E8*'Growth Hypotheses (1)'!C4)</f>
        <v>1.70338</v>
      </c>
      <c r="G8" s="62">
        <f>F8+(F8*'Growth Hypotheses (1)'!C4)</f>
        <v>1.9077856</v>
      </c>
      <c r="H8" s="62">
        <f>G8+(G8*'Growth Hypotheses (1)'!C4)</f>
        <v>2.136719872</v>
      </c>
      <c r="I8" s="62">
        <f>H8+(H8*'Growth Hypotheses (1)'!D4)</f>
        <v>2.350391859</v>
      </c>
      <c r="J8" s="62">
        <f>I8+(I8*'Growth Hypotheses (1)'!D4)</f>
        <v>2.585431045</v>
      </c>
      <c r="K8" s="62">
        <f>J8+(J8*'Growth Hypotheses (1)'!D4)</f>
        <v>2.84397415</v>
      </c>
      <c r="L8" s="62">
        <f>K8+(K8*'Growth Hypotheses (1)'!E4)</f>
        <v>3.071492082</v>
      </c>
      <c r="M8" s="62">
        <f>L8+(L8*'Growth Hypotheses (1)'!E4)</f>
        <v>3.317211448</v>
      </c>
      <c r="N8" s="64">
        <f>M8+(M8*'Growth Hypotheses (1)'!E4)</f>
        <v>3.582588364</v>
      </c>
      <c r="O8" s="63">
        <f>N8+(N8*'Growth Hypotheses (1)'!F4)</f>
        <v>3.869195433</v>
      </c>
      <c r="P8" s="62">
        <f>O8+(O8*'Growth Hypotheses (1)'!F4)</f>
        <v>4.178731068</v>
      </c>
      <c r="Q8" s="62">
        <f>P8+(P8*'Growth Hypotheses (1)'!F4)</f>
        <v>4.513029553</v>
      </c>
      <c r="R8" s="62">
        <f>Q8+(Q8*'Growth Hypotheses (1)'!G4)</f>
        <v>4.828941622</v>
      </c>
      <c r="S8" s="62">
        <f>R8+(R8*'Growth Hypotheses (1)'!G4)</f>
        <v>5.166967535</v>
      </c>
      <c r="T8" s="62">
        <f>S8+(S8*'Growth Hypotheses (1)'!G4)</f>
        <v>5.528655263</v>
      </c>
      <c r="U8" s="62">
        <f>T8+(T8*'Growth Hypotheses (1)'!H4)</f>
        <v>5.860374579</v>
      </c>
      <c r="V8" s="62">
        <f>U8+(U8*'Growth Hypotheses (1)'!H4)</f>
        <v>6.211997053</v>
      </c>
      <c r="W8" s="62">
        <f>V8+(V8*'Growth Hypotheses (1)'!H4)</f>
        <v>6.584716877</v>
      </c>
      <c r="X8" s="62">
        <f>W8+(W8*'Growth Hypotheses (1)'!I4)</f>
        <v>6.91395272</v>
      </c>
      <c r="Y8" s="62">
        <f>X8+(X8*'Growth Hypotheses (1)'!I4)</f>
        <v>7.259650356</v>
      </c>
      <c r="Z8" s="64">
        <f>Y8+(Y8*'Growth Hypotheses (1)'!I4)</f>
        <v>7.622632874</v>
      </c>
    </row>
    <row r="9" ht="15.75" customHeight="1">
      <c r="A9" s="43"/>
      <c r="B9" s="43" t="s">
        <v>58</v>
      </c>
      <c r="C9" s="65">
        <f>'Growth Hypotheses (1)'!B5</f>
        <v>0.003</v>
      </c>
      <c r="D9" s="37">
        <f>'Growth Hypotheses (1)'!B5</f>
        <v>0.003</v>
      </c>
      <c r="E9" s="37">
        <f>'Growth Hypotheses (1)'!B5</f>
        <v>0.003</v>
      </c>
      <c r="F9" s="37">
        <f>'Growth Hypotheses (1)'!C5</f>
        <v>0.003</v>
      </c>
      <c r="G9" s="37">
        <f>'Growth Hypotheses (1)'!C5</f>
        <v>0.003</v>
      </c>
      <c r="H9" s="37">
        <f>'Growth Hypotheses (1)'!C5</f>
        <v>0.003</v>
      </c>
      <c r="I9" s="37">
        <f>'Growth Hypotheses (1)'!D5</f>
        <v>0.004</v>
      </c>
      <c r="J9" s="37">
        <f>'Growth Hypotheses (1)'!D5</f>
        <v>0.004</v>
      </c>
      <c r="K9" s="37">
        <f>'Growth Hypotheses (1)'!D5</f>
        <v>0.004</v>
      </c>
      <c r="L9" s="37">
        <f>'Growth Hypotheses (1)'!E5</f>
        <v>0.004</v>
      </c>
      <c r="M9" s="37">
        <f>'Growth Hypotheses (1)'!E5</f>
        <v>0.004</v>
      </c>
      <c r="N9" s="66">
        <f>'Growth Hypotheses (1)'!E5</f>
        <v>0.004</v>
      </c>
      <c r="O9" s="65">
        <f>'Growth Hypotheses (1)'!F5</f>
        <v>0.004</v>
      </c>
      <c r="P9" s="37">
        <f>'Growth Hypotheses (1)'!F5</f>
        <v>0.004</v>
      </c>
      <c r="Q9" s="37">
        <f>'Growth Hypotheses (1)'!F5</f>
        <v>0.004</v>
      </c>
      <c r="R9" s="37">
        <f>'Growth Hypotheses (1)'!G5</f>
        <v>0.004</v>
      </c>
      <c r="S9" s="37">
        <f>'Growth Hypotheses (1)'!G5</f>
        <v>0.004</v>
      </c>
      <c r="T9" s="37">
        <f>'Growth Hypotheses (1)'!G5</f>
        <v>0.004</v>
      </c>
      <c r="U9" s="37">
        <f>'Growth Hypotheses (1)'!H5</f>
        <v>0.004</v>
      </c>
      <c r="V9" s="37">
        <f>'Growth Hypotheses (1)'!H5</f>
        <v>0.004</v>
      </c>
      <c r="W9" s="37">
        <f>'Growth Hypotheses (1)'!H5</f>
        <v>0.004</v>
      </c>
      <c r="X9" s="37">
        <f>'Growth Hypotheses (1)'!I5</f>
        <v>0.004</v>
      </c>
      <c r="Y9" s="37">
        <f>'Growth Hypotheses (1)'!I5</f>
        <v>0.004</v>
      </c>
      <c r="Z9" s="66">
        <f>'Growth Hypotheses (1)'!I5</f>
        <v>0.004</v>
      </c>
    </row>
    <row r="10" ht="15.75" customHeight="1">
      <c r="A10" s="42" t="s">
        <v>59</v>
      </c>
      <c r="B10" s="43"/>
      <c r="C10" s="67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9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9"/>
    </row>
    <row r="11" ht="15.75" customHeight="1">
      <c r="A11" s="60"/>
      <c r="B11" s="60" t="s">
        <v>60</v>
      </c>
      <c r="C11" s="70">
        <f t="shared" ref="C11:Z11" si="1">C8*C7</f>
        <v>2875</v>
      </c>
      <c r="D11" s="71">
        <f t="shared" si="1"/>
        <v>3306.25</v>
      </c>
      <c r="E11" s="71">
        <f t="shared" si="1"/>
        <v>3802.1875</v>
      </c>
      <c r="F11" s="71">
        <f t="shared" si="1"/>
        <v>4258.45</v>
      </c>
      <c r="G11" s="71">
        <f t="shared" si="1"/>
        <v>4769.464</v>
      </c>
      <c r="H11" s="71">
        <f t="shared" si="1"/>
        <v>5341.79968</v>
      </c>
      <c r="I11" s="71">
        <f t="shared" si="1"/>
        <v>5875.979648</v>
      </c>
      <c r="J11" s="71">
        <f t="shared" si="1"/>
        <v>6463.577613</v>
      </c>
      <c r="K11" s="71">
        <f t="shared" si="1"/>
        <v>7109.935374</v>
      </c>
      <c r="L11" s="71">
        <f t="shared" si="1"/>
        <v>7678.730204</v>
      </c>
      <c r="M11" s="71">
        <f t="shared" si="1"/>
        <v>8293.02862</v>
      </c>
      <c r="N11" s="72">
        <f t="shared" si="1"/>
        <v>8956.47091</v>
      </c>
      <c r="O11" s="70">
        <f t="shared" si="1"/>
        <v>11220.66676</v>
      </c>
      <c r="P11" s="71">
        <f t="shared" si="1"/>
        <v>12118.3201</v>
      </c>
      <c r="Q11" s="71">
        <f t="shared" si="1"/>
        <v>13087.7857</v>
      </c>
      <c r="R11" s="71">
        <f t="shared" si="1"/>
        <v>14003.9307</v>
      </c>
      <c r="S11" s="71">
        <f t="shared" si="1"/>
        <v>14984.20585</v>
      </c>
      <c r="T11" s="71">
        <f t="shared" si="1"/>
        <v>16033.10026</v>
      </c>
      <c r="U11" s="71">
        <f t="shared" si="1"/>
        <v>16995.08628</v>
      </c>
      <c r="V11" s="71">
        <f t="shared" si="1"/>
        <v>18014.79145</v>
      </c>
      <c r="W11" s="71">
        <f t="shared" si="1"/>
        <v>19095.67894</v>
      </c>
      <c r="X11" s="71">
        <f t="shared" si="1"/>
        <v>20050.46289</v>
      </c>
      <c r="Y11" s="71">
        <f t="shared" si="1"/>
        <v>21052.98603</v>
      </c>
      <c r="Z11" s="72">
        <f t="shared" si="1"/>
        <v>22105.63534</v>
      </c>
    </row>
    <row r="12" ht="15.75" customHeight="1">
      <c r="A12" s="60"/>
      <c r="B12" s="60" t="s">
        <v>61</v>
      </c>
      <c r="C12" s="73">
        <f t="shared" ref="C12:Z12" si="2">C13*C9</f>
        <v>7.5</v>
      </c>
      <c r="D12" s="74">
        <f t="shared" si="2"/>
        <v>16.1025</v>
      </c>
      <c r="E12" s="74">
        <f t="shared" si="2"/>
        <v>25.9729425</v>
      </c>
      <c r="F12" s="74">
        <f t="shared" si="2"/>
        <v>37.30158617</v>
      </c>
      <c r="G12" s="74">
        <f t="shared" si="2"/>
        <v>49.96503141</v>
      </c>
      <c r="H12" s="74">
        <f t="shared" si="2"/>
        <v>64.12352832</v>
      </c>
      <c r="I12" s="74">
        <f t="shared" si="2"/>
        <v>106.6087424</v>
      </c>
      <c r="J12" s="74">
        <f t="shared" si="2"/>
        <v>129.686226</v>
      </c>
      <c r="K12" s="74">
        <f t="shared" si="2"/>
        <v>155.0217915</v>
      </c>
      <c r="L12" s="74">
        <f t="shared" si="2"/>
        <v>182.8414459</v>
      </c>
      <c r="M12" s="74">
        <f t="shared" si="2"/>
        <v>212.8250009</v>
      </c>
      <c r="N12" s="75">
        <f t="shared" si="2"/>
        <v>245.1458154</v>
      </c>
      <c r="O12" s="73">
        <f t="shared" si="2"/>
        <v>279.9911158</v>
      </c>
      <c r="P12" s="74">
        <f t="shared" si="2"/>
        <v>323.7538183</v>
      </c>
      <c r="Q12" s="74">
        <f t="shared" si="2"/>
        <v>370.9320834</v>
      </c>
      <c r="R12" s="74">
        <f t="shared" si="2"/>
        <v>421.7994979</v>
      </c>
      <c r="S12" s="74">
        <f t="shared" si="2"/>
        <v>476.1280227</v>
      </c>
      <c r="T12" s="74">
        <f t="shared" si="2"/>
        <v>534.1603341</v>
      </c>
      <c r="U12" s="74">
        <f t="shared" si="2"/>
        <v>596.1560938</v>
      </c>
      <c r="V12" s="74">
        <f t="shared" si="2"/>
        <v>661.7518145</v>
      </c>
      <c r="W12" s="74">
        <f t="shared" si="2"/>
        <v>731.1639731</v>
      </c>
      <c r="X12" s="74">
        <f t="shared" si="2"/>
        <v>804.6220329</v>
      </c>
      <c r="Y12" s="74">
        <f t="shared" si="2"/>
        <v>881.6053964</v>
      </c>
      <c r="Z12" s="75">
        <f t="shared" si="2"/>
        <v>962.2909189</v>
      </c>
    </row>
    <row r="13" ht="15.75" customHeight="1">
      <c r="A13" s="60"/>
      <c r="B13" s="60" t="s">
        <v>62</v>
      </c>
      <c r="C13" s="59">
        <f>'Growth Hypotheses (1)'!B9</f>
        <v>2500</v>
      </c>
      <c r="D13" s="60">
        <f t="shared" ref="D13:Z13" si="3">C14</f>
        <v>5367.5</v>
      </c>
      <c r="E13" s="60">
        <f t="shared" si="3"/>
        <v>8657.6475</v>
      </c>
      <c r="F13" s="60">
        <f t="shared" si="3"/>
        <v>12433.86206</v>
      </c>
      <c r="G13" s="60">
        <f t="shared" si="3"/>
        <v>16655.01047</v>
      </c>
      <c r="H13" s="60">
        <f t="shared" si="3"/>
        <v>21374.50944</v>
      </c>
      <c r="I13" s="60">
        <f t="shared" si="3"/>
        <v>26652.18559</v>
      </c>
      <c r="J13" s="60">
        <f t="shared" si="3"/>
        <v>32421.5565</v>
      </c>
      <c r="K13" s="60">
        <f t="shared" si="3"/>
        <v>38755.44788</v>
      </c>
      <c r="L13" s="60">
        <f t="shared" si="3"/>
        <v>45710.36147</v>
      </c>
      <c r="M13" s="60">
        <f t="shared" si="3"/>
        <v>53206.25022</v>
      </c>
      <c r="N13" s="61">
        <f t="shared" si="3"/>
        <v>61286.45384</v>
      </c>
      <c r="O13" s="59">
        <f t="shared" si="3"/>
        <v>69997.77894</v>
      </c>
      <c r="P13" s="60">
        <f t="shared" si="3"/>
        <v>80938.45458</v>
      </c>
      <c r="Q13" s="60">
        <f t="shared" si="3"/>
        <v>92733.02086</v>
      </c>
      <c r="R13" s="60">
        <f t="shared" si="3"/>
        <v>105449.8745</v>
      </c>
      <c r="S13" s="60">
        <f t="shared" si="3"/>
        <v>119032.0057</v>
      </c>
      <c r="T13" s="60">
        <f t="shared" si="3"/>
        <v>133540.0835</v>
      </c>
      <c r="U13" s="60">
        <f t="shared" si="3"/>
        <v>149039.0234</v>
      </c>
      <c r="V13" s="60">
        <f t="shared" si="3"/>
        <v>165437.9536</v>
      </c>
      <c r="W13" s="60">
        <f t="shared" si="3"/>
        <v>182790.9933</v>
      </c>
      <c r="X13" s="60">
        <f t="shared" si="3"/>
        <v>201155.5082</v>
      </c>
      <c r="Y13" s="60">
        <f t="shared" si="3"/>
        <v>220401.3491</v>
      </c>
      <c r="Z13" s="61">
        <f t="shared" si="3"/>
        <v>240572.7297</v>
      </c>
    </row>
    <row r="14" ht="15.75" customHeight="1">
      <c r="A14" s="76"/>
      <c r="B14" s="76" t="s">
        <v>63</v>
      </c>
      <c r="C14" s="77">
        <f t="shared" ref="C14:Z14" si="4">C13+C11-C12</f>
        <v>5367.5</v>
      </c>
      <c r="D14" s="76">
        <f t="shared" si="4"/>
        <v>8657.6475</v>
      </c>
      <c r="E14" s="76">
        <f t="shared" si="4"/>
        <v>12433.86206</v>
      </c>
      <c r="F14" s="76">
        <f t="shared" si="4"/>
        <v>16655.01047</v>
      </c>
      <c r="G14" s="76">
        <f t="shared" si="4"/>
        <v>21374.50944</v>
      </c>
      <c r="H14" s="76">
        <f t="shared" si="4"/>
        <v>26652.18559</v>
      </c>
      <c r="I14" s="76">
        <f t="shared" si="4"/>
        <v>32421.5565</v>
      </c>
      <c r="J14" s="76">
        <f t="shared" si="4"/>
        <v>38755.44788</v>
      </c>
      <c r="K14" s="76">
        <f t="shared" si="4"/>
        <v>45710.36147</v>
      </c>
      <c r="L14" s="76">
        <f t="shared" si="4"/>
        <v>53206.25022</v>
      </c>
      <c r="M14" s="76">
        <f t="shared" si="4"/>
        <v>61286.45384</v>
      </c>
      <c r="N14" s="78">
        <f t="shared" si="4"/>
        <v>69997.77894</v>
      </c>
      <c r="O14" s="77">
        <f t="shared" si="4"/>
        <v>80938.45458</v>
      </c>
      <c r="P14" s="76">
        <f t="shared" si="4"/>
        <v>92733.02086</v>
      </c>
      <c r="Q14" s="76">
        <f t="shared" si="4"/>
        <v>105449.8745</v>
      </c>
      <c r="R14" s="76">
        <f t="shared" si="4"/>
        <v>119032.0057</v>
      </c>
      <c r="S14" s="76">
        <f t="shared" si="4"/>
        <v>133540.0835</v>
      </c>
      <c r="T14" s="76">
        <f t="shared" si="4"/>
        <v>149039.0234</v>
      </c>
      <c r="U14" s="76">
        <f t="shared" si="4"/>
        <v>165437.9536</v>
      </c>
      <c r="V14" s="76">
        <f t="shared" si="4"/>
        <v>182790.9933</v>
      </c>
      <c r="W14" s="76">
        <f t="shared" si="4"/>
        <v>201155.5082</v>
      </c>
      <c r="X14" s="76">
        <f t="shared" si="4"/>
        <v>220401.3491</v>
      </c>
      <c r="Y14" s="76">
        <f t="shared" si="4"/>
        <v>240572.7297</v>
      </c>
      <c r="Z14" s="78">
        <f t="shared" si="4"/>
        <v>261716.0741</v>
      </c>
    </row>
    <row r="15" ht="15.75" customHeight="1">
      <c r="A15" s="79"/>
      <c r="B15" s="79" t="s">
        <v>64</v>
      </c>
      <c r="C15" s="80"/>
      <c r="D15" s="79">
        <f t="shared" ref="D15:Z15" si="5">(D14-C14)/C14</f>
        <v>0.6129757802</v>
      </c>
      <c r="E15" s="79">
        <f t="shared" si="5"/>
        <v>0.4361709757</v>
      </c>
      <c r="F15" s="79">
        <f t="shared" si="5"/>
        <v>0.3394881167</v>
      </c>
      <c r="G15" s="79">
        <f t="shared" si="5"/>
        <v>0.2833681178</v>
      </c>
      <c r="H15" s="79">
        <f t="shared" si="5"/>
        <v>0.2469144925</v>
      </c>
      <c r="I15" s="79">
        <f t="shared" si="5"/>
        <v>0.2164689603</v>
      </c>
      <c r="J15" s="79">
        <f t="shared" si="5"/>
        <v>0.1953604969</v>
      </c>
      <c r="K15" s="79">
        <f t="shared" si="5"/>
        <v>0.179456411</v>
      </c>
      <c r="L15" s="79">
        <f t="shared" si="5"/>
        <v>0.1639866437</v>
      </c>
      <c r="M15" s="79">
        <f t="shared" si="5"/>
        <v>0.1518656847</v>
      </c>
      <c r="N15" s="79">
        <f t="shared" si="5"/>
        <v>0.1421411184</v>
      </c>
      <c r="O15" s="80">
        <f t="shared" si="5"/>
        <v>0.1563003256</v>
      </c>
      <c r="P15" s="79">
        <f t="shared" si="5"/>
        <v>0.1457226523</v>
      </c>
      <c r="Q15" s="79">
        <f t="shared" si="5"/>
        <v>0.1371340382</v>
      </c>
      <c r="R15" s="79">
        <f t="shared" si="5"/>
        <v>0.1288017769</v>
      </c>
      <c r="S15" s="79">
        <f t="shared" si="5"/>
        <v>0.1218838391</v>
      </c>
      <c r="T15" s="79">
        <f t="shared" si="5"/>
        <v>0.1160620805</v>
      </c>
      <c r="U15" s="79">
        <f t="shared" si="5"/>
        <v>0.1100311167</v>
      </c>
      <c r="V15" s="79">
        <f t="shared" si="5"/>
        <v>0.1048915274</v>
      </c>
      <c r="W15" s="79">
        <f t="shared" si="5"/>
        <v>0.1004672858</v>
      </c>
      <c r="X15" s="79">
        <f t="shared" si="5"/>
        <v>0.09567642977</v>
      </c>
      <c r="Y15" s="79">
        <f t="shared" si="5"/>
        <v>0.09152113052</v>
      </c>
      <c r="Z15" s="81">
        <f t="shared" si="5"/>
        <v>0.08788753588</v>
      </c>
    </row>
    <row r="16" ht="15.75" customHeight="1">
      <c r="A16" s="79"/>
      <c r="B16" s="60" t="s">
        <v>65</v>
      </c>
      <c r="C16" s="82">
        <f>C14*'Costs Hypotheses (1)'!$D$30</f>
        <v>161.025</v>
      </c>
      <c r="D16" s="83">
        <f>D14*'Costs Hypotheses (1)'!$D$30</f>
        <v>259.729425</v>
      </c>
      <c r="E16" s="83">
        <f>E14*'Costs Hypotheses (1)'!$D$30</f>
        <v>373.0158617</v>
      </c>
      <c r="F16" s="83">
        <f>F14*'Costs Hypotheses (1)'!$D$30</f>
        <v>499.6503141</v>
      </c>
      <c r="G16" s="83">
        <f>G14*'Costs Hypotheses (1)'!$D$30</f>
        <v>641.2352832</v>
      </c>
      <c r="H16" s="83">
        <f>H14*'Costs Hypotheses (1)'!$D$30</f>
        <v>799.5655677</v>
      </c>
      <c r="I16" s="83">
        <f>I14*'Costs Hypotheses (1)'!$D$30</f>
        <v>972.6466949</v>
      </c>
      <c r="J16" s="83">
        <f>J14*'Costs Hypotheses (1)'!$D$30</f>
        <v>1162.663437</v>
      </c>
      <c r="K16" s="83">
        <f>K14*'Costs Hypotheses (1)'!$D$30</f>
        <v>1371.310844</v>
      </c>
      <c r="L16" s="83">
        <f>L14*'Costs Hypotheses (1)'!$D$30</f>
        <v>1596.187507</v>
      </c>
      <c r="M16" s="83">
        <f>M14*'Costs Hypotheses (1)'!$D$30</f>
        <v>1838.593615</v>
      </c>
      <c r="N16" s="83">
        <f>N14*'Costs Hypotheses (1)'!$D$30</f>
        <v>2099.933368</v>
      </c>
      <c r="O16" s="82">
        <f>O14*'Costs Hypotheses (1)'!$D$30</f>
        <v>2428.153637</v>
      </c>
      <c r="P16" s="83">
        <f>P14*'Costs Hypotheses (1)'!$D$30</f>
        <v>2781.990626</v>
      </c>
      <c r="Q16" s="83">
        <f>Q14*'Costs Hypotheses (1)'!$D$30</f>
        <v>3163.496234</v>
      </c>
      <c r="R16" s="83">
        <f>R14*'Costs Hypotheses (1)'!$D$30</f>
        <v>3570.960171</v>
      </c>
      <c r="S16" s="83">
        <f>S14*'Costs Hypotheses (1)'!$D$30</f>
        <v>4006.202505</v>
      </c>
      <c r="T16" s="83">
        <f>T14*'Costs Hypotheses (1)'!$D$30</f>
        <v>4471.170703</v>
      </c>
      <c r="U16" s="83">
        <f>U14*'Costs Hypotheses (1)'!$D$30</f>
        <v>4963.138609</v>
      </c>
      <c r="V16" s="83">
        <f>V14*'Costs Hypotheses (1)'!$D$30</f>
        <v>5483.729798</v>
      </c>
      <c r="W16" s="83">
        <f>W14*'Costs Hypotheses (1)'!$D$30</f>
        <v>6034.665247</v>
      </c>
      <c r="X16" s="83">
        <f>X14*'Costs Hypotheses (1)'!$D$30</f>
        <v>6612.040473</v>
      </c>
      <c r="Y16" s="83">
        <f>Y14*'Costs Hypotheses (1)'!$D$30</f>
        <v>7217.181892</v>
      </c>
      <c r="Z16" s="84">
        <f>Z14*'Costs Hypotheses (1)'!$D$30</f>
        <v>7851.482224</v>
      </c>
    </row>
    <row r="17" ht="15.75" customHeight="1">
      <c r="A17" s="85"/>
      <c r="B17" s="85" t="s">
        <v>66</v>
      </c>
      <c r="C17" s="86">
        <f t="shared" ref="C17:Z17" si="6">C14-C16</f>
        <v>5206.475</v>
      </c>
      <c r="D17" s="85">
        <f t="shared" si="6"/>
        <v>8397.918075</v>
      </c>
      <c r="E17" s="85">
        <f t="shared" si="6"/>
        <v>12060.8462</v>
      </c>
      <c r="F17" s="85">
        <f t="shared" si="6"/>
        <v>16155.36016</v>
      </c>
      <c r="G17" s="85">
        <f t="shared" si="6"/>
        <v>20733.27416</v>
      </c>
      <c r="H17" s="85">
        <f t="shared" si="6"/>
        <v>25852.62002</v>
      </c>
      <c r="I17" s="85">
        <f t="shared" si="6"/>
        <v>31448.9098</v>
      </c>
      <c r="J17" s="85">
        <f t="shared" si="6"/>
        <v>37592.78445</v>
      </c>
      <c r="K17" s="85">
        <f t="shared" si="6"/>
        <v>44339.05062</v>
      </c>
      <c r="L17" s="85">
        <f t="shared" si="6"/>
        <v>51610.06272</v>
      </c>
      <c r="M17" s="85">
        <f t="shared" si="6"/>
        <v>59447.86023</v>
      </c>
      <c r="N17" s="85">
        <f t="shared" si="6"/>
        <v>67897.84557</v>
      </c>
      <c r="O17" s="86">
        <f t="shared" si="6"/>
        <v>78510.30094</v>
      </c>
      <c r="P17" s="85">
        <f t="shared" si="6"/>
        <v>89951.03023</v>
      </c>
      <c r="Q17" s="85">
        <f t="shared" si="6"/>
        <v>102286.3782</v>
      </c>
      <c r="R17" s="85">
        <f t="shared" si="6"/>
        <v>115461.0455</v>
      </c>
      <c r="S17" s="85">
        <f t="shared" si="6"/>
        <v>129533.881</v>
      </c>
      <c r="T17" s="85">
        <f t="shared" si="6"/>
        <v>144567.8527</v>
      </c>
      <c r="U17" s="85">
        <f t="shared" si="6"/>
        <v>160474.815</v>
      </c>
      <c r="V17" s="85">
        <f t="shared" si="6"/>
        <v>177307.2635</v>
      </c>
      <c r="W17" s="85">
        <f t="shared" si="6"/>
        <v>195120.843</v>
      </c>
      <c r="X17" s="85">
        <f t="shared" si="6"/>
        <v>213789.3086</v>
      </c>
      <c r="Y17" s="85">
        <f t="shared" si="6"/>
        <v>233355.5478</v>
      </c>
      <c r="Z17" s="87">
        <f t="shared" si="6"/>
        <v>253864.5919</v>
      </c>
    </row>
    <row r="18" ht="15.75" customHeight="1">
      <c r="A18" s="23"/>
      <c r="B18" s="23"/>
      <c r="C18" s="56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57"/>
      <c r="O18" s="56"/>
      <c r="Z18" s="57"/>
    </row>
    <row r="19" ht="15.75" customHeight="1">
      <c r="A19" s="58" t="s">
        <v>67</v>
      </c>
    </row>
    <row r="20" ht="9.75" customHeight="1">
      <c r="A20" s="23"/>
      <c r="B20" s="23"/>
      <c r="C20" s="56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57"/>
      <c r="O20" s="56"/>
      <c r="Z20" s="57"/>
    </row>
    <row r="21" ht="15.75" customHeight="1">
      <c r="A21" s="42" t="s">
        <v>24</v>
      </c>
      <c r="B21" s="23"/>
      <c r="C21" s="56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57"/>
      <c r="O21" s="56"/>
      <c r="Z21" s="57"/>
    </row>
    <row r="22" ht="15.75" customHeight="1">
      <c r="A22" s="23"/>
      <c r="B22" s="44" t="str">
        <f>+CONCATENATE('Costs Hypotheses (1)'!B3," - ",'Costs Hypotheses (1)'!C3)</f>
        <v>CEO - David Youssef</v>
      </c>
      <c r="C22" s="88">
        <f>if('Costs Hypotheses (1)'!$E3&lt;=C$3,('Costs Hypotheses (1)'!$D3/12),0)</f>
        <v>10000</v>
      </c>
      <c r="D22" s="49">
        <f>if('Costs Hypotheses (1)'!$E3&lt;=D$3,('Costs Hypotheses (1)'!$D3/12),0)</f>
        <v>10000</v>
      </c>
      <c r="E22" s="49">
        <f>if('Costs Hypotheses (1)'!$E3&lt;=E$3,('Costs Hypotheses (1)'!$D3/12),0)</f>
        <v>10000</v>
      </c>
      <c r="F22" s="49">
        <f>if('Costs Hypotheses (1)'!$E3&lt;=F$3,('Costs Hypotheses (1)'!$D3/12),0)</f>
        <v>10000</v>
      </c>
      <c r="G22" s="49">
        <f>if('Costs Hypotheses (1)'!$E3&lt;=G$3,('Costs Hypotheses (1)'!$D3/12),0)</f>
        <v>10000</v>
      </c>
      <c r="H22" s="49">
        <f>if('Costs Hypotheses (1)'!$E3&lt;=H$3,('Costs Hypotheses (1)'!$D3/12),0)</f>
        <v>10000</v>
      </c>
      <c r="I22" s="49">
        <f>if('Costs Hypotheses (1)'!$E3&lt;=I$3,('Costs Hypotheses (1)'!$D3/12),0)</f>
        <v>10000</v>
      </c>
      <c r="J22" s="49">
        <f>if('Costs Hypotheses (1)'!$E3&lt;=J$3,('Costs Hypotheses (1)'!$D3/12),0)</f>
        <v>10000</v>
      </c>
      <c r="K22" s="49">
        <f>if('Costs Hypotheses (1)'!$E3&lt;=K$3,('Costs Hypotheses (1)'!$D3/12),0)</f>
        <v>10000</v>
      </c>
      <c r="L22" s="49">
        <f>if('Costs Hypotheses (1)'!$E3&lt;=L$3,('Costs Hypotheses (1)'!$D3/12),0)</f>
        <v>10000</v>
      </c>
      <c r="M22" s="49">
        <f>if('Costs Hypotheses (1)'!$E3&lt;=M$3,('Costs Hypotheses (1)'!$D3/12),0)</f>
        <v>10000</v>
      </c>
      <c r="N22" s="49">
        <f>if('Costs Hypotheses (1)'!$E3&lt;=N$3,('Costs Hypotheses (1)'!$D3/12),0)</f>
        <v>10000</v>
      </c>
      <c r="O22" s="88">
        <f>if('Costs Hypotheses (1)'!$E3&lt;=O$3,('Costs Hypotheses (1)'!$D3/12),0)</f>
        <v>10000</v>
      </c>
      <c r="P22" s="49">
        <f>if('Costs Hypotheses (1)'!$E3&lt;=P$3,('Costs Hypotheses (1)'!$D3/12),0)</f>
        <v>10000</v>
      </c>
      <c r="Q22" s="49">
        <f>if('Costs Hypotheses (1)'!$E3&lt;=Q$3,('Costs Hypotheses (1)'!$D3/12),0)</f>
        <v>10000</v>
      </c>
      <c r="R22" s="49">
        <f>if('Costs Hypotheses (1)'!$E3&lt;=R$3,('Costs Hypotheses (1)'!$D3/12),0)</f>
        <v>10000</v>
      </c>
      <c r="S22" s="49">
        <f>if('Costs Hypotheses (1)'!$E3&lt;=S$3,('Costs Hypotheses (1)'!$D3/12),0)</f>
        <v>10000</v>
      </c>
      <c r="T22" s="49">
        <f>if('Costs Hypotheses (1)'!$E3&lt;=T$3,('Costs Hypotheses (1)'!$D3/12),0)</f>
        <v>10000</v>
      </c>
      <c r="U22" s="49">
        <f>if('Costs Hypotheses (1)'!$E3&lt;=U$3,('Costs Hypotheses (1)'!$D3/12),0)</f>
        <v>10000</v>
      </c>
      <c r="V22" s="49">
        <f>if('Costs Hypotheses (1)'!$E3&lt;=V$3,('Costs Hypotheses (1)'!$D3/12),0)</f>
        <v>10000</v>
      </c>
      <c r="W22" s="49">
        <f>if('Costs Hypotheses (1)'!$E3&lt;=W$3,('Costs Hypotheses (1)'!$D3/12),0)</f>
        <v>10000</v>
      </c>
      <c r="X22" s="49">
        <f>if('Costs Hypotheses (1)'!$E3&lt;=X$3,('Costs Hypotheses (1)'!$D3/12),0)</f>
        <v>10000</v>
      </c>
      <c r="Y22" s="49">
        <f>if('Costs Hypotheses (1)'!$E3&lt;=Y$3,('Costs Hypotheses (1)'!$D3/12),0)</f>
        <v>10000</v>
      </c>
      <c r="Z22" s="89">
        <f>if('Costs Hypotheses (1)'!$E3&lt;=Z$3,('Costs Hypotheses (1)'!$D3/12),0)</f>
        <v>10000</v>
      </c>
    </row>
    <row r="23" ht="15.75" customHeight="1">
      <c r="A23" s="23"/>
      <c r="B23" s="44" t="str">
        <f>+CONCATENATE('Costs Hypotheses (1)'!B4," - ",'Costs Hypotheses (1)'!C4)</f>
        <v>Engineer - Igor Malovitsa (CTO)</v>
      </c>
      <c r="C23" s="88">
        <f>if('Costs Hypotheses (1)'!$E4&lt;=C$3,('Costs Hypotheses (1)'!$D4/12),0)</f>
        <v>10000</v>
      </c>
      <c r="D23" s="49">
        <f>if('Costs Hypotheses (1)'!$E4&lt;=D$3,('Costs Hypotheses (1)'!$D4/12),0)</f>
        <v>10000</v>
      </c>
      <c r="E23" s="49">
        <f>if('Costs Hypotheses (1)'!$E4&lt;=E$3,('Costs Hypotheses (1)'!$D4/12),0)</f>
        <v>10000</v>
      </c>
      <c r="F23" s="49">
        <f>if('Costs Hypotheses (1)'!$E4&lt;=F$3,('Costs Hypotheses (1)'!$D4/12),0)</f>
        <v>10000</v>
      </c>
      <c r="G23" s="49">
        <f>if('Costs Hypotheses (1)'!$E4&lt;=G$3,('Costs Hypotheses (1)'!$D4/12),0)</f>
        <v>10000</v>
      </c>
      <c r="H23" s="49">
        <f>if('Costs Hypotheses (1)'!$E4&lt;=H$3,('Costs Hypotheses (1)'!$D4/12),0)</f>
        <v>10000</v>
      </c>
      <c r="I23" s="49">
        <f>if('Costs Hypotheses (1)'!$E4&lt;=I$3,('Costs Hypotheses (1)'!$D4/12),0)</f>
        <v>10000</v>
      </c>
      <c r="J23" s="49">
        <f>if('Costs Hypotheses (1)'!$E4&lt;=J$3,('Costs Hypotheses (1)'!$D4/12),0)</f>
        <v>10000</v>
      </c>
      <c r="K23" s="49">
        <f>if('Costs Hypotheses (1)'!$E4&lt;=K$3,('Costs Hypotheses (1)'!$D4/12),0)</f>
        <v>10000</v>
      </c>
      <c r="L23" s="49">
        <f>if('Costs Hypotheses (1)'!$E4&lt;=L$3,('Costs Hypotheses (1)'!$D4/12),0)</f>
        <v>10000</v>
      </c>
      <c r="M23" s="49">
        <f>if('Costs Hypotheses (1)'!$E4&lt;=M$3,('Costs Hypotheses (1)'!$D4/12),0)</f>
        <v>10000</v>
      </c>
      <c r="N23" s="49">
        <f>if('Costs Hypotheses (1)'!$E4&lt;=N$3,('Costs Hypotheses (1)'!$D4/12),0)</f>
        <v>10000</v>
      </c>
      <c r="O23" s="88">
        <f>if('Costs Hypotheses (1)'!$E4&lt;=O$3,('Costs Hypotheses (1)'!$D4/12),0)</f>
        <v>10000</v>
      </c>
      <c r="P23" s="49">
        <f>if('Costs Hypotheses (1)'!$E4&lt;=P$3,('Costs Hypotheses (1)'!$D4/12),0)</f>
        <v>10000</v>
      </c>
      <c r="Q23" s="49">
        <f>if('Costs Hypotheses (1)'!$E4&lt;=Q$3,('Costs Hypotheses (1)'!$D4/12),0)</f>
        <v>10000</v>
      </c>
      <c r="R23" s="49">
        <f>if('Costs Hypotheses (1)'!$E4&lt;=R$3,('Costs Hypotheses (1)'!$D4/12),0)</f>
        <v>10000</v>
      </c>
      <c r="S23" s="49">
        <f>if('Costs Hypotheses (1)'!$E4&lt;=S$3,('Costs Hypotheses (1)'!$D4/12),0)</f>
        <v>10000</v>
      </c>
      <c r="T23" s="49">
        <f>if('Costs Hypotheses (1)'!$E4&lt;=T$3,('Costs Hypotheses (1)'!$D4/12),0)</f>
        <v>10000</v>
      </c>
      <c r="U23" s="49">
        <f>if('Costs Hypotheses (1)'!$E4&lt;=U$3,('Costs Hypotheses (1)'!$D4/12),0)</f>
        <v>10000</v>
      </c>
      <c r="V23" s="49">
        <f>if('Costs Hypotheses (1)'!$E4&lt;=V$3,('Costs Hypotheses (1)'!$D4/12),0)</f>
        <v>10000</v>
      </c>
      <c r="W23" s="49">
        <f>if('Costs Hypotheses (1)'!$E4&lt;=W$3,('Costs Hypotheses (1)'!$D4/12),0)</f>
        <v>10000</v>
      </c>
      <c r="X23" s="49">
        <f>if('Costs Hypotheses (1)'!$E4&lt;=X$3,('Costs Hypotheses (1)'!$D4/12),0)</f>
        <v>10000</v>
      </c>
      <c r="Y23" s="49">
        <f>if('Costs Hypotheses (1)'!$E4&lt;=Y$3,('Costs Hypotheses (1)'!$D4/12),0)</f>
        <v>10000</v>
      </c>
      <c r="Z23" s="89">
        <f>if('Costs Hypotheses (1)'!$E4&lt;=Z$3,('Costs Hypotheses (1)'!$D4/12),0)</f>
        <v>10000</v>
      </c>
    </row>
    <row r="24" ht="15.75" customHeight="1">
      <c r="A24" s="23"/>
      <c r="B24" s="44" t="str">
        <f>+CONCATENATE('Costs Hypotheses (1)'!B5," - ",'Costs Hypotheses (1)'!C5)</f>
        <v>Engineer - Eng Hire #1</v>
      </c>
      <c r="C24" s="88">
        <f>if('Costs Hypotheses (1)'!$E5&lt;=C$3,('Costs Hypotheses (1)'!$D5/12),0)</f>
        <v>0</v>
      </c>
      <c r="D24" s="49">
        <f>if('Costs Hypotheses (1)'!$E5&lt;=D$3,('Costs Hypotheses (1)'!$D5/12),0)</f>
        <v>0</v>
      </c>
      <c r="E24" s="49">
        <f>if('Costs Hypotheses (1)'!$E5&lt;=E$3,('Costs Hypotheses (1)'!$D5/12),0)</f>
        <v>0</v>
      </c>
      <c r="F24" s="49">
        <f>if('Costs Hypotheses (1)'!$E5&lt;=F$3,('Costs Hypotheses (1)'!$D5/12),0)</f>
        <v>10000</v>
      </c>
      <c r="G24" s="49">
        <f>if('Costs Hypotheses (1)'!$E5&lt;=G$3,('Costs Hypotheses (1)'!$D5/12),0)</f>
        <v>10000</v>
      </c>
      <c r="H24" s="49">
        <f>if('Costs Hypotheses (1)'!$E5&lt;=H$3,('Costs Hypotheses (1)'!$D5/12),0)</f>
        <v>10000</v>
      </c>
      <c r="I24" s="49">
        <f>if('Costs Hypotheses (1)'!$E5&lt;=I$3,('Costs Hypotheses (1)'!$D5/12),0)</f>
        <v>10000</v>
      </c>
      <c r="J24" s="49">
        <f>if('Costs Hypotheses (1)'!$E5&lt;=J$3,('Costs Hypotheses (1)'!$D5/12),0)</f>
        <v>10000</v>
      </c>
      <c r="K24" s="49">
        <f>if('Costs Hypotheses (1)'!$E5&lt;=K$3,('Costs Hypotheses (1)'!$D5/12),0)</f>
        <v>10000</v>
      </c>
      <c r="L24" s="49">
        <f>if('Costs Hypotheses (1)'!$E5&lt;=L$3,('Costs Hypotheses (1)'!$D5/12),0)</f>
        <v>10000</v>
      </c>
      <c r="M24" s="49">
        <f>if('Costs Hypotheses (1)'!$E5&lt;=M$3,('Costs Hypotheses (1)'!$D5/12),0)</f>
        <v>10000</v>
      </c>
      <c r="N24" s="49">
        <f>if('Costs Hypotheses (1)'!$E5&lt;=N$3,('Costs Hypotheses (1)'!$D5/12),0)</f>
        <v>10000</v>
      </c>
      <c r="O24" s="88">
        <f>if('Costs Hypotheses (1)'!$E5&lt;=O$3,('Costs Hypotheses (1)'!$D5/12),0)</f>
        <v>10000</v>
      </c>
      <c r="P24" s="49">
        <f>if('Costs Hypotheses (1)'!$E5&lt;=P$3,('Costs Hypotheses (1)'!$D5/12),0)</f>
        <v>10000</v>
      </c>
      <c r="Q24" s="49">
        <f>if('Costs Hypotheses (1)'!$E5&lt;=Q$3,('Costs Hypotheses (1)'!$D5/12),0)</f>
        <v>10000</v>
      </c>
      <c r="R24" s="49">
        <f>if('Costs Hypotheses (1)'!$E5&lt;=R$3,('Costs Hypotheses (1)'!$D5/12),0)</f>
        <v>10000</v>
      </c>
      <c r="S24" s="49">
        <f>if('Costs Hypotheses (1)'!$E5&lt;=S$3,('Costs Hypotheses (1)'!$D5/12),0)</f>
        <v>10000</v>
      </c>
      <c r="T24" s="49">
        <f>if('Costs Hypotheses (1)'!$E5&lt;=T$3,('Costs Hypotheses (1)'!$D5/12),0)</f>
        <v>10000</v>
      </c>
      <c r="U24" s="49">
        <f>if('Costs Hypotheses (1)'!$E5&lt;=U$3,('Costs Hypotheses (1)'!$D5/12),0)</f>
        <v>10000</v>
      </c>
      <c r="V24" s="49">
        <f>if('Costs Hypotheses (1)'!$E5&lt;=V$3,('Costs Hypotheses (1)'!$D5/12),0)</f>
        <v>10000</v>
      </c>
      <c r="W24" s="49">
        <f>if('Costs Hypotheses (1)'!$E5&lt;=W$3,('Costs Hypotheses (1)'!$D5/12),0)</f>
        <v>10000</v>
      </c>
      <c r="X24" s="49">
        <f>if('Costs Hypotheses (1)'!$E5&lt;=X$3,('Costs Hypotheses (1)'!$D5/12),0)</f>
        <v>10000</v>
      </c>
      <c r="Y24" s="49">
        <f>if('Costs Hypotheses (1)'!$E5&lt;=Y$3,('Costs Hypotheses (1)'!$D5/12),0)</f>
        <v>10000</v>
      </c>
      <c r="Z24" s="89">
        <f>if('Costs Hypotheses (1)'!$E5&lt;=Z$3,('Costs Hypotheses (1)'!$D5/12),0)</f>
        <v>10000</v>
      </c>
    </row>
    <row r="25" ht="15.75" customHeight="1">
      <c r="A25" s="23"/>
      <c r="B25" s="44" t="str">
        <f>+CONCATENATE('Costs Hypotheses (1)'!B6," - ",'Costs Hypotheses (1)'!C6)</f>
        <v>Engineer - Eng Hire #2</v>
      </c>
      <c r="C25" s="88">
        <f>if('Costs Hypotheses (1)'!$E6&lt;=C$3,('Costs Hypotheses (1)'!$D6/12),0)</f>
        <v>0</v>
      </c>
      <c r="D25" s="49">
        <f>if('Costs Hypotheses (1)'!$E6&lt;=D$3,('Costs Hypotheses (1)'!$D6/12),0)</f>
        <v>0</v>
      </c>
      <c r="E25" s="49">
        <f>if('Costs Hypotheses (1)'!$E6&lt;=E$3,('Costs Hypotheses (1)'!$D6/12),0)</f>
        <v>0</v>
      </c>
      <c r="F25" s="49">
        <f>if('Costs Hypotheses (1)'!$E6&lt;=F$3,('Costs Hypotheses (1)'!$D6/12),0)</f>
        <v>0</v>
      </c>
      <c r="G25" s="49">
        <f>if('Costs Hypotheses (1)'!$E6&lt;=G$3,('Costs Hypotheses (1)'!$D6/12),0)</f>
        <v>0</v>
      </c>
      <c r="H25" s="49">
        <f>if('Costs Hypotheses (1)'!$E6&lt;=H$3,('Costs Hypotheses (1)'!$D6/12),0)</f>
        <v>0</v>
      </c>
      <c r="I25" s="49">
        <f>if('Costs Hypotheses (1)'!$E6&lt;=I$3,('Costs Hypotheses (1)'!$D6/12),0)</f>
        <v>0</v>
      </c>
      <c r="J25" s="49">
        <f>if('Costs Hypotheses (1)'!$E6&lt;=J$3,('Costs Hypotheses (1)'!$D6/12),0)</f>
        <v>0</v>
      </c>
      <c r="K25" s="49">
        <f>if('Costs Hypotheses (1)'!$E6&lt;=K$3,('Costs Hypotheses (1)'!$D6/12),0)</f>
        <v>0</v>
      </c>
      <c r="L25" s="49">
        <f>if('Costs Hypotheses (1)'!$E6&lt;=L$3,('Costs Hypotheses (1)'!$D6/12),0)</f>
        <v>10000</v>
      </c>
      <c r="M25" s="49">
        <f>if('Costs Hypotheses (1)'!$E6&lt;=M$3,('Costs Hypotheses (1)'!$D6/12),0)</f>
        <v>10000</v>
      </c>
      <c r="N25" s="49">
        <f>if('Costs Hypotheses (1)'!$E6&lt;=N$3,('Costs Hypotheses (1)'!$D6/12),0)</f>
        <v>10000</v>
      </c>
      <c r="O25" s="88">
        <f>if('Costs Hypotheses (1)'!$E6&lt;=O$3,('Costs Hypotheses (1)'!$D6/12),0)</f>
        <v>10000</v>
      </c>
      <c r="P25" s="49">
        <f>if('Costs Hypotheses (1)'!$E6&lt;=P$3,('Costs Hypotheses (1)'!$D6/12),0)</f>
        <v>10000</v>
      </c>
      <c r="Q25" s="49">
        <f>if('Costs Hypotheses (1)'!$E6&lt;=Q$3,('Costs Hypotheses (1)'!$D6/12),0)</f>
        <v>10000</v>
      </c>
      <c r="R25" s="49">
        <f>if('Costs Hypotheses (1)'!$E6&lt;=R$3,('Costs Hypotheses (1)'!$D6/12),0)</f>
        <v>10000</v>
      </c>
      <c r="S25" s="49">
        <f>if('Costs Hypotheses (1)'!$E6&lt;=S$3,('Costs Hypotheses (1)'!$D6/12),0)</f>
        <v>10000</v>
      </c>
      <c r="T25" s="49">
        <f>if('Costs Hypotheses (1)'!$E6&lt;=T$3,('Costs Hypotheses (1)'!$D6/12),0)</f>
        <v>10000</v>
      </c>
      <c r="U25" s="49">
        <f>if('Costs Hypotheses (1)'!$E6&lt;=U$3,('Costs Hypotheses (1)'!$D6/12),0)</f>
        <v>10000</v>
      </c>
      <c r="V25" s="49">
        <f>if('Costs Hypotheses (1)'!$E6&lt;=V$3,('Costs Hypotheses (1)'!$D6/12),0)</f>
        <v>10000</v>
      </c>
      <c r="W25" s="49">
        <f>if('Costs Hypotheses (1)'!$E6&lt;=W$3,('Costs Hypotheses (1)'!$D6/12),0)</f>
        <v>10000</v>
      </c>
      <c r="X25" s="49">
        <f>if('Costs Hypotheses (1)'!$E6&lt;=X$3,('Costs Hypotheses (1)'!$D6/12),0)</f>
        <v>10000</v>
      </c>
      <c r="Y25" s="49">
        <f>if('Costs Hypotheses (1)'!$E6&lt;=Y$3,('Costs Hypotheses (1)'!$D6/12),0)</f>
        <v>10000</v>
      </c>
      <c r="Z25" s="89">
        <f>if('Costs Hypotheses (1)'!$E6&lt;=Z$3,('Costs Hypotheses (1)'!$D6/12),0)</f>
        <v>10000</v>
      </c>
    </row>
    <row r="26" ht="15.75" customHeight="1">
      <c r="A26" s="23"/>
      <c r="B26" s="44" t="str">
        <f>+CONCATENATE('Costs Hypotheses (1)'!B7," - ",'Costs Hypotheses (1)'!C7)</f>
        <v> - </v>
      </c>
      <c r="C26" s="56">
        <f>if('Costs Hypotheses (1)'!$E7&lt;=C$3,('Costs Hypotheses (1)'!$D7/12),0)</f>
        <v>0</v>
      </c>
      <c r="D26" s="44">
        <f>if('Costs Hypotheses (1)'!$E7&lt;=D$3,('Costs Hypotheses (1)'!$D7/12),0)</f>
        <v>0</v>
      </c>
      <c r="E26" s="44">
        <f>if('Costs Hypotheses (1)'!$E7&lt;=E$3,('Costs Hypotheses (1)'!$D7/12),0)</f>
        <v>0</v>
      </c>
      <c r="F26" s="44">
        <f>if('Costs Hypotheses (1)'!$E7&lt;=F$3,('Costs Hypotheses (1)'!$D7/12),0)</f>
        <v>0</v>
      </c>
      <c r="G26" s="49">
        <f>if('Costs Hypotheses (1)'!$E7&lt;=G$3,('Costs Hypotheses (1)'!$D7/12),0)</f>
        <v>0</v>
      </c>
      <c r="H26" s="49">
        <f>if('Costs Hypotheses (1)'!$E7&lt;=H$3,('Costs Hypotheses (1)'!$D7/12),0)</f>
        <v>0</v>
      </c>
      <c r="I26" s="49">
        <f>if('Costs Hypotheses (1)'!$E7&lt;=I$3,('Costs Hypotheses (1)'!$D7/12),0)</f>
        <v>0</v>
      </c>
      <c r="J26" s="49">
        <f>if('Costs Hypotheses (1)'!$E7&lt;=J$3,('Costs Hypotheses (1)'!$D7/12),0)</f>
        <v>0</v>
      </c>
      <c r="K26" s="49">
        <f>if('Costs Hypotheses (1)'!$E7&lt;=K$3,('Costs Hypotheses (1)'!$D7/12),0)</f>
        <v>0</v>
      </c>
      <c r="L26" s="49">
        <f>if('Costs Hypotheses (1)'!$E7&lt;=L$3,('Costs Hypotheses (1)'!$D7/12),0)</f>
        <v>0</v>
      </c>
      <c r="M26" s="49">
        <f>if('Costs Hypotheses (1)'!$E7&lt;=M$3,('Costs Hypotheses (1)'!$D7/12),0)</f>
        <v>0</v>
      </c>
      <c r="N26" s="49">
        <f>if('Costs Hypotheses (1)'!$E7&lt;=N$3,('Costs Hypotheses (1)'!$D7/12),0)</f>
        <v>0</v>
      </c>
      <c r="O26" s="88">
        <f>if('Costs Hypotheses (1)'!$E7&lt;=O$3,('Costs Hypotheses (1)'!$D7/12),0)</f>
        <v>0</v>
      </c>
      <c r="P26" s="49">
        <f>if('Costs Hypotheses (1)'!$E7&lt;=P$3,('Costs Hypotheses (1)'!$D7/12),0)</f>
        <v>0</v>
      </c>
      <c r="Q26" s="49">
        <f>if('Costs Hypotheses (1)'!$E7&lt;=Q$3,('Costs Hypotheses (1)'!$D7/12),0)</f>
        <v>0</v>
      </c>
      <c r="R26" s="49">
        <f>if('Costs Hypotheses (1)'!$E7&lt;=R$3,('Costs Hypotheses (1)'!$D7/12),0)</f>
        <v>0</v>
      </c>
      <c r="S26" s="49">
        <f>if('Costs Hypotheses (1)'!$E7&lt;=S$3,('Costs Hypotheses (1)'!$D7/12),0)</f>
        <v>0</v>
      </c>
      <c r="T26" s="49">
        <f>if('Costs Hypotheses (1)'!$E7&lt;=T$3,('Costs Hypotheses (1)'!$D7/12),0)</f>
        <v>0</v>
      </c>
      <c r="U26" s="49">
        <f>if('Costs Hypotheses (1)'!$E7&lt;=U$3,('Costs Hypotheses (1)'!$D7/12),0)</f>
        <v>0</v>
      </c>
      <c r="V26" s="49">
        <f>if('Costs Hypotheses (1)'!$E7&lt;=V$3,('Costs Hypotheses (1)'!$D7/12),0)</f>
        <v>0</v>
      </c>
      <c r="W26" s="49">
        <f>if('Costs Hypotheses (1)'!$E7&lt;=W$3,('Costs Hypotheses (1)'!$D7/12),0)</f>
        <v>0</v>
      </c>
      <c r="X26" s="49">
        <f>if('Costs Hypotheses (1)'!$E7&lt;=X$3,('Costs Hypotheses (1)'!$D7/12),0)</f>
        <v>0</v>
      </c>
      <c r="Y26" s="49">
        <f>if('Costs Hypotheses (1)'!$E7&lt;=Y$3,('Costs Hypotheses (1)'!$D7/12),0)</f>
        <v>0</v>
      </c>
      <c r="Z26" s="89">
        <f>if('Costs Hypotheses (1)'!$E7&lt;=Z$3,('Costs Hypotheses (1)'!$D7/12),0)</f>
        <v>0</v>
      </c>
    </row>
    <row r="27" ht="15.75" customHeight="1">
      <c r="A27" s="23"/>
      <c r="B27" s="44" t="str">
        <f>+CONCATENATE('Costs Hypotheses (1)'!B8," - ",'Costs Hypotheses (1)'!C8)</f>
        <v> - </v>
      </c>
      <c r="C27" s="56">
        <f>if('Costs Hypotheses (1)'!$E8&lt;=C$3,('Costs Hypotheses (1)'!$D8/12),0)</f>
        <v>0</v>
      </c>
      <c r="D27" s="44">
        <f>if('Costs Hypotheses (1)'!$E8&lt;=D$3,('Costs Hypotheses (1)'!$D8/12),0)</f>
        <v>0</v>
      </c>
      <c r="E27" s="44">
        <f>if('Costs Hypotheses (1)'!$E8&lt;=E$3,('Costs Hypotheses (1)'!$D8/12),0)</f>
        <v>0</v>
      </c>
      <c r="F27" s="44">
        <f>if('Costs Hypotheses (1)'!$E8&lt;=F$3,('Costs Hypotheses (1)'!$D8/12),0)</f>
        <v>0</v>
      </c>
      <c r="G27" s="49">
        <f>if('Costs Hypotheses (1)'!$E8&lt;=G$3,('Costs Hypotheses (1)'!$D8/12),0)</f>
        <v>0</v>
      </c>
      <c r="H27" s="49">
        <f>if('Costs Hypotheses (1)'!$E8&lt;=H$3,('Costs Hypotheses (1)'!$D8/12),0)</f>
        <v>0</v>
      </c>
      <c r="I27" s="49">
        <f>if('Costs Hypotheses (1)'!$E8&lt;=I$3,('Costs Hypotheses (1)'!$D8/12),0)</f>
        <v>0</v>
      </c>
      <c r="J27" s="49">
        <f>if('Costs Hypotheses (1)'!$E8&lt;=J$3,('Costs Hypotheses (1)'!$D8/12),0)</f>
        <v>0</v>
      </c>
      <c r="K27" s="49">
        <f>if('Costs Hypotheses (1)'!$E8&lt;=K$3,('Costs Hypotheses (1)'!$D8/12),0)</f>
        <v>0</v>
      </c>
      <c r="L27" s="49">
        <f>if('Costs Hypotheses (1)'!$E8&lt;=L$3,('Costs Hypotheses (1)'!$D8/12),0)</f>
        <v>0</v>
      </c>
      <c r="M27" s="49">
        <f>if('Costs Hypotheses (1)'!$E8&lt;=M$3,('Costs Hypotheses (1)'!$D8/12),0)</f>
        <v>0</v>
      </c>
      <c r="N27" s="49">
        <f>if('Costs Hypotheses (1)'!$E8&lt;=N$3,('Costs Hypotheses (1)'!$D8/12),0)</f>
        <v>0</v>
      </c>
      <c r="O27" s="88">
        <f>if('Costs Hypotheses (1)'!$E8&lt;=O$3,('Costs Hypotheses (1)'!$D8/12),0)</f>
        <v>0</v>
      </c>
      <c r="P27" s="49">
        <f>if('Costs Hypotheses (1)'!$E8&lt;=P$3,('Costs Hypotheses (1)'!$D8/12),0)</f>
        <v>0</v>
      </c>
      <c r="Q27" s="49">
        <f>if('Costs Hypotheses (1)'!$E8&lt;=Q$3,('Costs Hypotheses (1)'!$D8/12),0)</f>
        <v>0</v>
      </c>
      <c r="R27" s="49">
        <f>if('Costs Hypotheses (1)'!$E8&lt;=R$3,('Costs Hypotheses (1)'!$D8/12),0)</f>
        <v>0</v>
      </c>
      <c r="S27" s="49">
        <f>if('Costs Hypotheses (1)'!$E8&lt;=S$3,('Costs Hypotheses (1)'!$D8/12),0)</f>
        <v>0</v>
      </c>
      <c r="T27" s="49">
        <f>if('Costs Hypotheses (1)'!$E8&lt;=T$3,('Costs Hypotheses (1)'!$D8/12),0)</f>
        <v>0</v>
      </c>
      <c r="U27" s="49">
        <f>if('Costs Hypotheses (1)'!$E8&lt;=U$3,('Costs Hypotheses (1)'!$D8/12),0)</f>
        <v>0</v>
      </c>
      <c r="V27" s="49">
        <f>if('Costs Hypotheses (1)'!$E8&lt;=V$3,('Costs Hypotheses (1)'!$D8/12),0)</f>
        <v>0</v>
      </c>
      <c r="W27" s="49">
        <f>if('Costs Hypotheses (1)'!$E8&lt;=W$3,('Costs Hypotheses (1)'!$D8/12),0)</f>
        <v>0</v>
      </c>
      <c r="X27" s="49">
        <f>if('Costs Hypotheses (1)'!$E8&lt;=X$3,('Costs Hypotheses (1)'!$D8/12),0)</f>
        <v>0</v>
      </c>
      <c r="Y27" s="49">
        <f>if('Costs Hypotheses (1)'!$E8&lt;=Y$3,('Costs Hypotheses (1)'!$D8/12),0)</f>
        <v>0</v>
      </c>
      <c r="Z27" s="89">
        <f>if('Costs Hypotheses (1)'!$E8&lt;=Z$3,('Costs Hypotheses (1)'!$D8/12),0)</f>
        <v>0</v>
      </c>
    </row>
    <row r="28" ht="15.75" customHeight="1">
      <c r="A28" s="23"/>
      <c r="B28" s="44" t="str">
        <f>+CONCATENATE('Costs Hypotheses (1)'!B9," - ",'Costs Hypotheses (1)'!C9)</f>
        <v> - </v>
      </c>
      <c r="C28" s="56">
        <f>if('Costs Hypotheses (1)'!$E9&lt;=C$3,('Costs Hypotheses (1)'!$D9/12),0)</f>
        <v>0</v>
      </c>
      <c r="D28" s="44">
        <f>if('Costs Hypotheses (1)'!$E9&lt;=D$3,('Costs Hypotheses (1)'!$D9/12),0)</f>
        <v>0</v>
      </c>
      <c r="E28" s="44">
        <f>if('Costs Hypotheses (1)'!$E9&lt;=E$3,('Costs Hypotheses (1)'!$D9/12),0)</f>
        <v>0</v>
      </c>
      <c r="F28" s="44">
        <f>if('Costs Hypotheses (1)'!$E9&lt;=F$3,('Costs Hypotheses (1)'!$D9/12),0)</f>
        <v>0</v>
      </c>
      <c r="G28" s="44">
        <f>if('Costs Hypotheses (1)'!$E9&lt;=G$3,('Costs Hypotheses (1)'!$D9/12),0)</f>
        <v>0</v>
      </c>
      <c r="H28" s="44">
        <f>if('Costs Hypotheses (1)'!$E9&lt;=H$3,('Costs Hypotheses (1)'!$D9/12),0)</f>
        <v>0</v>
      </c>
      <c r="I28" s="44">
        <f>if('Costs Hypotheses (1)'!$E9&lt;=I$3,('Costs Hypotheses (1)'!$D9/12),0)</f>
        <v>0</v>
      </c>
      <c r="J28" s="44">
        <f>if('Costs Hypotheses (1)'!$E9&lt;=J$3,('Costs Hypotheses (1)'!$D9/12),0)</f>
        <v>0</v>
      </c>
      <c r="K28" s="44">
        <f>if('Costs Hypotheses (1)'!$E9&lt;=K$3,('Costs Hypotheses (1)'!$D9/12),0)</f>
        <v>0</v>
      </c>
      <c r="L28" s="44">
        <f>if('Costs Hypotheses (1)'!$E9&lt;=L$3,('Costs Hypotheses (1)'!$D9/12),0)</f>
        <v>0</v>
      </c>
      <c r="M28" s="44">
        <f>if('Costs Hypotheses (1)'!$E9&lt;=M$3,('Costs Hypotheses (1)'!$D9/12),0)</f>
        <v>0</v>
      </c>
      <c r="N28" s="44">
        <f>if('Costs Hypotheses (1)'!$E9&lt;=N$3,('Costs Hypotheses (1)'!$D9/12),0)</f>
        <v>0</v>
      </c>
      <c r="O28" s="88">
        <f>if('Costs Hypotheses (1)'!$E9&lt;=O$3,('Costs Hypotheses (1)'!$D9/12),0)</f>
        <v>0</v>
      </c>
      <c r="P28" s="49">
        <f>if('Costs Hypotheses (1)'!$E9&lt;=P$3,('Costs Hypotheses (1)'!$D9/12),0)</f>
        <v>0</v>
      </c>
      <c r="Q28" s="49">
        <f>if('Costs Hypotheses (1)'!$E9&lt;=Q$3,('Costs Hypotheses (1)'!$D9/12),0)</f>
        <v>0</v>
      </c>
      <c r="R28" s="49">
        <f>if('Costs Hypotheses (1)'!$E9&lt;=R$3,('Costs Hypotheses (1)'!$D9/12),0)</f>
        <v>0</v>
      </c>
      <c r="S28" s="49">
        <f>if('Costs Hypotheses (1)'!$E9&lt;=S$3,('Costs Hypotheses (1)'!$D9/12),0)</f>
        <v>0</v>
      </c>
      <c r="T28" s="49">
        <f>if('Costs Hypotheses (1)'!$E9&lt;=T$3,('Costs Hypotheses (1)'!$D9/12),0)</f>
        <v>0</v>
      </c>
      <c r="U28" s="49">
        <f>if('Costs Hypotheses (1)'!$E9&lt;=U$3,('Costs Hypotheses (1)'!$D9/12),0)</f>
        <v>0</v>
      </c>
      <c r="V28" s="49">
        <f>if('Costs Hypotheses (1)'!$E9&lt;=V$3,('Costs Hypotheses (1)'!$D9/12),0)</f>
        <v>0</v>
      </c>
      <c r="W28" s="49">
        <f>if('Costs Hypotheses (1)'!$E9&lt;=W$3,('Costs Hypotheses (1)'!$D9/12),0)</f>
        <v>0</v>
      </c>
      <c r="X28" s="49">
        <f>if('Costs Hypotheses (1)'!$E9&lt;=X$3,('Costs Hypotheses (1)'!$D9/12),0)</f>
        <v>0</v>
      </c>
      <c r="Y28" s="49">
        <f>if('Costs Hypotheses (1)'!$E9&lt;=Y$3,('Costs Hypotheses (1)'!$D9/12),0)</f>
        <v>0</v>
      </c>
      <c r="Z28" s="89">
        <f>if('Costs Hypotheses (1)'!$E9&lt;=Z$3,('Costs Hypotheses (1)'!$D9/12),0)</f>
        <v>0</v>
      </c>
    </row>
    <row r="29" ht="15.75" customHeight="1">
      <c r="A29" s="23"/>
      <c r="B29" s="44" t="str">
        <f>+CONCATENATE('Costs Hypotheses (1)'!B10," - ",'Costs Hypotheses (1)'!C10)</f>
        <v> - </v>
      </c>
      <c r="C29" s="56">
        <f>if('Costs Hypotheses (1)'!$E10&lt;=C$3,('Costs Hypotheses (1)'!$D10/12),0)</f>
        <v>0</v>
      </c>
      <c r="D29" s="44">
        <f>if('Costs Hypotheses (1)'!$E10&lt;=D$3,('Costs Hypotheses (1)'!$D10/12),0)</f>
        <v>0</v>
      </c>
      <c r="E29" s="44">
        <f>if('Costs Hypotheses (1)'!$E10&lt;=E$3,('Costs Hypotheses (1)'!$D10/12),0)</f>
        <v>0</v>
      </c>
      <c r="F29" s="44">
        <f>if('Costs Hypotheses (1)'!$E10&lt;=F$3,('Costs Hypotheses (1)'!$D10/12),0)</f>
        <v>0</v>
      </c>
      <c r="G29" s="44">
        <f>if('Costs Hypotheses (1)'!$E10&lt;=G$3,('Costs Hypotheses (1)'!$D10/12),0)</f>
        <v>0</v>
      </c>
      <c r="H29" s="44">
        <f>if('Costs Hypotheses (1)'!$E10&lt;=H$3,('Costs Hypotheses (1)'!$D10/12),0)</f>
        <v>0</v>
      </c>
      <c r="I29" s="44">
        <f>if('Costs Hypotheses (1)'!$E10&lt;=I$3,('Costs Hypotheses (1)'!$D10/12),0)</f>
        <v>0</v>
      </c>
      <c r="J29" s="44">
        <f>if('Costs Hypotheses (1)'!$E10&lt;=J$3,('Costs Hypotheses (1)'!$D10/12),0)</f>
        <v>0</v>
      </c>
      <c r="K29" s="44">
        <f>if('Costs Hypotheses (1)'!$E10&lt;=K$3,('Costs Hypotheses (1)'!$D10/12),0)</f>
        <v>0</v>
      </c>
      <c r="L29" s="44">
        <f>if('Costs Hypotheses (1)'!$E10&lt;=L$3,('Costs Hypotheses (1)'!$D10/12),0)</f>
        <v>0</v>
      </c>
      <c r="M29" s="44">
        <f>if('Costs Hypotheses (1)'!$E10&lt;=M$3,('Costs Hypotheses (1)'!$D10/12),0)</f>
        <v>0</v>
      </c>
      <c r="N29" s="44">
        <f>if('Costs Hypotheses (1)'!$E10&lt;=N$3,('Costs Hypotheses (1)'!$D10/12),0)</f>
        <v>0</v>
      </c>
      <c r="O29" s="56">
        <f>if('Costs Hypotheses (1)'!$E10&lt;=O$3,('Costs Hypotheses (1)'!$D10/12),0)</f>
        <v>0</v>
      </c>
      <c r="P29" s="44">
        <f>if('Costs Hypotheses (1)'!$E10&lt;=P$3,('Costs Hypotheses (1)'!$D10/12),0)</f>
        <v>0</v>
      </c>
      <c r="Q29" s="49">
        <f>if('Costs Hypotheses (1)'!$E10&lt;=Q$3,('Costs Hypotheses (1)'!$D10/12),0)</f>
        <v>0</v>
      </c>
      <c r="R29" s="49">
        <f>if('Costs Hypotheses (1)'!$E10&lt;=R$3,('Costs Hypotheses (1)'!$D10/12),0)</f>
        <v>0</v>
      </c>
      <c r="S29" s="49">
        <f>if('Costs Hypotheses (1)'!$E10&lt;=S$3,('Costs Hypotheses (1)'!$D10/12),0)</f>
        <v>0</v>
      </c>
      <c r="T29" s="49">
        <f>if('Costs Hypotheses (1)'!$E10&lt;=T$3,('Costs Hypotheses (1)'!$D10/12),0)</f>
        <v>0</v>
      </c>
      <c r="U29" s="49">
        <f>if('Costs Hypotheses (1)'!$E10&lt;=U$3,('Costs Hypotheses (1)'!$D10/12),0)</f>
        <v>0</v>
      </c>
      <c r="V29" s="49">
        <f>if('Costs Hypotheses (1)'!$E10&lt;=V$3,('Costs Hypotheses (1)'!$D10/12),0)</f>
        <v>0</v>
      </c>
      <c r="W29" s="49">
        <f>if('Costs Hypotheses (1)'!$E10&lt;=W$3,('Costs Hypotheses (1)'!$D10/12),0)</f>
        <v>0</v>
      </c>
      <c r="X29" s="49">
        <f>if('Costs Hypotheses (1)'!$E10&lt;=X$3,('Costs Hypotheses (1)'!$D10/12),0)</f>
        <v>0</v>
      </c>
      <c r="Y29" s="49">
        <f>if('Costs Hypotheses (1)'!$E10&lt;=Y$3,('Costs Hypotheses (1)'!$D10/12),0)</f>
        <v>0</v>
      </c>
      <c r="Z29" s="89">
        <f>if('Costs Hypotheses (1)'!$E10&lt;=Z$3,('Costs Hypotheses (1)'!$D10/12),0)</f>
        <v>0</v>
      </c>
    </row>
    <row r="30" ht="15.75" customHeight="1">
      <c r="A30" s="23"/>
      <c r="B30" s="44" t="str">
        <f>+CONCATENATE('Costs Hypotheses (1)'!B11," - ",'Costs Hypotheses (1)'!C11)</f>
        <v> - </v>
      </c>
      <c r="C30" s="56">
        <f>if('Costs Hypotheses (1)'!$E11&lt;=C$3,('Costs Hypotheses (1)'!$D11/12),0)</f>
        <v>0</v>
      </c>
      <c r="D30" s="44">
        <f>if('Costs Hypotheses (1)'!$E11&lt;=D$3,('Costs Hypotheses (1)'!$D11/12),0)</f>
        <v>0</v>
      </c>
      <c r="E30" s="49">
        <f>if('Costs Hypotheses (1)'!$E11&lt;=E$3,('Costs Hypotheses (1)'!$D11/12),0)</f>
        <v>0</v>
      </c>
      <c r="F30" s="49">
        <f>if('Costs Hypotheses (1)'!$E11&lt;=F$3,('Costs Hypotheses (1)'!$D11/12),0)</f>
        <v>0</v>
      </c>
      <c r="G30" s="49">
        <f>if('Costs Hypotheses (1)'!$E11&lt;=G$3,('Costs Hypotheses (1)'!$D11/12),0)</f>
        <v>0</v>
      </c>
      <c r="H30" s="49">
        <f>if('Costs Hypotheses (1)'!$E11&lt;=H$3,('Costs Hypotheses (1)'!$D11/12),0)</f>
        <v>0</v>
      </c>
      <c r="I30" s="49">
        <f>if('Costs Hypotheses (1)'!$E11&lt;=I$3,('Costs Hypotheses (1)'!$D11/12),0)</f>
        <v>0</v>
      </c>
      <c r="J30" s="49">
        <f>if('Costs Hypotheses (1)'!$E11&lt;=J$3,('Costs Hypotheses (1)'!$D11/12),0)</f>
        <v>0</v>
      </c>
      <c r="K30" s="49">
        <f>if('Costs Hypotheses (1)'!$E11&lt;=K$3,('Costs Hypotheses (1)'!$D11/12),0)</f>
        <v>0</v>
      </c>
      <c r="L30" s="49">
        <f>if('Costs Hypotheses (1)'!$E11&lt;=L$3,('Costs Hypotheses (1)'!$D11/12),0)</f>
        <v>0</v>
      </c>
      <c r="M30" s="49">
        <f>if('Costs Hypotheses (1)'!$E11&lt;=M$3,('Costs Hypotheses (1)'!$D11/12),0)</f>
        <v>0</v>
      </c>
      <c r="N30" s="49">
        <f>if('Costs Hypotheses (1)'!$E11&lt;=N$3,('Costs Hypotheses (1)'!$D11/12),0)</f>
        <v>0</v>
      </c>
      <c r="O30" s="88">
        <f>if('Costs Hypotheses (1)'!$E11&lt;=O$3,('Costs Hypotheses (1)'!$D11/12),0)</f>
        <v>0</v>
      </c>
      <c r="P30" s="49">
        <f>if('Costs Hypotheses (1)'!$E11&lt;=P$3,('Costs Hypotheses (1)'!$D11/12),0)</f>
        <v>0</v>
      </c>
      <c r="Q30" s="49">
        <f>if('Costs Hypotheses (1)'!$E11&lt;=Q$3,('Costs Hypotheses (1)'!$D11/12),0)</f>
        <v>0</v>
      </c>
      <c r="R30" s="49">
        <f>if('Costs Hypotheses (1)'!$E11&lt;=R$3,('Costs Hypotheses (1)'!$D11/12),0)</f>
        <v>0</v>
      </c>
      <c r="S30" s="49">
        <f>if('Costs Hypotheses (1)'!$E11&lt;=S$3,('Costs Hypotheses (1)'!$D11/12),0)</f>
        <v>0</v>
      </c>
      <c r="T30" s="49">
        <f>if('Costs Hypotheses (1)'!$E11&lt;=T$3,('Costs Hypotheses (1)'!$D11/12),0)</f>
        <v>0</v>
      </c>
      <c r="U30" s="49">
        <f>if('Costs Hypotheses (1)'!$E11&lt;=U$3,('Costs Hypotheses (1)'!$D11/12),0)</f>
        <v>0</v>
      </c>
      <c r="V30" s="49">
        <f>if('Costs Hypotheses (1)'!$E11&lt;=V$3,('Costs Hypotheses (1)'!$D11/12),0)</f>
        <v>0</v>
      </c>
      <c r="W30" s="49">
        <f>if('Costs Hypotheses (1)'!$E11&lt;=W$3,('Costs Hypotheses (1)'!$D11/12),0)</f>
        <v>0</v>
      </c>
      <c r="X30" s="49">
        <f>if('Costs Hypotheses (1)'!$E11&lt;=X$3,('Costs Hypotheses (1)'!$D11/12),0)</f>
        <v>0</v>
      </c>
      <c r="Y30" s="49">
        <f>if('Costs Hypotheses (1)'!$E11&lt;=Y$3,('Costs Hypotheses (1)'!$D11/12),0)</f>
        <v>0</v>
      </c>
      <c r="Z30" s="89">
        <f>if('Costs Hypotheses (1)'!$E11&lt;=Z$3,('Costs Hypotheses (1)'!$D11/12),0)</f>
        <v>0</v>
      </c>
    </row>
    <row r="31" ht="15.75" customHeight="1">
      <c r="A31" s="23"/>
      <c r="B31" s="44" t="str">
        <f>+CONCATENATE('Costs Hypotheses (1)'!B12," - ",'Costs Hypotheses (1)'!C12)</f>
        <v> - </v>
      </c>
      <c r="C31" s="56">
        <f>if('Costs Hypotheses (1)'!$E12&lt;=C$3,('Costs Hypotheses (1)'!$D12/12),0)</f>
        <v>0</v>
      </c>
      <c r="D31" s="44">
        <f>if('Costs Hypotheses (1)'!$E12&lt;=D$3,('Costs Hypotheses (1)'!$D12/12),0)</f>
        <v>0</v>
      </c>
      <c r="E31" s="44">
        <f>if('Costs Hypotheses (1)'!$E12&lt;=E$3,('Costs Hypotheses (1)'!$D12/12),0)</f>
        <v>0</v>
      </c>
      <c r="F31" s="44">
        <f>if('Costs Hypotheses (1)'!$E12&lt;=F$3,('Costs Hypotheses (1)'!$D12/12),0)</f>
        <v>0</v>
      </c>
      <c r="G31" s="44">
        <f>if('Costs Hypotheses (1)'!$E12&lt;=G$3,('Costs Hypotheses (1)'!$D12/12),0)</f>
        <v>0</v>
      </c>
      <c r="H31" s="44">
        <f>if('Costs Hypotheses (1)'!$E12&lt;=H$3,('Costs Hypotheses (1)'!$D12/12),0)</f>
        <v>0</v>
      </c>
      <c r="I31" s="49">
        <f>if('Costs Hypotheses (1)'!$E12&lt;=I$3,('Costs Hypotheses (1)'!$D12/12),0)</f>
        <v>0</v>
      </c>
      <c r="J31" s="49">
        <f>if('Costs Hypotheses (1)'!$E12&lt;=J$3,('Costs Hypotheses (1)'!$D12/12),0)</f>
        <v>0</v>
      </c>
      <c r="K31" s="49">
        <f>if('Costs Hypotheses (1)'!$E12&lt;=K$3,('Costs Hypotheses (1)'!$D12/12),0)</f>
        <v>0</v>
      </c>
      <c r="L31" s="49">
        <f>if('Costs Hypotheses (1)'!$E12&lt;=L$3,('Costs Hypotheses (1)'!$D12/12),0)</f>
        <v>0</v>
      </c>
      <c r="M31" s="49">
        <f>if('Costs Hypotheses (1)'!$E12&lt;=M$3,('Costs Hypotheses (1)'!$D12/12),0)</f>
        <v>0</v>
      </c>
      <c r="N31" s="49">
        <f>if('Costs Hypotheses (1)'!$E12&lt;=N$3,('Costs Hypotheses (1)'!$D12/12),0)</f>
        <v>0</v>
      </c>
      <c r="O31" s="88">
        <f>if('Costs Hypotheses (1)'!$E12&lt;=O$3,('Costs Hypotheses (1)'!$D12/12),0)</f>
        <v>0</v>
      </c>
      <c r="P31" s="49">
        <f>if('Costs Hypotheses (1)'!$E12&lt;=P$3,('Costs Hypotheses (1)'!$D12/12),0)</f>
        <v>0</v>
      </c>
      <c r="Q31" s="49">
        <f>if('Costs Hypotheses (1)'!$E12&lt;=Q$3,('Costs Hypotheses (1)'!$D12/12),0)</f>
        <v>0</v>
      </c>
      <c r="R31" s="49">
        <f>if('Costs Hypotheses (1)'!$E12&lt;=R$3,('Costs Hypotheses (1)'!$D12/12),0)</f>
        <v>0</v>
      </c>
      <c r="S31" s="49">
        <f>if('Costs Hypotheses (1)'!$E12&lt;=S$3,('Costs Hypotheses (1)'!$D12/12),0)</f>
        <v>0</v>
      </c>
      <c r="T31" s="49">
        <f>if('Costs Hypotheses (1)'!$E12&lt;=T$3,('Costs Hypotheses (1)'!$D12/12),0)</f>
        <v>0</v>
      </c>
      <c r="U31" s="49">
        <f>if('Costs Hypotheses (1)'!$E12&lt;=U$3,('Costs Hypotheses (1)'!$D12/12),0)</f>
        <v>0</v>
      </c>
      <c r="V31" s="49">
        <f>if('Costs Hypotheses (1)'!$E12&lt;=V$3,('Costs Hypotheses (1)'!$D12/12),0)</f>
        <v>0</v>
      </c>
      <c r="W31" s="49">
        <f>if('Costs Hypotheses (1)'!$E12&lt;=W$3,('Costs Hypotheses (1)'!$D12/12),0)</f>
        <v>0</v>
      </c>
      <c r="X31" s="49">
        <f>if('Costs Hypotheses (1)'!$E12&lt;=X$3,('Costs Hypotheses (1)'!$D12/12),0)</f>
        <v>0</v>
      </c>
      <c r="Y31" s="49">
        <f>if('Costs Hypotheses (1)'!$E12&lt;=Y$3,('Costs Hypotheses (1)'!$D12/12),0)</f>
        <v>0</v>
      </c>
      <c r="Z31" s="89">
        <f>if('Costs Hypotheses (1)'!$E12&lt;=Z$3,('Costs Hypotheses (1)'!$D12/12),0)</f>
        <v>0</v>
      </c>
    </row>
    <row r="32" ht="15.75" customHeight="1">
      <c r="A32" s="23"/>
      <c r="B32" s="44" t="str">
        <f>+CONCATENATE('Costs Hypotheses (1)'!B13," - ",'Costs Hypotheses (1)'!C13)</f>
        <v> - </v>
      </c>
      <c r="C32" s="56">
        <f>if('Costs Hypotheses (1)'!$E13&lt;=C$3,('Costs Hypotheses (1)'!$D13/12),0)</f>
        <v>0</v>
      </c>
      <c r="D32" s="44">
        <f>if('Costs Hypotheses (1)'!$E13&lt;=D$3,('Costs Hypotheses (1)'!$D13/12),0)</f>
        <v>0</v>
      </c>
      <c r="E32" s="44">
        <f>if('Costs Hypotheses (1)'!$E13&lt;=E$3,('Costs Hypotheses (1)'!$D13/12),0)</f>
        <v>0</v>
      </c>
      <c r="F32" s="44">
        <f>if('Costs Hypotheses (1)'!$E13&lt;=F$3,('Costs Hypotheses (1)'!$D13/12),0)</f>
        <v>0</v>
      </c>
      <c r="G32" s="44">
        <f>if('Costs Hypotheses (1)'!$E13&lt;=G$3,('Costs Hypotheses (1)'!$D13/12),0)</f>
        <v>0</v>
      </c>
      <c r="H32" s="44">
        <f>if('Costs Hypotheses (1)'!$E13&lt;=H$3,('Costs Hypotheses (1)'!$D13/12),0)</f>
        <v>0</v>
      </c>
      <c r="I32" s="44">
        <f>if('Costs Hypotheses (1)'!$E13&lt;=I$3,('Costs Hypotheses (1)'!$D13/12),0)</f>
        <v>0</v>
      </c>
      <c r="J32" s="49">
        <f>if('Costs Hypotheses (1)'!$E13&lt;=J$3,('Costs Hypotheses (1)'!$D13/12),0)</f>
        <v>0</v>
      </c>
      <c r="K32" s="49">
        <f>if('Costs Hypotheses (1)'!$E13&lt;=K$3,('Costs Hypotheses (1)'!$D13/12),0)</f>
        <v>0</v>
      </c>
      <c r="L32" s="49">
        <f>if('Costs Hypotheses (1)'!$E13&lt;=L$3,('Costs Hypotheses (1)'!$D13/12),0)</f>
        <v>0</v>
      </c>
      <c r="M32" s="49">
        <f>if('Costs Hypotheses (1)'!$E13&lt;=M$3,('Costs Hypotheses (1)'!$D13/12),0)</f>
        <v>0</v>
      </c>
      <c r="N32" s="49">
        <f>if('Costs Hypotheses (1)'!$E13&lt;=N$3,('Costs Hypotheses (1)'!$D13/12),0)</f>
        <v>0</v>
      </c>
      <c r="O32" s="88">
        <f>if('Costs Hypotheses (1)'!$E13&lt;=O$3,('Costs Hypotheses (1)'!$D13/12),0)</f>
        <v>0</v>
      </c>
      <c r="P32" s="49">
        <f>if('Costs Hypotheses (1)'!$E13&lt;=P$3,('Costs Hypotheses (1)'!$D13/12),0)</f>
        <v>0</v>
      </c>
      <c r="Q32" s="49">
        <f>if('Costs Hypotheses (1)'!$E13&lt;=Q$3,('Costs Hypotheses (1)'!$D13/12),0)</f>
        <v>0</v>
      </c>
      <c r="R32" s="49">
        <f>if('Costs Hypotheses (1)'!$E13&lt;=R$3,('Costs Hypotheses (1)'!$D13/12),0)</f>
        <v>0</v>
      </c>
      <c r="S32" s="49">
        <f>if('Costs Hypotheses (1)'!$E13&lt;=S$3,('Costs Hypotheses (1)'!$D13/12),0)</f>
        <v>0</v>
      </c>
      <c r="T32" s="49">
        <f>if('Costs Hypotheses (1)'!$E13&lt;=T$3,('Costs Hypotheses (1)'!$D13/12),0)</f>
        <v>0</v>
      </c>
      <c r="U32" s="49">
        <f>if('Costs Hypotheses (1)'!$E13&lt;=U$3,('Costs Hypotheses (1)'!$D13/12),0)</f>
        <v>0</v>
      </c>
      <c r="V32" s="49">
        <f>if('Costs Hypotheses (1)'!$E13&lt;=V$3,('Costs Hypotheses (1)'!$D13/12),0)</f>
        <v>0</v>
      </c>
      <c r="W32" s="49">
        <f>if('Costs Hypotheses (1)'!$E13&lt;=W$3,('Costs Hypotheses (1)'!$D13/12),0)</f>
        <v>0</v>
      </c>
      <c r="X32" s="49">
        <f>if('Costs Hypotheses (1)'!$E13&lt;=X$3,('Costs Hypotheses (1)'!$D13/12),0)</f>
        <v>0</v>
      </c>
      <c r="Y32" s="49">
        <f>if('Costs Hypotheses (1)'!$E13&lt;=Y$3,('Costs Hypotheses (1)'!$D13/12),0)</f>
        <v>0</v>
      </c>
      <c r="Z32" s="89">
        <f>if('Costs Hypotheses (1)'!$E13&lt;=Z$3,('Costs Hypotheses (1)'!$D13/12),0)</f>
        <v>0</v>
      </c>
    </row>
    <row r="33" ht="15.75" customHeight="1">
      <c r="A33" s="23"/>
      <c r="B33" s="44" t="str">
        <f>+CONCATENATE('Costs Hypotheses (1)'!B14," - ",'Costs Hypotheses (1)'!C14)</f>
        <v> - </v>
      </c>
      <c r="C33" s="56">
        <f>if('Costs Hypotheses (1)'!$E14&lt;=C$3,('Costs Hypotheses (1)'!$D14/12),0)</f>
        <v>0</v>
      </c>
      <c r="D33" s="44">
        <f>if('Costs Hypotheses (1)'!$E14&lt;=D$3,('Costs Hypotheses (1)'!$D14/12),0)</f>
        <v>0</v>
      </c>
      <c r="E33" s="44">
        <f>if('Costs Hypotheses (1)'!$E14&lt;=E$3,('Costs Hypotheses (1)'!$D14/12),0)</f>
        <v>0</v>
      </c>
      <c r="F33" s="44">
        <f>if('Costs Hypotheses (1)'!$E14&lt;=F$3,('Costs Hypotheses (1)'!$D14/12),0)</f>
        <v>0</v>
      </c>
      <c r="G33" s="49">
        <f>if('Costs Hypotheses (1)'!$E14&lt;=G$3,('Costs Hypotheses (1)'!$D14/12),0)</f>
        <v>0</v>
      </c>
      <c r="H33" s="49">
        <f>if('Costs Hypotheses (1)'!$E14&lt;=H$3,('Costs Hypotheses (1)'!$D14/12),0)</f>
        <v>0</v>
      </c>
      <c r="I33" s="49">
        <f>if('Costs Hypotheses (1)'!$E14&lt;=I$3,('Costs Hypotheses (1)'!$D14/12),0)</f>
        <v>0</v>
      </c>
      <c r="J33" s="49">
        <f>if('Costs Hypotheses (1)'!$E14&lt;=J$3,('Costs Hypotheses (1)'!$D14/12),0)</f>
        <v>0</v>
      </c>
      <c r="K33" s="49">
        <f>if('Costs Hypotheses (1)'!$E14&lt;=K$3,('Costs Hypotheses (1)'!$D14/12),0)</f>
        <v>0</v>
      </c>
      <c r="L33" s="49">
        <f>if('Costs Hypotheses (1)'!$E14&lt;=L$3,('Costs Hypotheses (1)'!$D14/12),0)</f>
        <v>0</v>
      </c>
      <c r="M33" s="49">
        <f>if('Costs Hypotheses (1)'!$E14&lt;=M$3,('Costs Hypotheses (1)'!$D14/12),0)</f>
        <v>0</v>
      </c>
      <c r="N33" s="49">
        <f>if('Costs Hypotheses (1)'!$E14&lt;=N$3,('Costs Hypotheses (1)'!$D14/12),0)</f>
        <v>0</v>
      </c>
      <c r="O33" s="88">
        <f>if('Costs Hypotheses (1)'!$E14&lt;=O$3,('Costs Hypotheses (1)'!$D14/12),0)</f>
        <v>0</v>
      </c>
      <c r="P33" s="49">
        <f>if('Costs Hypotheses (1)'!$E14&lt;=P$3,('Costs Hypotheses (1)'!$D14/12),0)</f>
        <v>0</v>
      </c>
      <c r="Q33" s="49">
        <f>if('Costs Hypotheses (1)'!$E14&lt;=Q$3,('Costs Hypotheses (1)'!$D14/12),0)</f>
        <v>0</v>
      </c>
      <c r="R33" s="49">
        <f>if('Costs Hypotheses (1)'!$E14&lt;=R$3,('Costs Hypotheses (1)'!$D14/12),0)</f>
        <v>0</v>
      </c>
      <c r="S33" s="49">
        <f>if('Costs Hypotheses (1)'!$E14&lt;=S$3,('Costs Hypotheses (1)'!$D14/12),0)</f>
        <v>0</v>
      </c>
      <c r="T33" s="49">
        <f>if('Costs Hypotheses (1)'!$E14&lt;=T$3,('Costs Hypotheses (1)'!$D14/12),0)</f>
        <v>0</v>
      </c>
      <c r="U33" s="49">
        <f>if('Costs Hypotheses (1)'!$E14&lt;=U$3,('Costs Hypotheses (1)'!$D14/12),0)</f>
        <v>0</v>
      </c>
      <c r="V33" s="49">
        <f>if('Costs Hypotheses (1)'!$E14&lt;=V$3,('Costs Hypotheses (1)'!$D14/12),0)</f>
        <v>0</v>
      </c>
      <c r="W33" s="49">
        <f>if('Costs Hypotheses (1)'!$E14&lt;=W$3,('Costs Hypotheses (1)'!$D14/12),0)</f>
        <v>0</v>
      </c>
      <c r="X33" s="49">
        <f>if('Costs Hypotheses (1)'!$E14&lt;=X$3,('Costs Hypotheses (1)'!$D14/12),0)</f>
        <v>0</v>
      </c>
      <c r="Y33" s="49">
        <f>if('Costs Hypotheses (1)'!$E14&lt;=Y$3,('Costs Hypotheses (1)'!$D14/12),0)</f>
        <v>0</v>
      </c>
      <c r="Z33" s="89">
        <f>if('Costs Hypotheses (1)'!$E14&lt;=Z$3,('Costs Hypotheses (1)'!$D14/12),0)</f>
        <v>0</v>
      </c>
    </row>
    <row r="34" ht="15.75" customHeight="1">
      <c r="A34" s="23"/>
      <c r="B34" s="44" t="str">
        <f>+CONCATENATE('Costs Hypotheses (1)'!B15," - ",'Costs Hypotheses (1)'!C15)</f>
        <v> - </v>
      </c>
      <c r="C34" s="56">
        <f>if('Costs Hypotheses (1)'!$E15&lt;=C$3,('Costs Hypotheses (1)'!$D15/12),0)</f>
        <v>0</v>
      </c>
      <c r="D34" s="44">
        <f>if('Costs Hypotheses (1)'!$E15&lt;=D$3,('Costs Hypotheses (1)'!$D15/12),0)</f>
        <v>0</v>
      </c>
      <c r="E34" s="44">
        <f>if('Costs Hypotheses (1)'!$E15&lt;=E$3,('Costs Hypotheses (1)'!$D15/12),0)</f>
        <v>0</v>
      </c>
      <c r="F34" s="44">
        <f>if('Costs Hypotheses (1)'!$E15&lt;=F$3,('Costs Hypotheses (1)'!$D15/12),0)</f>
        <v>0</v>
      </c>
      <c r="G34" s="49">
        <f>if('Costs Hypotheses (1)'!$E15&lt;=G$3,('Costs Hypotheses (1)'!$D15/12),0)</f>
        <v>0</v>
      </c>
      <c r="H34" s="49">
        <f>if('Costs Hypotheses (1)'!$E15&lt;=H$3,('Costs Hypotheses (1)'!$D15/12),0)</f>
        <v>0</v>
      </c>
      <c r="I34" s="49">
        <f>if('Costs Hypotheses (1)'!$E15&lt;=I$3,('Costs Hypotheses (1)'!$D15/12),0)</f>
        <v>0</v>
      </c>
      <c r="J34" s="49">
        <f>if('Costs Hypotheses (1)'!$E15&lt;=J$3,('Costs Hypotheses (1)'!$D15/12),0)</f>
        <v>0</v>
      </c>
      <c r="K34" s="49">
        <f>if('Costs Hypotheses (1)'!$E15&lt;=K$3,('Costs Hypotheses (1)'!$D15/12),0)</f>
        <v>0</v>
      </c>
      <c r="L34" s="49">
        <f>if('Costs Hypotheses (1)'!$E15&lt;=L$3,('Costs Hypotheses (1)'!$D15/12),0)</f>
        <v>0</v>
      </c>
      <c r="M34" s="49">
        <f>if('Costs Hypotheses (1)'!$E15&lt;=M$3,('Costs Hypotheses (1)'!$D15/12),0)</f>
        <v>0</v>
      </c>
      <c r="N34" s="49">
        <f>if('Costs Hypotheses (1)'!$E15&lt;=N$3,('Costs Hypotheses (1)'!$D15/12),0)</f>
        <v>0</v>
      </c>
      <c r="O34" s="88">
        <f>if('Costs Hypotheses (1)'!$E15&lt;=O$3,('Costs Hypotheses (1)'!$D15/12),0)</f>
        <v>0</v>
      </c>
      <c r="P34" s="49">
        <f>if('Costs Hypotheses (1)'!$E15&lt;=P$3,('Costs Hypotheses (1)'!$D15/12),0)</f>
        <v>0</v>
      </c>
      <c r="Q34" s="49">
        <f>if('Costs Hypotheses (1)'!$E15&lt;=Q$3,('Costs Hypotheses (1)'!$D15/12),0)</f>
        <v>0</v>
      </c>
      <c r="R34" s="49">
        <f>if('Costs Hypotheses (1)'!$E15&lt;=R$3,('Costs Hypotheses (1)'!$D15/12),0)</f>
        <v>0</v>
      </c>
      <c r="S34" s="49">
        <f>if('Costs Hypotheses (1)'!$E15&lt;=S$3,('Costs Hypotheses (1)'!$D15/12),0)</f>
        <v>0</v>
      </c>
      <c r="T34" s="49">
        <f>if('Costs Hypotheses (1)'!$E15&lt;=T$3,('Costs Hypotheses (1)'!$D15/12),0)</f>
        <v>0</v>
      </c>
      <c r="U34" s="49">
        <f>if('Costs Hypotheses (1)'!$E15&lt;=U$3,('Costs Hypotheses (1)'!$D15/12),0)</f>
        <v>0</v>
      </c>
      <c r="V34" s="49">
        <f>if('Costs Hypotheses (1)'!$E15&lt;=V$3,('Costs Hypotheses (1)'!$D15/12),0)</f>
        <v>0</v>
      </c>
      <c r="W34" s="49">
        <f>if('Costs Hypotheses (1)'!$E15&lt;=W$3,('Costs Hypotheses (1)'!$D15/12),0)</f>
        <v>0</v>
      </c>
      <c r="X34" s="49">
        <f>if('Costs Hypotheses (1)'!$E15&lt;=X$3,('Costs Hypotheses (1)'!$D15/12),0)</f>
        <v>0</v>
      </c>
      <c r="Y34" s="49">
        <f>if('Costs Hypotheses (1)'!$E15&lt;=Y$3,('Costs Hypotheses (1)'!$D15/12),0)</f>
        <v>0</v>
      </c>
      <c r="Z34" s="89">
        <f>if('Costs Hypotheses (1)'!$E15&lt;=Z$3,('Costs Hypotheses (1)'!$D15/12),0)</f>
        <v>0</v>
      </c>
    </row>
    <row r="35" ht="15.75" customHeight="1">
      <c r="A35" s="23"/>
      <c r="B35" s="44" t="str">
        <f>+CONCATENATE('Costs Hypotheses (1)'!B16," - ",'Costs Hypotheses (1)'!C16)</f>
        <v> - </v>
      </c>
      <c r="C35" s="56">
        <f>if('Costs Hypotheses (1)'!$E16&lt;=C$3,('Costs Hypotheses (1)'!$D16/12),0)</f>
        <v>0</v>
      </c>
      <c r="D35" s="44">
        <f>if('Costs Hypotheses (1)'!$E16&lt;=D$3,('Costs Hypotheses (1)'!$D16/12),0)</f>
        <v>0</v>
      </c>
      <c r="E35" s="44">
        <f>if('Costs Hypotheses (1)'!$E16&lt;=E$3,('Costs Hypotheses (1)'!$D16/12),0)</f>
        <v>0</v>
      </c>
      <c r="F35" s="44">
        <f>if('Costs Hypotheses (1)'!$E16&lt;=F$3,('Costs Hypotheses (1)'!$D16/12),0)</f>
        <v>0</v>
      </c>
      <c r="G35" s="44">
        <f>if('Costs Hypotheses (1)'!$E16&lt;=G$3,('Costs Hypotheses (1)'!$D16/12),0)</f>
        <v>0</v>
      </c>
      <c r="H35" s="44">
        <f>if('Costs Hypotheses (1)'!$E16&lt;=H$3,('Costs Hypotheses (1)'!$D16/12),0)</f>
        <v>0</v>
      </c>
      <c r="I35" s="44">
        <f>if('Costs Hypotheses (1)'!$E16&lt;=I$3,('Costs Hypotheses (1)'!$D16/12),0)</f>
        <v>0</v>
      </c>
      <c r="J35" s="44">
        <f>if('Costs Hypotheses (1)'!$E16&lt;=J$3,('Costs Hypotheses (1)'!$D16/12),0)</f>
        <v>0</v>
      </c>
      <c r="K35" s="44">
        <f>if('Costs Hypotheses (1)'!$E16&lt;=K$3,('Costs Hypotheses (1)'!$D16/12),0)</f>
        <v>0</v>
      </c>
      <c r="L35" s="49">
        <f>if('Costs Hypotheses (1)'!$E16&lt;=L$3,('Costs Hypotheses (1)'!$D16/12),0)</f>
        <v>0</v>
      </c>
      <c r="M35" s="49">
        <f>if('Costs Hypotheses (1)'!$E16&lt;=M$3,('Costs Hypotheses (1)'!$D16/12),0)</f>
        <v>0</v>
      </c>
      <c r="N35" s="49">
        <f>if('Costs Hypotheses (1)'!$E16&lt;=N$3,('Costs Hypotheses (1)'!$D16/12),0)</f>
        <v>0</v>
      </c>
      <c r="O35" s="88">
        <f>if('Costs Hypotheses (1)'!$E16&lt;=O$3,('Costs Hypotheses (1)'!$D16/12),0)</f>
        <v>0</v>
      </c>
      <c r="P35" s="49">
        <f>if('Costs Hypotheses (1)'!$E16&lt;=P$3,('Costs Hypotheses (1)'!$D16/12),0)</f>
        <v>0</v>
      </c>
      <c r="Q35" s="49">
        <f>if('Costs Hypotheses (1)'!$E16&lt;=Q$3,('Costs Hypotheses (1)'!$D16/12),0)</f>
        <v>0</v>
      </c>
      <c r="R35" s="49">
        <f>if('Costs Hypotheses (1)'!$E16&lt;=R$3,('Costs Hypotheses (1)'!$D16/12),0)</f>
        <v>0</v>
      </c>
      <c r="S35" s="49">
        <f>if('Costs Hypotheses (1)'!$E16&lt;=S$3,('Costs Hypotheses (1)'!$D16/12),0)</f>
        <v>0</v>
      </c>
      <c r="T35" s="49">
        <f>if('Costs Hypotheses (1)'!$E16&lt;=T$3,('Costs Hypotheses (1)'!$D16/12),0)</f>
        <v>0</v>
      </c>
      <c r="U35" s="49">
        <f>if('Costs Hypotheses (1)'!$E16&lt;=U$3,('Costs Hypotheses (1)'!$D16/12),0)</f>
        <v>0</v>
      </c>
      <c r="V35" s="49">
        <f>if('Costs Hypotheses (1)'!$E16&lt;=V$3,('Costs Hypotheses (1)'!$D16/12),0)</f>
        <v>0</v>
      </c>
      <c r="W35" s="49">
        <f>if('Costs Hypotheses (1)'!$E16&lt;=W$3,('Costs Hypotheses (1)'!$D16/12),0)</f>
        <v>0</v>
      </c>
      <c r="X35" s="49">
        <f>if('Costs Hypotheses (1)'!$E16&lt;=X$3,('Costs Hypotheses (1)'!$D16/12),0)</f>
        <v>0</v>
      </c>
      <c r="Y35" s="49">
        <f>if('Costs Hypotheses (1)'!$E16&lt;=Y$3,('Costs Hypotheses (1)'!$D16/12),0)</f>
        <v>0</v>
      </c>
      <c r="Z35" s="89">
        <f>if('Costs Hypotheses (1)'!$E16&lt;=Z$3,('Costs Hypotheses (1)'!$D16/12),0)</f>
        <v>0</v>
      </c>
    </row>
    <row r="36" ht="15.75" customHeight="1">
      <c r="A36" s="23"/>
      <c r="B36" s="44" t="str">
        <f>+CONCATENATE('Costs Hypotheses (1)'!B17," - ",'Costs Hypotheses (1)'!C17)</f>
        <v> - </v>
      </c>
      <c r="C36" s="56">
        <f>if('Costs Hypotheses (1)'!$E17&lt;=C$3,('Costs Hypotheses (1)'!$D17/12),0)</f>
        <v>0</v>
      </c>
      <c r="D36" s="44">
        <f>if('Costs Hypotheses (1)'!$E17&lt;=D$3,('Costs Hypotheses (1)'!$D17/12),0)</f>
        <v>0</v>
      </c>
      <c r="E36" s="44">
        <f>if('Costs Hypotheses (1)'!$E17&lt;=E$3,('Costs Hypotheses (1)'!$D17/12),0)</f>
        <v>0</v>
      </c>
      <c r="F36" s="44">
        <f>if('Costs Hypotheses (1)'!$E17&lt;=F$3,('Costs Hypotheses (1)'!$D17/12),0)</f>
        <v>0</v>
      </c>
      <c r="G36" s="44">
        <f>if('Costs Hypotheses (1)'!$E17&lt;=G$3,('Costs Hypotheses (1)'!$D17/12),0)</f>
        <v>0</v>
      </c>
      <c r="H36" s="44">
        <f>if('Costs Hypotheses (1)'!$E17&lt;=H$3,('Costs Hypotheses (1)'!$D17/12),0)</f>
        <v>0</v>
      </c>
      <c r="I36" s="44">
        <f>if('Costs Hypotheses (1)'!$E17&lt;=I$3,('Costs Hypotheses (1)'!$D17/12),0)</f>
        <v>0</v>
      </c>
      <c r="J36" s="44">
        <f>if('Costs Hypotheses (1)'!$E17&lt;=J$3,('Costs Hypotheses (1)'!$D17/12),0)</f>
        <v>0</v>
      </c>
      <c r="K36" s="44">
        <f>if('Costs Hypotheses (1)'!$E17&lt;=K$3,('Costs Hypotheses (1)'!$D17/12),0)</f>
        <v>0</v>
      </c>
      <c r="L36" s="44">
        <f>if('Costs Hypotheses (1)'!$E17&lt;=L$3,('Costs Hypotheses (1)'!$D17/12),0)</f>
        <v>0</v>
      </c>
      <c r="M36" s="44">
        <f>if('Costs Hypotheses (1)'!$E17&lt;=M$3,('Costs Hypotheses (1)'!$D17/12),0)</f>
        <v>0</v>
      </c>
      <c r="N36" s="44">
        <f>if('Costs Hypotheses (1)'!$E17&lt;=N$3,('Costs Hypotheses (1)'!$D17/12),0)</f>
        <v>0</v>
      </c>
      <c r="O36" s="56">
        <f>if('Costs Hypotheses (1)'!$E17&lt;=O$3,('Costs Hypotheses (1)'!$D17/12),0)</f>
        <v>0</v>
      </c>
      <c r="P36" s="44">
        <f>if('Costs Hypotheses (1)'!$E17&lt;=P$3,('Costs Hypotheses (1)'!$D17/12),0)</f>
        <v>0</v>
      </c>
      <c r="Q36" s="49">
        <f>if('Costs Hypotheses (1)'!$E17&lt;=Q$3,('Costs Hypotheses (1)'!$D17/12),0)</f>
        <v>0</v>
      </c>
      <c r="R36" s="49">
        <f>if('Costs Hypotheses (1)'!$E17&lt;=R$3,('Costs Hypotheses (1)'!$D17/12),0)</f>
        <v>0</v>
      </c>
      <c r="S36" s="49">
        <f>if('Costs Hypotheses (1)'!$E17&lt;=S$3,('Costs Hypotheses (1)'!$D17/12),0)</f>
        <v>0</v>
      </c>
      <c r="T36" s="49">
        <f>if('Costs Hypotheses (1)'!$E17&lt;=T$3,('Costs Hypotheses (1)'!$D17/12),0)</f>
        <v>0</v>
      </c>
      <c r="U36" s="49">
        <f>if('Costs Hypotheses (1)'!$E17&lt;=U$3,('Costs Hypotheses (1)'!$D17/12),0)</f>
        <v>0</v>
      </c>
      <c r="V36" s="49">
        <f>if('Costs Hypotheses (1)'!$E17&lt;=V$3,('Costs Hypotheses (1)'!$D17/12),0)</f>
        <v>0</v>
      </c>
      <c r="W36" s="49">
        <f>if('Costs Hypotheses (1)'!$E17&lt;=W$3,('Costs Hypotheses (1)'!$D17/12),0)</f>
        <v>0</v>
      </c>
      <c r="X36" s="49">
        <f>if('Costs Hypotheses (1)'!$E17&lt;=X$3,('Costs Hypotheses (1)'!$D17/12),0)</f>
        <v>0</v>
      </c>
      <c r="Y36" s="49">
        <f>if('Costs Hypotheses (1)'!$E17&lt;=Y$3,('Costs Hypotheses (1)'!$D17/12),0)</f>
        <v>0</v>
      </c>
      <c r="Z36" s="89">
        <f>if('Costs Hypotheses (1)'!$E17&lt;=Z$3,('Costs Hypotheses (1)'!$D17/12),0)</f>
        <v>0</v>
      </c>
    </row>
    <row r="37" ht="15.75" customHeight="1">
      <c r="A37" s="23"/>
      <c r="B37" s="44" t="str">
        <f>+CONCATENATE('Costs Hypotheses (1)'!B18," - ",'Costs Hypotheses (1)'!C18)</f>
        <v> - </v>
      </c>
      <c r="C37" s="56">
        <f>if('Costs Hypotheses (1)'!$E18&lt;=C$3,('Costs Hypotheses (1)'!$D18/12),0)</f>
        <v>0</v>
      </c>
      <c r="D37" s="44">
        <f>if('Costs Hypotheses (1)'!$E18&lt;=D$3,('Costs Hypotheses (1)'!$D18/12),0)</f>
        <v>0</v>
      </c>
      <c r="E37" s="49">
        <f>if('Costs Hypotheses (1)'!$E18&lt;=E$3,('Costs Hypotheses (1)'!$D18/12),0)</f>
        <v>0</v>
      </c>
      <c r="F37" s="49">
        <f>if('Costs Hypotheses (1)'!$E18&lt;=F$3,('Costs Hypotheses (1)'!$D18/12),0)</f>
        <v>0</v>
      </c>
      <c r="G37" s="49">
        <f>if('Costs Hypotheses (1)'!$E18&lt;=G$3,('Costs Hypotheses (1)'!$D18/12),0)</f>
        <v>0</v>
      </c>
      <c r="H37" s="49">
        <f>if('Costs Hypotheses (1)'!$E18&lt;=H$3,('Costs Hypotheses (1)'!$D18/12),0)</f>
        <v>0</v>
      </c>
      <c r="I37" s="49">
        <f>if('Costs Hypotheses (1)'!$E18&lt;=I$3,('Costs Hypotheses (1)'!$D18/12),0)</f>
        <v>0</v>
      </c>
      <c r="J37" s="49">
        <f>if('Costs Hypotheses (1)'!$E18&lt;=J$3,('Costs Hypotheses (1)'!$D18/12),0)</f>
        <v>0</v>
      </c>
      <c r="K37" s="49">
        <f>if('Costs Hypotheses (1)'!$E18&lt;=K$3,('Costs Hypotheses (1)'!$D18/12),0)</f>
        <v>0</v>
      </c>
      <c r="L37" s="49">
        <f>if('Costs Hypotheses (1)'!$E18&lt;=L$3,('Costs Hypotheses (1)'!$D18/12),0)</f>
        <v>0</v>
      </c>
      <c r="M37" s="49">
        <f>if('Costs Hypotheses (1)'!$E18&lt;=M$3,('Costs Hypotheses (1)'!$D18/12),0)</f>
        <v>0</v>
      </c>
      <c r="N37" s="49">
        <f>if('Costs Hypotheses (1)'!$E18&lt;=N$3,('Costs Hypotheses (1)'!$D18/12),0)</f>
        <v>0</v>
      </c>
      <c r="O37" s="88">
        <f>if('Costs Hypotheses (1)'!$E18&lt;=O$3,('Costs Hypotheses (1)'!$D18/12),0)</f>
        <v>0</v>
      </c>
      <c r="P37" s="49">
        <f>if('Costs Hypotheses (1)'!$E18&lt;=P$3,('Costs Hypotheses (1)'!$D18/12),0)</f>
        <v>0</v>
      </c>
      <c r="Q37" s="49">
        <f>if('Costs Hypotheses (1)'!$E18&lt;=Q$3,('Costs Hypotheses (1)'!$D18/12),0)</f>
        <v>0</v>
      </c>
      <c r="R37" s="49">
        <f>if('Costs Hypotheses (1)'!$E18&lt;=R$3,('Costs Hypotheses (1)'!$D18/12),0)</f>
        <v>0</v>
      </c>
      <c r="S37" s="49">
        <f>if('Costs Hypotheses (1)'!$E18&lt;=S$3,('Costs Hypotheses (1)'!$D18/12),0)</f>
        <v>0</v>
      </c>
      <c r="T37" s="49">
        <f>if('Costs Hypotheses (1)'!$E18&lt;=T$3,('Costs Hypotheses (1)'!$D18/12),0)</f>
        <v>0</v>
      </c>
      <c r="U37" s="49">
        <f>if('Costs Hypotheses (1)'!$E18&lt;=U$3,('Costs Hypotheses (1)'!$D18/12),0)</f>
        <v>0</v>
      </c>
      <c r="V37" s="49">
        <f>if('Costs Hypotheses (1)'!$E18&lt;=V$3,('Costs Hypotheses (1)'!$D18/12),0)</f>
        <v>0</v>
      </c>
      <c r="W37" s="49">
        <f>if('Costs Hypotheses (1)'!$E18&lt;=W$3,('Costs Hypotheses (1)'!$D18/12),0)</f>
        <v>0</v>
      </c>
      <c r="X37" s="49">
        <f>if('Costs Hypotheses (1)'!$E18&lt;=X$3,('Costs Hypotheses (1)'!$D18/12),0)</f>
        <v>0</v>
      </c>
      <c r="Y37" s="49">
        <f>if('Costs Hypotheses (1)'!$E18&lt;=Y$3,('Costs Hypotheses (1)'!$D18/12),0)</f>
        <v>0</v>
      </c>
      <c r="Z37" s="89">
        <f>if('Costs Hypotheses (1)'!$E18&lt;=Z$3,('Costs Hypotheses (1)'!$D18/12),0)</f>
        <v>0</v>
      </c>
    </row>
    <row r="38" ht="15.75" customHeight="1">
      <c r="A38" s="23"/>
      <c r="B38" s="44" t="str">
        <f>+CONCATENATE('Costs Hypotheses (1)'!B19," - ",'Costs Hypotheses (1)'!C19)</f>
        <v> - </v>
      </c>
      <c r="C38" s="56">
        <f>if('Costs Hypotheses (1)'!$E19&lt;=C$3,('Costs Hypotheses (1)'!$D19/12),0)</f>
        <v>0</v>
      </c>
      <c r="D38" s="44">
        <f>if('Costs Hypotheses (1)'!$E19&lt;=D$3,('Costs Hypotheses (1)'!$D19/12),0)</f>
        <v>0</v>
      </c>
      <c r="E38" s="44">
        <f>if('Costs Hypotheses (1)'!$E19&lt;=E$3,('Costs Hypotheses (1)'!$D19/12),0)</f>
        <v>0</v>
      </c>
      <c r="F38" s="44">
        <f>if('Costs Hypotheses (1)'!$E19&lt;=F$3,('Costs Hypotheses (1)'!$D19/12),0)</f>
        <v>0</v>
      </c>
      <c r="G38" s="44">
        <f>if('Costs Hypotheses (1)'!$E19&lt;=G$3,('Costs Hypotheses (1)'!$D19/12),0)</f>
        <v>0</v>
      </c>
      <c r="H38" s="44">
        <f>if('Costs Hypotheses (1)'!$E19&lt;=H$3,('Costs Hypotheses (1)'!$D19/12),0)</f>
        <v>0</v>
      </c>
      <c r="I38" s="44">
        <f>if('Costs Hypotheses (1)'!$E19&lt;=I$3,('Costs Hypotheses (1)'!$D19/12),0)</f>
        <v>0</v>
      </c>
      <c r="J38" s="49">
        <f>if('Costs Hypotheses (1)'!$E19&lt;=J$3,('Costs Hypotheses (1)'!$D19/12),0)</f>
        <v>0</v>
      </c>
      <c r="K38" s="49">
        <f>if('Costs Hypotheses (1)'!$E19&lt;=K$3,('Costs Hypotheses (1)'!$D19/12),0)</f>
        <v>0</v>
      </c>
      <c r="L38" s="49">
        <f>if('Costs Hypotheses (1)'!$E19&lt;=L$3,('Costs Hypotheses (1)'!$D19/12),0)</f>
        <v>0</v>
      </c>
      <c r="M38" s="49">
        <f>if('Costs Hypotheses (1)'!$E19&lt;=M$3,('Costs Hypotheses (1)'!$D19/12),0)</f>
        <v>0</v>
      </c>
      <c r="N38" s="49">
        <f>if('Costs Hypotheses (1)'!$E19&lt;=N$3,('Costs Hypotheses (1)'!$D19/12),0)</f>
        <v>0</v>
      </c>
      <c r="O38" s="88">
        <f>if('Costs Hypotheses (1)'!$E19&lt;=O$3,('Costs Hypotheses (1)'!$D19/12),0)</f>
        <v>0</v>
      </c>
      <c r="P38" s="49">
        <f>if('Costs Hypotheses (1)'!$E19&lt;=P$3,('Costs Hypotheses (1)'!$D19/12),0)</f>
        <v>0</v>
      </c>
      <c r="Q38" s="49">
        <f>if('Costs Hypotheses (1)'!$E19&lt;=Q$3,('Costs Hypotheses (1)'!$D19/12),0)</f>
        <v>0</v>
      </c>
      <c r="R38" s="49">
        <f>if('Costs Hypotheses (1)'!$E19&lt;=R$3,('Costs Hypotheses (1)'!$D19/12),0)</f>
        <v>0</v>
      </c>
      <c r="S38" s="49">
        <f>if('Costs Hypotheses (1)'!$E19&lt;=S$3,('Costs Hypotheses (1)'!$D19/12),0)</f>
        <v>0</v>
      </c>
      <c r="T38" s="49">
        <f>if('Costs Hypotheses (1)'!$E19&lt;=T$3,('Costs Hypotheses (1)'!$D19/12),0)</f>
        <v>0</v>
      </c>
      <c r="U38" s="49">
        <f>if('Costs Hypotheses (1)'!$E19&lt;=U$3,('Costs Hypotheses (1)'!$D19/12),0)</f>
        <v>0</v>
      </c>
      <c r="V38" s="49">
        <f>if('Costs Hypotheses (1)'!$E19&lt;=V$3,('Costs Hypotheses (1)'!$D19/12),0)</f>
        <v>0</v>
      </c>
      <c r="W38" s="49">
        <f>if('Costs Hypotheses (1)'!$E19&lt;=W$3,('Costs Hypotheses (1)'!$D19/12),0)</f>
        <v>0</v>
      </c>
      <c r="X38" s="49">
        <f>if('Costs Hypotheses (1)'!$E19&lt;=X$3,('Costs Hypotheses (1)'!$D19/12),0)</f>
        <v>0</v>
      </c>
      <c r="Y38" s="49">
        <f>if('Costs Hypotheses (1)'!$E19&lt;=Y$3,('Costs Hypotheses (1)'!$D19/12),0)</f>
        <v>0</v>
      </c>
      <c r="Z38" s="89">
        <f>if('Costs Hypotheses (1)'!$E19&lt;=Z$3,('Costs Hypotheses (1)'!$D19/12),0)</f>
        <v>0</v>
      </c>
    </row>
    <row r="39" ht="15.75" customHeight="1">
      <c r="A39" s="23"/>
      <c r="B39" s="44" t="str">
        <f>+CONCATENATE('Costs Hypotheses (1)'!B20," - ",'Costs Hypotheses (1)'!C20)</f>
        <v> - </v>
      </c>
      <c r="C39" s="56">
        <f>if('Costs Hypotheses (1)'!$E20&lt;=C$3,('Costs Hypotheses (1)'!$D20/12),0)</f>
        <v>0</v>
      </c>
      <c r="D39" s="44">
        <f>if('Costs Hypotheses (1)'!$E20&lt;=D$3,('Costs Hypotheses (1)'!$D20/12),0)</f>
        <v>0</v>
      </c>
      <c r="E39" s="44">
        <f>if('Costs Hypotheses (1)'!$E20&lt;=E$3,('Costs Hypotheses (1)'!$D20/12),0)</f>
        <v>0</v>
      </c>
      <c r="F39" s="44">
        <f>if('Costs Hypotheses (1)'!$E20&lt;=F$3,('Costs Hypotheses (1)'!$D20/12),0)</f>
        <v>0</v>
      </c>
      <c r="G39" s="44">
        <f>if('Costs Hypotheses (1)'!$E20&lt;=G$3,('Costs Hypotheses (1)'!$D20/12),0)</f>
        <v>0</v>
      </c>
      <c r="H39" s="44">
        <f>if('Costs Hypotheses (1)'!$E20&lt;=H$3,('Costs Hypotheses (1)'!$D20/12),0)</f>
        <v>0</v>
      </c>
      <c r="I39" s="44">
        <f>if('Costs Hypotheses (1)'!$E20&lt;=I$3,('Costs Hypotheses (1)'!$D20/12),0)</f>
        <v>0</v>
      </c>
      <c r="J39" s="44">
        <f>if('Costs Hypotheses (1)'!$E20&lt;=J$3,('Costs Hypotheses (1)'!$D20/12),0)</f>
        <v>0</v>
      </c>
      <c r="K39" s="44">
        <f>if('Costs Hypotheses (1)'!$E20&lt;=K$3,('Costs Hypotheses (1)'!$D20/12),0)</f>
        <v>0</v>
      </c>
      <c r="L39" s="44">
        <f>if('Costs Hypotheses (1)'!$E20&lt;=L$3,('Costs Hypotheses (1)'!$D20/12),0)</f>
        <v>0</v>
      </c>
      <c r="M39" s="44">
        <f>if('Costs Hypotheses (1)'!$E20&lt;=M$3,('Costs Hypotheses (1)'!$D20/12),0)</f>
        <v>0</v>
      </c>
      <c r="N39" s="49">
        <f>if('Costs Hypotheses (1)'!$E20&lt;=N$3,('Costs Hypotheses (1)'!$D20/12),0)</f>
        <v>0</v>
      </c>
      <c r="O39" s="88">
        <f>if('Costs Hypotheses (1)'!$E20&lt;=O$3,('Costs Hypotheses (1)'!$D20/12),0)</f>
        <v>0</v>
      </c>
      <c r="P39" s="49">
        <f>if('Costs Hypotheses (1)'!$E20&lt;=P$3,('Costs Hypotheses (1)'!$D20/12),0)</f>
        <v>0</v>
      </c>
      <c r="Q39" s="49">
        <f>if('Costs Hypotheses (1)'!$E20&lt;=Q$3,('Costs Hypotheses (1)'!$D20/12),0)</f>
        <v>0</v>
      </c>
      <c r="R39" s="49">
        <f>if('Costs Hypotheses (1)'!$E20&lt;=R$3,('Costs Hypotheses (1)'!$D20/12),0)</f>
        <v>0</v>
      </c>
      <c r="S39" s="49">
        <f>if('Costs Hypotheses (1)'!$E20&lt;=S$3,('Costs Hypotheses (1)'!$D20/12),0)</f>
        <v>0</v>
      </c>
      <c r="T39" s="49">
        <f>if('Costs Hypotheses (1)'!$E20&lt;=T$3,('Costs Hypotheses (1)'!$D20/12),0)</f>
        <v>0</v>
      </c>
      <c r="U39" s="49">
        <f>if('Costs Hypotheses (1)'!$E20&lt;=U$3,('Costs Hypotheses (1)'!$D20/12),0)</f>
        <v>0</v>
      </c>
      <c r="V39" s="49">
        <f>if('Costs Hypotheses (1)'!$E20&lt;=V$3,('Costs Hypotheses (1)'!$D20/12),0)</f>
        <v>0</v>
      </c>
      <c r="W39" s="49">
        <f>if('Costs Hypotheses (1)'!$E20&lt;=W$3,('Costs Hypotheses (1)'!$D20/12),0)</f>
        <v>0</v>
      </c>
      <c r="X39" s="49">
        <f>if('Costs Hypotheses (1)'!$E20&lt;=X$3,('Costs Hypotheses (1)'!$D20/12),0)</f>
        <v>0</v>
      </c>
      <c r="Y39" s="49">
        <f>if('Costs Hypotheses (1)'!$E20&lt;=Y$3,('Costs Hypotheses (1)'!$D20/12),0)</f>
        <v>0</v>
      </c>
      <c r="Z39" s="89">
        <f>if('Costs Hypotheses (1)'!$E20&lt;=Z$3,('Costs Hypotheses (1)'!$D20/12),0)</f>
        <v>0</v>
      </c>
    </row>
    <row r="40" ht="15.75" customHeight="1">
      <c r="A40" s="23"/>
      <c r="B40" s="44" t="str">
        <f>+CONCATENATE('Costs Hypotheses (1)'!B21," - ",'Costs Hypotheses (1)'!C21)</f>
        <v> - </v>
      </c>
      <c r="C40" s="56">
        <f>if('Costs Hypotheses (1)'!$E21&lt;=C$3,('Costs Hypotheses (1)'!$D21/12),0)</f>
        <v>0</v>
      </c>
      <c r="D40" s="44">
        <f>if('Costs Hypotheses (1)'!$E21&lt;=D$3,('Costs Hypotheses (1)'!$D21/12),0)</f>
        <v>0</v>
      </c>
      <c r="E40" s="44">
        <f>if('Costs Hypotheses (1)'!$E21&lt;=E$3,('Costs Hypotheses (1)'!$D21/12),0)</f>
        <v>0</v>
      </c>
      <c r="F40" s="44">
        <f>if('Costs Hypotheses (1)'!$E21&lt;=F$3,('Costs Hypotheses (1)'!$D21/12),0)</f>
        <v>0</v>
      </c>
      <c r="G40" s="44">
        <f>if('Costs Hypotheses (1)'!$E21&lt;=G$3,('Costs Hypotheses (1)'!$D21/12),0)</f>
        <v>0</v>
      </c>
      <c r="H40" s="44">
        <f>if('Costs Hypotheses (1)'!$E21&lt;=H$3,('Costs Hypotheses (1)'!$D21/12),0)</f>
        <v>0</v>
      </c>
      <c r="I40" s="44">
        <f>if('Costs Hypotheses (1)'!$E21&lt;=I$3,('Costs Hypotheses (1)'!$D21/12),0)</f>
        <v>0</v>
      </c>
      <c r="J40" s="44">
        <f>if('Costs Hypotheses (1)'!$E21&lt;=J$3,('Costs Hypotheses (1)'!$D21/12),0)</f>
        <v>0</v>
      </c>
      <c r="K40" s="44">
        <f>if('Costs Hypotheses (1)'!$E21&lt;=K$3,('Costs Hypotheses (1)'!$D21/12),0)</f>
        <v>0</v>
      </c>
      <c r="L40" s="44">
        <f>if('Costs Hypotheses (1)'!$E21&lt;=L$3,('Costs Hypotheses (1)'!$D21/12),0)</f>
        <v>0</v>
      </c>
      <c r="M40" s="44">
        <f>if('Costs Hypotheses (1)'!$E21&lt;=M$3,('Costs Hypotheses (1)'!$D21/12),0)</f>
        <v>0</v>
      </c>
      <c r="N40" s="44">
        <f>if('Costs Hypotheses (1)'!$E21&lt;=N$3,('Costs Hypotheses (1)'!$D21/12),0)</f>
        <v>0</v>
      </c>
      <c r="O40" s="56">
        <f>if('Costs Hypotheses (1)'!$E21&lt;=O$3,('Costs Hypotheses (1)'!$D21/12),0)</f>
        <v>0</v>
      </c>
      <c r="P40" s="44">
        <f>if('Costs Hypotheses (1)'!$E21&lt;=P$3,('Costs Hypotheses (1)'!$D21/12),0)</f>
        <v>0</v>
      </c>
      <c r="Q40" s="49">
        <f>if('Costs Hypotheses (1)'!$E21&lt;=Q$3,('Costs Hypotheses (1)'!$D21/12),0)</f>
        <v>0</v>
      </c>
      <c r="R40" s="49">
        <f>if('Costs Hypotheses (1)'!$E21&lt;=R$3,('Costs Hypotheses (1)'!$D21/12),0)</f>
        <v>0</v>
      </c>
      <c r="S40" s="49">
        <f>if('Costs Hypotheses (1)'!$E21&lt;=S$3,('Costs Hypotheses (1)'!$D21/12),0)</f>
        <v>0</v>
      </c>
      <c r="T40" s="49">
        <f>if('Costs Hypotheses (1)'!$E21&lt;=T$3,('Costs Hypotheses (1)'!$D21/12),0)</f>
        <v>0</v>
      </c>
      <c r="U40" s="49">
        <f>if('Costs Hypotheses (1)'!$E21&lt;=U$3,('Costs Hypotheses (1)'!$D21/12),0)</f>
        <v>0</v>
      </c>
      <c r="V40" s="49">
        <f>if('Costs Hypotheses (1)'!$E21&lt;=V$3,('Costs Hypotheses (1)'!$D21/12),0)</f>
        <v>0</v>
      </c>
      <c r="W40" s="49">
        <f>if('Costs Hypotheses (1)'!$E21&lt;=W$3,('Costs Hypotheses (1)'!$D21/12),0)</f>
        <v>0</v>
      </c>
      <c r="X40" s="49">
        <f>if('Costs Hypotheses (1)'!$E21&lt;=X$3,('Costs Hypotheses (1)'!$D21/12),0)</f>
        <v>0</v>
      </c>
      <c r="Y40" s="49">
        <f>if('Costs Hypotheses (1)'!$E21&lt;=Y$3,('Costs Hypotheses (1)'!$D21/12),0)</f>
        <v>0</v>
      </c>
      <c r="Z40" s="89">
        <f>if('Costs Hypotheses (1)'!$E21&lt;=Z$3,('Costs Hypotheses (1)'!$D21/12),0)</f>
        <v>0</v>
      </c>
    </row>
    <row r="41" ht="15.75" customHeight="1">
      <c r="A41" s="23"/>
      <c r="B41" s="44" t="str">
        <f>+CONCATENATE('Costs Hypotheses (1)'!B22," - ",'Costs Hypotheses (1)'!C22)</f>
        <v> - </v>
      </c>
      <c r="C41" s="56">
        <f>if('Costs Hypotheses (1)'!$E22&lt;=C$3,('Costs Hypotheses (1)'!$D22/12),0)</f>
        <v>0</v>
      </c>
      <c r="D41" s="44">
        <f>if('Costs Hypotheses (1)'!$E22&lt;=D$3,('Costs Hypotheses (1)'!$D22/12),0)</f>
        <v>0</v>
      </c>
      <c r="E41" s="44">
        <f>if('Costs Hypotheses (1)'!$E22&lt;=E$3,('Costs Hypotheses (1)'!$D22/12),0)</f>
        <v>0</v>
      </c>
      <c r="F41" s="44">
        <f>if('Costs Hypotheses (1)'!$E22&lt;=F$3,('Costs Hypotheses (1)'!$D22/12),0)</f>
        <v>0</v>
      </c>
      <c r="G41" s="44">
        <f>if('Costs Hypotheses (1)'!$E22&lt;=G$3,('Costs Hypotheses (1)'!$D22/12),0)</f>
        <v>0</v>
      </c>
      <c r="H41" s="44">
        <f>if('Costs Hypotheses (1)'!$E22&lt;=H$3,('Costs Hypotheses (1)'!$D22/12),0)</f>
        <v>0</v>
      </c>
      <c r="I41" s="44">
        <f>if('Costs Hypotheses (1)'!$E22&lt;=I$3,('Costs Hypotheses (1)'!$D22/12),0)</f>
        <v>0</v>
      </c>
      <c r="J41" s="44">
        <f>if('Costs Hypotheses (1)'!$E22&lt;=J$3,('Costs Hypotheses (1)'!$D22/12),0)</f>
        <v>0</v>
      </c>
      <c r="K41" s="44">
        <f>if('Costs Hypotheses (1)'!$E22&lt;=K$3,('Costs Hypotheses (1)'!$D22/12),0)</f>
        <v>0</v>
      </c>
      <c r="L41" s="44">
        <f>if('Costs Hypotheses (1)'!$E22&lt;=L$3,('Costs Hypotheses (1)'!$D22/12),0)</f>
        <v>0</v>
      </c>
      <c r="M41" s="44">
        <f>if('Costs Hypotheses (1)'!$E22&lt;=M$3,('Costs Hypotheses (1)'!$D22/12),0)</f>
        <v>0</v>
      </c>
      <c r="N41" s="44">
        <f>if('Costs Hypotheses (1)'!$E22&lt;=N$3,('Costs Hypotheses (1)'!$D22/12),0)</f>
        <v>0</v>
      </c>
      <c r="O41" s="56">
        <f>if('Costs Hypotheses (1)'!$E22&lt;=O$3,('Costs Hypotheses (1)'!$D22/12),0)</f>
        <v>0</v>
      </c>
      <c r="P41" s="44">
        <f>if('Costs Hypotheses (1)'!$E22&lt;=P$3,('Costs Hypotheses (1)'!$D22/12),0)</f>
        <v>0</v>
      </c>
      <c r="Q41" s="44">
        <f>if('Costs Hypotheses (1)'!$E22&lt;=Q$3,('Costs Hypotheses (1)'!$D22/12),0)</f>
        <v>0</v>
      </c>
      <c r="R41" s="44">
        <f>if('Costs Hypotheses (1)'!$E22&lt;=R$3,('Costs Hypotheses (1)'!$D22/12),0)</f>
        <v>0</v>
      </c>
      <c r="S41" s="44">
        <f>if('Costs Hypotheses (1)'!$E22&lt;=S$3,('Costs Hypotheses (1)'!$D22/12),0)</f>
        <v>0</v>
      </c>
      <c r="T41" s="49">
        <f>if('Costs Hypotheses (1)'!$E22&lt;=T$3,('Costs Hypotheses (1)'!$D22/12),0)</f>
        <v>0</v>
      </c>
      <c r="U41" s="49">
        <f>if('Costs Hypotheses (1)'!$E22&lt;=U$3,('Costs Hypotheses (1)'!$D22/12),0)</f>
        <v>0</v>
      </c>
      <c r="V41" s="49">
        <f>if('Costs Hypotheses (1)'!$E22&lt;=V$3,('Costs Hypotheses (1)'!$D22/12),0)</f>
        <v>0</v>
      </c>
      <c r="W41" s="49">
        <f>if('Costs Hypotheses (1)'!$E22&lt;=W$3,('Costs Hypotheses (1)'!$D22/12),0)</f>
        <v>0</v>
      </c>
      <c r="X41" s="49">
        <f>if('Costs Hypotheses (1)'!$E22&lt;=X$3,('Costs Hypotheses (1)'!$D22/12),0)</f>
        <v>0</v>
      </c>
      <c r="Y41" s="49">
        <f>if('Costs Hypotheses (1)'!$E22&lt;=Y$3,('Costs Hypotheses (1)'!$D22/12),0)</f>
        <v>0</v>
      </c>
      <c r="Z41" s="89">
        <f>if('Costs Hypotheses (1)'!$E22&lt;=Z$3,('Costs Hypotheses (1)'!$D22/12),0)</f>
        <v>0</v>
      </c>
    </row>
    <row r="42" ht="15.75" customHeight="1">
      <c r="A42" s="85"/>
      <c r="B42" s="85" t="s">
        <v>68</v>
      </c>
      <c r="C42" s="86">
        <f t="shared" ref="C42:Z42" si="7">sum(C22:C41)</f>
        <v>20000</v>
      </c>
      <c r="D42" s="85">
        <f t="shared" si="7"/>
        <v>20000</v>
      </c>
      <c r="E42" s="85">
        <f t="shared" si="7"/>
        <v>20000</v>
      </c>
      <c r="F42" s="85">
        <f t="shared" si="7"/>
        <v>30000</v>
      </c>
      <c r="G42" s="85">
        <f t="shared" si="7"/>
        <v>30000</v>
      </c>
      <c r="H42" s="85">
        <f t="shared" si="7"/>
        <v>30000</v>
      </c>
      <c r="I42" s="85">
        <f t="shared" si="7"/>
        <v>30000</v>
      </c>
      <c r="J42" s="85">
        <f t="shared" si="7"/>
        <v>30000</v>
      </c>
      <c r="K42" s="85">
        <f t="shared" si="7"/>
        <v>30000</v>
      </c>
      <c r="L42" s="85">
        <f t="shared" si="7"/>
        <v>40000</v>
      </c>
      <c r="M42" s="85">
        <f t="shared" si="7"/>
        <v>40000</v>
      </c>
      <c r="N42" s="85">
        <f t="shared" si="7"/>
        <v>40000</v>
      </c>
      <c r="O42" s="86">
        <f t="shared" si="7"/>
        <v>40000</v>
      </c>
      <c r="P42" s="85">
        <f t="shared" si="7"/>
        <v>40000</v>
      </c>
      <c r="Q42" s="85">
        <f t="shared" si="7"/>
        <v>40000</v>
      </c>
      <c r="R42" s="85">
        <f t="shared" si="7"/>
        <v>40000</v>
      </c>
      <c r="S42" s="85">
        <f t="shared" si="7"/>
        <v>40000</v>
      </c>
      <c r="T42" s="85">
        <f t="shared" si="7"/>
        <v>40000</v>
      </c>
      <c r="U42" s="85">
        <f t="shared" si="7"/>
        <v>40000</v>
      </c>
      <c r="V42" s="85">
        <f t="shared" si="7"/>
        <v>40000</v>
      </c>
      <c r="W42" s="85">
        <f t="shared" si="7"/>
        <v>40000</v>
      </c>
      <c r="X42" s="85">
        <f t="shared" si="7"/>
        <v>40000</v>
      </c>
      <c r="Y42" s="85">
        <f t="shared" si="7"/>
        <v>40000</v>
      </c>
      <c r="Z42" s="87">
        <f t="shared" si="7"/>
        <v>40000</v>
      </c>
    </row>
    <row r="43" ht="15.75" customHeight="1">
      <c r="A43" s="43"/>
      <c r="B43" s="23"/>
      <c r="C43" s="56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56"/>
      <c r="Z43" s="57"/>
    </row>
    <row r="44" ht="15.75" customHeight="1">
      <c r="A44" s="42" t="s">
        <v>69</v>
      </c>
      <c r="B44" s="23"/>
      <c r="C44" s="56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56"/>
      <c r="Z44" s="57"/>
    </row>
    <row r="45" ht="15.75" customHeight="1">
      <c r="A45" s="23"/>
      <c r="B45" s="44" t="str">
        <f>'Costs Hypotheses (1)'!B26</f>
        <v>Adwords</v>
      </c>
      <c r="C45" s="59">
        <f>'Costs Hypotheses (1)'!$D26*C14</f>
        <v>107.35</v>
      </c>
      <c r="D45" s="60">
        <f>'Costs Hypotheses (1)'!$D26*D14</f>
        <v>173.15295</v>
      </c>
      <c r="E45" s="60">
        <f>'Costs Hypotheses (1)'!$D26*E14</f>
        <v>248.6772412</v>
      </c>
      <c r="F45" s="60">
        <f>'Costs Hypotheses (1)'!$D26*F14</f>
        <v>333.1002094</v>
      </c>
      <c r="G45" s="60">
        <f>'Costs Hypotheses (1)'!$D26*G14</f>
        <v>427.4901888</v>
      </c>
      <c r="H45" s="60">
        <f>'Costs Hypotheses (1)'!$D26*H14</f>
        <v>533.0437118</v>
      </c>
      <c r="I45" s="60">
        <f>'Costs Hypotheses (1)'!$D26*I14</f>
        <v>648.4311299</v>
      </c>
      <c r="J45" s="60">
        <f>'Costs Hypotheses (1)'!$D26*J14</f>
        <v>775.1089577</v>
      </c>
      <c r="K45" s="60">
        <f>'Costs Hypotheses (1)'!$D26*K14</f>
        <v>914.2072293</v>
      </c>
      <c r="L45" s="60">
        <f>'Costs Hypotheses (1)'!$D26*L14</f>
        <v>1064.125004</v>
      </c>
      <c r="M45" s="60">
        <f>'Costs Hypotheses (1)'!$D26*M14</f>
        <v>1225.729077</v>
      </c>
      <c r="N45" s="60">
        <f>'Costs Hypotheses (1)'!$D26*N14</f>
        <v>1399.955579</v>
      </c>
      <c r="O45" s="59">
        <f>'Costs Hypotheses (1)'!$D26*O14</f>
        <v>1618.769092</v>
      </c>
      <c r="P45" s="60">
        <f>'Costs Hypotheses (1)'!$D26*P14</f>
        <v>1854.660417</v>
      </c>
      <c r="Q45" s="60">
        <f>'Costs Hypotheses (1)'!$D26*Q14</f>
        <v>2108.99749</v>
      </c>
      <c r="R45" s="60">
        <f>'Costs Hypotheses (1)'!$D26*R14</f>
        <v>2380.640114</v>
      </c>
      <c r="S45" s="60">
        <f>'Costs Hypotheses (1)'!$D26*S14</f>
        <v>2670.80167</v>
      </c>
      <c r="T45" s="60">
        <f>'Costs Hypotheses (1)'!$D26*T14</f>
        <v>2980.780469</v>
      </c>
      <c r="U45" s="60">
        <f>'Costs Hypotheses (1)'!$D26*U14</f>
        <v>3308.759073</v>
      </c>
      <c r="V45" s="60">
        <f>'Costs Hypotheses (1)'!$D26*V14</f>
        <v>3655.819865</v>
      </c>
      <c r="W45" s="60">
        <f>'Costs Hypotheses (1)'!$D26*W14</f>
        <v>4023.110165</v>
      </c>
      <c r="X45" s="60">
        <f>'Costs Hypotheses (1)'!$D26*X14</f>
        <v>4408.026982</v>
      </c>
      <c r="Y45" s="60">
        <f>'Costs Hypotheses (1)'!$D26*Y14</f>
        <v>4811.454595</v>
      </c>
      <c r="Z45" s="61">
        <f>'Costs Hypotheses (1)'!$D26*Z14</f>
        <v>5234.321483</v>
      </c>
    </row>
    <row r="46" ht="15.75" customHeight="1">
      <c r="A46" s="23"/>
      <c r="B46" s="44" t="str">
        <f>'Costs Hypotheses (1)'!B27</f>
        <v>Social / display ads</v>
      </c>
      <c r="C46" s="59">
        <f>'Costs Hypotheses (1)'!$D27*C14</f>
        <v>53.675</v>
      </c>
      <c r="D46" s="60">
        <f>'Costs Hypotheses (1)'!$D27*D14</f>
        <v>86.576475</v>
      </c>
      <c r="E46" s="60">
        <f>'Costs Hypotheses (1)'!$D27*E14</f>
        <v>124.3386206</v>
      </c>
      <c r="F46" s="60">
        <f>'Costs Hypotheses (1)'!$D27*F14</f>
        <v>166.5501047</v>
      </c>
      <c r="G46" s="60">
        <f>'Costs Hypotheses (1)'!$D27*G14</f>
        <v>213.7450944</v>
      </c>
      <c r="H46" s="60">
        <f>'Costs Hypotheses (1)'!$D27*H14</f>
        <v>266.5218559</v>
      </c>
      <c r="I46" s="60">
        <f>'Costs Hypotheses (1)'!$D27*I14</f>
        <v>324.215565</v>
      </c>
      <c r="J46" s="60">
        <f>'Costs Hypotheses (1)'!$D27*J14</f>
        <v>387.5544788</v>
      </c>
      <c r="K46" s="60">
        <f>'Costs Hypotheses (1)'!$D27*K14</f>
        <v>457.1036147</v>
      </c>
      <c r="L46" s="60">
        <f>'Costs Hypotheses (1)'!$D27*L14</f>
        <v>532.0625022</v>
      </c>
      <c r="M46" s="60">
        <f>'Costs Hypotheses (1)'!$D27*M14</f>
        <v>612.8645384</v>
      </c>
      <c r="N46" s="60">
        <f>'Costs Hypotheses (1)'!$D27*N14</f>
        <v>699.9777894</v>
      </c>
      <c r="O46" s="59">
        <f>'Costs Hypotheses (1)'!$D27*O14</f>
        <v>809.3845458</v>
      </c>
      <c r="P46" s="60">
        <f>'Costs Hypotheses (1)'!$D27*P14</f>
        <v>927.3302086</v>
      </c>
      <c r="Q46" s="60">
        <f>'Costs Hypotheses (1)'!$D27*Q14</f>
        <v>1054.498745</v>
      </c>
      <c r="R46" s="60">
        <f>'Costs Hypotheses (1)'!$D27*R14</f>
        <v>1190.320057</v>
      </c>
      <c r="S46" s="60">
        <f>'Costs Hypotheses (1)'!$D27*S14</f>
        <v>1335.400835</v>
      </c>
      <c r="T46" s="60">
        <f>'Costs Hypotheses (1)'!$D27*T14</f>
        <v>1490.390234</v>
      </c>
      <c r="U46" s="60">
        <f>'Costs Hypotheses (1)'!$D27*U14</f>
        <v>1654.379536</v>
      </c>
      <c r="V46" s="60">
        <f>'Costs Hypotheses (1)'!$D27*V14</f>
        <v>1827.909933</v>
      </c>
      <c r="W46" s="60">
        <f>'Costs Hypotheses (1)'!$D27*W14</f>
        <v>2011.555082</v>
      </c>
      <c r="X46" s="60">
        <f>'Costs Hypotheses (1)'!$D27*X14</f>
        <v>2204.013491</v>
      </c>
      <c r="Y46" s="60">
        <f>'Costs Hypotheses (1)'!$D27*Y14</f>
        <v>2405.727297</v>
      </c>
      <c r="Z46" s="61">
        <f>'Costs Hypotheses (1)'!$D27*Z14</f>
        <v>2617.160741</v>
      </c>
    </row>
    <row r="47" ht="15.75" customHeight="1">
      <c r="A47" s="85"/>
      <c r="B47" s="85" t="s">
        <v>70</v>
      </c>
      <c r="C47" s="86">
        <f t="shared" ref="C47:Z47" si="8">sum(C45:C46)</f>
        <v>161.025</v>
      </c>
      <c r="D47" s="85">
        <f t="shared" si="8"/>
        <v>259.729425</v>
      </c>
      <c r="E47" s="85">
        <f t="shared" si="8"/>
        <v>373.0158617</v>
      </c>
      <c r="F47" s="85">
        <f t="shared" si="8"/>
        <v>499.6503141</v>
      </c>
      <c r="G47" s="85">
        <f t="shared" si="8"/>
        <v>641.2352832</v>
      </c>
      <c r="H47" s="85">
        <f t="shared" si="8"/>
        <v>799.5655677</v>
      </c>
      <c r="I47" s="85">
        <f t="shared" si="8"/>
        <v>972.6466949</v>
      </c>
      <c r="J47" s="85">
        <f t="shared" si="8"/>
        <v>1162.663437</v>
      </c>
      <c r="K47" s="85">
        <f t="shared" si="8"/>
        <v>1371.310844</v>
      </c>
      <c r="L47" s="85">
        <f t="shared" si="8"/>
        <v>1596.187507</v>
      </c>
      <c r="M47" s="85">
        <f t="shared" si="8"/>
        <v>1838.593615</v>
      </c>
      <c r="N47" s="85">
        <f t="shared" si="8"/>
        <v>2099.933368</v>
      </c>
      <c r="O47" s="85">
        <f t="shared" si="8"/>
        <v>2428.153637</v>
      </c>
      <c r="P47" s="85">
        <f t="shared" si="8"/>
        <v>2781.990626</v>
      </c>
      <c r="Q47" s="85">
        <f t="shared" si="8"/>
        <v>3163.496234</v>
      </c>
      <c r="R47" s="85">
        <f t="shared" si="8"/>
        <v>3570.960171</v>
      </c>
      <c r="S47" s="85">
        <f t="shared" si="8"/>
        <v>4006.202505</v>
      </c>
      <c r="T47" s="85">
        <f t="shared" si="8"/>
        <v>4471.170703</v>
      </c>
      <c r="U47" s="85">
        <f t="shared" si="8"/>
        <v>4963.138609</v>
      </c>
      <c r="V47" s="85">
        <f t="shared" si="8"/>
        <v>5483.729798</v>
      </c>
      <c r="W47" s="85">
        <f t="shared" si="8"/>
        <v>6034.665247</v>
      </c>
      <c r="X47" s="85">
        <f t="shared" si="8"/>
        <v>6612.040473</v>
      </c>
      <c r="Y47" s="85">
        <f t="shared" si="8"/>
        <v>7217.181892</v>
      </c>
      <c r="Z47" s="85">
        <f t="shared" si="8"/>
        <v>7851.482224</v>
      </c>
    </row>
    <row r="48" ht="15.75" customHeight="1">
      <c r="A48" s="42" t="s">
        <v>71</v>
      </c>
      <c r="B48" s="23"/>
      <c r="C48" s="56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56"/>
      <c r="Z48" s="57"/>
    </row>
    <row r="49" ht="15.75" customHeight="1">
      <c r="A49" s="23"/>
      <c r="B49" s="44" t="str">
        <f>'Costs Hypotheses (1)'!B31</f>
        <v>Hosting &amp; Bandwidth</v>
      </c>
      <c r="C49" s="90">
        <f>'Costs Hypotheses (1)'!$D31</f>
        <v>1500</v>
      </c>
      <c r="D49" s="47">
        <f>'Costs Hypotheses (1)'!$D31</f>
        <v>1500</v>
      </c>
      <c r="E49" s="47">
        <f>'Costs Hypotheses (1)'!$D31</f>
        <v>1500</v>
      </c>
      <c r="F49" s="47">
        <f>'Costs Hypotheses (1)'!$D31</f>
        <v>1500</v>
      </c>
      <c r="G49" s="47">
        <f>'Costs Hypotheses (1)'!$D31</f>
        <v>1500</v>
      </c>
      <c r="H49" s="47">
        <f>'Costs Hypotheses (1)'!$D31</f>
        <v>1500</v>
      </c>
      <c r="I49" s="47">
        <f>'Costs Hypotheses (1)'!$D31</f>
        <v>1500</v>
      </c>
      <c r="J49" s="47">
        <f>'Costs Hypotheses (1)'!$D31</f>
        <v>1500</v>
      </c>
      <c r="K49" s="47">
        <f>'Costs Hypotheses (1)'!$D31</f>
        <v>1500</v>
      </c>
      <c r="L49" s="47">
        <f>'Costs Hypotheses (1)'!$D31</f>
        <v>1500</v>
      </c>
      <c r="M49" s="47">
        <f>'Costs Hypotheses (1)'!$D31</f>
        <v>1500</v>
      </c>
      <c r="N49" s="47">
        <f>'Costs Hypotheses (1)'!$D31</f>
        <v>1500</v>
      </c>
      <c r="O49" s="90">
        <f>'Costs Hypotheses (1)'!$D31</f>
        <v>1500</v>
      </c>
      <c r="P49" s="47">
        <f>'Costs Hypotheses (1)'!$D31</f>
        <v>1500</v>
      </c>
      <c r="Q49" s="47">
        <f>'Costs Hypotheses (1)'!$D31</f>
        <v>1500</v>
      </c>
      <c r="R49" s="47">
        <f>'Costs Hypotheses (1)'!$D31</f>
        <v>1500</v>
      </c>
      <c r="S49" s="47">
        <f>'Costs Hypotheses (1)'!$D31</f>
        <v>1500</v>
      </c>
      <c r="T49" s="47">
        <f>'Costs Hypotheses (1)'!$D31</f>
        <v>1500</v>
      </c>
      <c r="U49" s="47">
        <f>'Costs Hypotheses (1)'!$D31</f>
        <v>1500</v>
      </c>
      <c r="V49" s="47">
        <f>'Costs Hypotheses (1)'!$D31</f>
        <v>1500</v>
      </c>
      <c r="W49" s="47">
        <f>'Costs Hypotheses (1)'!$D31</f>
        <v>1500</v>
      </c>
      <c r="X49" s="47">
        <f>'Costs Hypotheses (1)'!$D31</f>
        <v>1500</v>
      </c>
      <c r="Y49" s="47">
        <f>'Costs Hypotheses (1)'!$D31</f>
        <v>1500</v>
      </c>
      <c r="Z49" s="91">
        <f>'Costs Hypotheses (1)'!$D31</f>
        <v>1500</v>
      </c>
    </row>
    <row r="50" ht="15.75" customHeight="1">
      <c r="A50" s="85"/>
      <c r="B50" s="85" t="s">
        <v>72</v>
      </c>
      <c r="C50" s="86">
        <f t="shared" ref="C50:Z50" si="9">C49</f>
        <v>1500</v>
      </c>
      <c r="D50" s="85">
        <f t="shared" si="9"/>
        <v>1500</v>
      </c>
      <c r="E50" s="85">
        <f t="shared" si="9"/>
        <v>1500</v>
      </c>
      <c r="F50" s="85">
        <f t="shared" si="9"/>
        <v>1500</v>
      </c>
      <c r="G50" s="85">
        <f t="shared" si="9"/>
        <v>1500</v>
      </c>
      <c r="H50" s="85">
        <f t="shared" si="9"/>
        <v>1500</v>
      </c>
      <c r="I50" s="85">
        <f t="shared" si="9"/>
        <v>1500</v>
      </c>
      <c r="J50" s="85">
        <f t="shared" si="9"/>
        <v>1500</v>
      </c>
      <c r="K50" s="85">
        <f t="shared" si="9"/>
        <v>1500</v>
      </c>
      <c r="L50" s="85">
        <f t="shared" si="9"/>
        <v>1500</v>
      </c>
      <c r="M50" s="85">
        <f t="shared" si="9"/>
        <v>1500</v>
      </c>
      <c r="N50" s="85">
        <f t="shared" si="9"/>
        <v>1500</v>
      </c>
      <c r="O50" s="85">
        <f t="shared" si="9"/>
        <v>1500</v>
      </c>
      <c r="P50" s="85">
        <f t="shared" si="9"/>
        <v>1500</v>
      </c>
      <c r="Q50" s="85">
        <f t="shared" si="9"/>
        <v>1500</v>
      </c>
      <c r="R50" s="85">
        <f t="shared" si="9"/>
        <v>1500</v>
      </c>
      <c r="S50" s="85">
        <f t="shared" si="9"/>
        <v>1500</v>
      </c>
      <c r="T50" s="85">
        <f t="shared" si="9"/>
        <v>1500</v>
      </c>
      <c r="U50" s="85">
        <f t="shared" si="9"/>
        <v>1500</v>
      </c>
      <c r="V50" s="85">
        <f t="shared" si="9"/>
        <v>1500</v>
      </c>
      <c r="W50" s="85">
        <f t="shared" si="9"/>
        <v>1500</v>
      </c>
      <c r="X50" s="85">
        <f t="shared" si="9"/>
        <v>1500</v>
      </c>
      <c r="Y50" s="85">
        <f t="shared" si="9"/>
        <v>1500</v>
      </c>
      <c r="Z50" s="85">
        <f t="shared" si="9"/>
        <v>1500</v>
      </c>
    </row>
    <row r="51" ht="15.75" customHeight="1">
      <c r="A51" s="42" t="str">
        <f>'Costs Hypotheses (1)'!A33</f>
        <v>Miscellaneous</v>
      </c>
      <c r="B51" s="23"/>
      <c r="C51" s="56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56"/>
      <c r="Z51" s="57"/>
    </row>
    <row r="52" ht="15.75" customHeight="1">
      <c r="A52" s="23"/>
      <c r="B52" s="44" t="str">
        <f>'Costs Hypotheses (1)'!B34</f>
        <v>AI Agent APIs (3 x $1K/mo)</v>
      </c>
      <c r="C52" s="88">
        <f>'Costs Hypotheses (1)'!$D34</f>
        <v>3000</v>
      </c>
      <c r="D52" s="49">
        <f>'Costs Hypotheses (1)'!$D34</f>
        <v>3000</v>
      </c>
      <c r="E52" s="49">
        <f>'Costs Hypotheses (1)'!$D34</f>
        <v>3000</v>
      </c>
      <c r="F52" s="49">
        <f>'Costs Hypotheses (1)'!$D34</f>
        <v>3000</v>
      </c>
      <c r="G52" s="49">
        <f>'Costs Hypotheses (1)'!$D34</f>
        <v>3000</v>
      </c>
      <c r="H52" s="49">
        <f>'Costs Hypotheses (1)'!$D34</f>
        <v>3000</v>
      </c>
      <c r="I52" s="49">
        <f>'Costs Hypotheses (1)'!$D34</f>
        <v>3000</v>
      </c>
      <c r="J52" s="49">
        <f>'Costs Hypotheses (1)'!$D34</f>
        <v>3000</v>
      </c>
      <c r="K52" s="49">
        <f>'Costs Hypotheses (1)'!$D34</f>
        <v>3000</v>
      </c>
      <c r="L52" s="49">
        <f>'Costs Hypotheses (1)'!$D34</f>
        <v>3000</v>
      </c>
      <c r="M52" s="49">
        <f>'Costs Hypotheses (1)'!$D34</f>
        <v>3000</v>
      </c>
      <c r="N52" s="49">
        <f>'Costs Hypotheses (1)'!$D34</f>
        <v>3000</v>
      </c>
      <c r="O52" s="88">
        <f>'Costs Hypotheses (1)'!$D34</f>
        <v>3000</v>
      </c>
      <c r="P52" s="49">
        <f>'Costs Hypotheses (1)'!$D34</f>
        <v>3000</v>
      </c>
      <c r="Q52" s="49">
        <f>'Costs Hypotheses (1)'!$D34</f>
        <v>3000</v>
      </c>
      <c r="R52" s="49">
        <f>'Costs Hypotheses (1)'!$D34</f>
        <v>3000</v>
      </c>
      <c r="S52" s="49">
        <f>'Costs Hypotheses (1)'!$D34</f>
        <v>3000</v>
      </c>
      <c r="T52" s="49">
        <f>'Costs Hypotheses (1)'!$D34</f>
        <v>3000</v>
      </c>
      <c r="U52" s="49">
        <f>'Costs Hypotheses (1)'!$D34</f>
        <v>3000</v>
      </c>
      <c r="V52" s="49">
        <f>'Costs Hypotheses (1)'!$D34</f>
        <v>3000</v>
      </c>
      <c r="W52" s="49">
        <f>'Costs Hypotheses (1)'!$D34</f>
        <v>3000</v>
      </c>
      <c r="X52" s="49">
        <f>'Costs Hypotheses (1)'!$D34</f>
        <v>3000</v>
      </c>
      <c r="Y52" s="49">
        <f>'Costs Hypotheses (1)'!$D34</f>
        <v>3000</v>
      </c>
      <c r="Z52" s="89">
        <f>'Costs Hypotheses (1)'!$D34</f>
        <v>3000</v>
      </c>
    </row>
    <row r="53" ht="15.75" customHeight="1">
      <c r="A53" s="23"/>
      <c r="B53" s="44" t="str">
        <f>'Costs Hypotheses (1)'!B35</f>
        <v>Software subscriptions (CRM, monitoring)</v>
      </c>
      <c r="C53" s="88">
        <f>'Costs Hypotheses (1)'!$D35</f>
        <v>1000</v>
      </c>
      <c r="D53" s="49">
        <f>'Costs Hypotheses (1)'!$D35</f>
        <v>1000</v>
      </c>
      <c r="E53" s="49">
        <f>'Costs Hypotheses (1)'!$D35</f>
        <v>1000</v>
      </c>
      <c r="F53" s="49">
        <f>'Costs Hypotheses (1)'!$D35</f>
        <v>1000</v>
      </c>
      <c r="G53" s="49">
        <f>'Costs Hypotheses (1)'!$D35</f>
        <v>1000</v>
      </c>
      <c r="H53" s="49">
        <f>'Costs Hypotheses (1)'!$D35</f>
        <v>1000</v>
      </c>
      <c r="I53" s="49">
        <f>'Costs Hypotheses (1)'!$D35</f>
        <v>1000</v>
      </c>
      <c r="J53" s="49">
        <f>'Costs Hypotheses (1)'!$D35</f>
        <v>1000</v>
      </c>
      <c r="K53" s="49">
        <f>'Costs Hypotheses (1)'!$D35</f>
        <v>1000</v>
      </c>
      <c r="L53" s="49">
        <f>'Costs Hypotheses (1)'!$D35</f>
        <v>1000</v>
      </c>
      <c r="M53" s="49">
        <f>'Costs Hypotheses (1)'!$D35</f>
        <v>1000</v>
      </c>
      <c r="N53" s="49">
        <f>'Costs Hypotheses (1)'!$D35</f>
        <v>1000</v>
      </c>
      <c r="O53" s="88">
        <f>'Costs Hypotheses (1)'!$D35</f>
        <v>1000</v>
      </c>
      <c r="P53" s="49">
        <f>'Costs Hypotheses (1)'!$D35</f>
        <v>1000</v>
      </c>
      <c r="Q53" s="49">
        <f>'Costs Hypotheses (1)'!$D35</f>
        <v>1000</v>
      </c>
      <c r="R53" s="49">
        <f>'Costs Hypotheses (1)'!$D35</f>
        <v>1000</v>
      </c>
      <c r="S53" s="49">
        <f>'Costs Hypotheses (1)'!$D35</f>
        <v>1000</v>
      </c>
      <c r="T53" s="49">
        <f>'Costs Hypotheses (1)'!$D35</f>
        <v>1000</v>
      </c>
      <c r="U53" s="49">
        <f>'Costs Hypotheses (1)'!$D35</f>
        <v>1000</v>
      </c>
      <c r="V53" s="49">
        <f>'Costs Hypotheses (1)'!$D35</f>
        <v>1000</v>
      </c>
      <c r="W53" s="49">
        <f>'Costs Hypotheses (1)'!$D35</f>
        <v>1000</v>
      </c>
      <c r="X53" s="49">
        <f>'Costs Hypotheses (1)'!$D35</f>
        <v>1000</v>
      </c>
      <c r="Y53" s="49">
        <f>'Costs Hypotheses (1)'!$D35</f>
        <v>1000</v>
      </c>
      <c r="Z53" s="89">
        <f>'Costs Hypotheses (1)'!$D35</f>
        <v>1000</v>
      </c>
    </row>
    <row r="54" ht="15.75" customHeight="1">
      <c r="A54" s="23"/>
      <c r="B54" s="44" t="str">
        <f>'Costs Hypotheses (1)'!B36</f>
        <v>Legal, accountants, IP/patents</v>
      </c>
      <c r="C54" s="88">
        <f>'Costs Hypotheses (1)'!$D36</f>
        <v>2000</v>
      </c>
      <c r="D54" s="49">
        <f>'Costs Hypotheses (1)'!$D36</f>
        <v>2000</v>
      </c>
      <c r="E54" s="49">
        <f>'Costs Hypotheses (1)'!$D36</f>
        <v>2000</v>
      </c>
      <c r="F54" s="49">
        <f>'Costs Hypotheses (1)'!$D36</f>
        <v>2000</v>
      </c>
      <c r="G54" s="49">
        <f>'Costs Hypotheses (1)'!$D36</f>
        <v>2000</v>
      </c>
      <c r="H54" s="49">
        <f>'Costs Hypotheses (1)'!$D36</f>
        <v>2000</v>
      </c>
      <c r="I54" s="49">
        <f>'Costs Hypotheses (1)'!$D36</f>
        <v>2000</v>
      </c>
      <c r="J54" s="49">
        <f>'Costs Hypotheses (1)'!$D36</f>
        <v>2000</v>
      </c>
      <c r="K54" s="49">
        <f>'Costs Hypotheses (1)'!$D36</f>
        <v>2000</v>
      </c>
      <c r="L54" s="49">
        <f>'Costs Hypotheses (1)'!$D36</f>
        <v>2000</v>
      </c>
      <c r="M54" s="49">
        <f>'Costs Hypotheses (1)'!$D36</f>
        <v>2000</v>
      </c>
      <c r="N54" s="49">
        <f>'Costs Hypotheses (1)'!$D36</f>
        <v>2000</v>
      </c>
      <c r="O54" s="88">
        <f>'Costs Hypotheses (1)'!$D36</f>
        <v>2000</v>
      </c>
      <c r="P54" s="49">
        <f>'Costs Hypotheses (1)'!$D36</f>
        <v>2000</v>
      </c>
      <c r="Q54" s="49">
        <f>'Costs Hypotheses (1)'!$D36</f>
        <v>2000</v>
      </c>
      <c r="R54" s="49">
        <f>'Costs Hypotheses (1)'!$D36</f>
        <v>2000</v>
      </c>
      <c r="S54" s="49">
        <f>'Costs Hypotheses (1)'!$D36</f>
        <v>2000</v>
      </c>
      <c r="T54" s="49">
        <f>'Costs Hypotheses (1)'!$D36</f>
        <v>2000</v>
      </c>
      <c r="U54" s="49">
        <f>'Costs Hypotheses (1)'!$D36</f>
        <v>2000</v>
      </c>
      <c r="V54" s="49">
        <f>'Costs Hypotheses (1)'!$D36</f>
        <v>2000</v>
      </c>
      <c r="W54" s="49">
        <f>'Costs Hypotheses (1)'!$D36</f>
        <v>2000</v>
      </c>
      <c r="X54" s="49">
        <f>'Costs Hypotheses (1)'!$D36</f>
        <v>2000</v>
      </c>
      <c r="Y54" s="49">
        <f>'Costs Hypotheses (1)'!$D36</f>
        <v>2000</v>
      </c>
      <c r="Z54" s="89">
        <f>'Costs Hypotheses (1)'!$D36</f>
        <v>2000</v>
      </c>
    </row>
    <row r="55" ht="15.75" customHeight="1">
      <c r="A55" s="23"/>
      <c r="B55" s="44" t="str">
        <f>'Costs Hypotheses (1)'!B37</f>
        <v>Travel / conferences</v>
      </c>
      <c r="C55" s="88">
        <f>'Costs Hypotheses (1)'!$D37</f>
        <v>500</v>
      </c>
      <c r="D55" s="49">
        <f>'Costs Hypotheses (1)'!$D37</f>
        <v>500</v>
      </c>
      <c r="E55" s="49">
        <f>'Costs Hypotheses (1)'!$D37</f>
        <v>500</v>
      </c>
      <c r="F55" s="49">
        <f>'Costs Hypotheses (1)'!$D37</f>
        <v>500</v>
      </c>
      <c r="G55" s="49">
        <f>'Costs Hypotheses (1)'!$D37</f>
        <v>500</v>
      </c>
      <c r="H55" s="49">
        <f>'Costs Hypotheses (1)'!$D37</f>
        <v>500</v>
      </c>
      <c r="I55" s="49">
        <f>'Costs Hypotheses (1)'!$D37</f>
        <v>500</v>
      </c>
      <c r="J55" s="49">
        <f>'Costs Hypotheses (1)'!$D37</f>
        <v>500</v>
      </c>
      <c r="K55" s="49">
        <f>'Costs Hypotheses (1)'!$D37</f>
        <v>500</v>
      </c>
      <c r="L55" s="49">
        <f>'Costs Hypotheses (1)'!$D37</f>
        <v>500</v>
      </c>
      <c r="M55" s="49">
        <f>'Costs Hypotheses (1)'!$D37</f>
        <v>500</v>
      </c>
      <c r="N55" s="49">
        <f>'Costs Hypotheses (1)'!$D37</f>
        <v>500</v>
      </c>
      <c r="O55" s="88">
        <f>'Costs Hypotheses (1)'!$D37</f>
        <v>500</v>
      </c>
      <c r="P55" s="49">
        <f>'Costs Hypotheses (1)'!$D37</f>
        <v>500</v>
      </c>
      <c r="Q55" s="49">
        <f>'Costs Hypotheses (1)'!$D37</f>
        <v>500</v>
      </c>
      <c r="R55" s="49">
        <f>'Costs Hypotheses (1)'!$D37</f>
        <v>500</v>
      </c>
      <c r="S55" s="49">
        <f>'Costs Hypotheses (1)'!$D37</f>
        <v>500</v>
      </c>
      <c r="T55" s="49">
        <f>'Costs Hypotheses (1)'!$D37</f>
        <v>500</v>
      </c>
      <c r="U55" s="49">
        <f>'Costs Hypotheses (1)'!$D37</f>
        <v>500</v>
      </c>
      <c r="V55" s="49">
        <f>'Costs Hypotheses (1)'!$D37</f>
        <v>500</v>
      </c>
      <c r="W55" s="49">
        <f>'Costs Hypotheses (1)'!$D37</f>
        <v>500</v>
      </c>
      <c r="X55" s="49">
        <f>'Costs Hypotheses (1)'!$D37</f>
        <v>500</v>
      </c>
      <c r="Y55" s="49">
        <f>'Costs Hypotheses (1)'!$D37</f>
        <v>500</v>
      </c>
      <c r="Z55" s="89">
        <f>'Costs Hypotheses (1)'!$D37</f>
        <v>500</v>
      </c>
    </row>
    <row r="56" ht="15.75" customHeight="1">
      <c r="A56" s="23"/>
      <c r="B56" s="44" t="str">
        <f>'Costs Hypotheses (1)'!B38</f>
        <v>Remote work (no office)</v>
      </c>
      <c r="C56" s="88">
        <f>'Costs Hypotheses (1)'!$D38</f>
        <v>0</v>
      </c>
      <c r="D56" s="49">
        <f>'Costs Hypotheses (1)'!$D38</f>
        <v>0</v>
      </c>
      <c r="E56" s="49">
        <f>'Costs Hypotheses (1)'!$D38</f>
        <v>0</v>
      </c>
      <c r="F56" s="49">
        <f>'Costs Hypotheses (1)'!$D38</f>
        <v>0</v>
      </c>
      <c r="G56" s="49">
        <f>'Costs Hypotheses (1)'!$D38</f>
        <v>0</v>
      </c>
      <c r="H56" s="49">
        <f>'Costs Hypotheses (1)'!$D38</f>
        <v>0</v>
      </c>
      <c r="I56" s="49">
        <f>'Costs Hypotheses (1)'!$D38</f>
        <v>0</v>
      </c>
      <c r="J56" s="49">
        <f>'Costs Hypotheses (1)'!$D38</f>
        <v>0</v>
      </c>
      <c r="K56" s="49">
        <f>'Costs Hypotheses (1)'!$D38</f>
        <v>0</v>
      </c>
      <c r="L56" s="49">
        <f>'Costs Hypotheses (1)'!$D38</f>
        <v>0</v>
      </c>
      <c r="M56" s="49">
        <f>'Costs Hypotheses (1)'!$D38</f>
        <v>0</v>
      </c>
      <c r="N56" s="49">
        <f>'Costs Hypotheses (1)'!$D38</f>
        <v>0</v>
      </c>
      <c r="O56" s="88">
        <f>'Costs Hypotheses (1)'!$D38</f>
        <v>0</v>
      </c>
      <c r="P56" s="49">
        <f>'Costs Hypotheses (1)'!$D38</f>
        <v>0</v>
      </c>
      <c r="Q56" s="49">
        <f>'Costs Hypotheses (1)'!$D38</f>
        <v>0</v>
      </c>
      <c r="R56" s="49">
        <f>'Costs Hypotheses (1)'!$D38</f>
        <v>0</v>
      </c>
      <c r="S56" s="49">
        <f>'Costs Hypotheses (1)'!$D38</f>
        <v>0</v>
      </c>
      <c r="T56" s="49">
        <f>'Costs Hypotheses (1)'!$D38</f>
        <v>0</v>
      </c>
      <c r="U56" s="49">
        <f>'Costs Hypotheses (1)'!$D38</f>
        <v>0</v>
      </c>
      <c r="V56" s="49">
        <f>'Costs Hypotheses (1)'!$D38</f>
        <v>0</v>
      </c>
      <c r="W56" s="49">
        <f>'Costs Hypotheses (1)'!$D38</f>
        <v>0</v>
      </c>
      <c r="X56" s="49">
        <f>'Costs Hypotheses (1)'!$D38</f>
        <v>0</v>
      </c>
      <c r="Y56" s="49">
        <f>'Costs Hypotheses (1)'!$D38</f>
        <v>0</v>
      </c>
      <c r="Z56" s="89">
        <f>'Costs Hypotheses (1)'!$D38</f>
        <v>0</v>
      </c>
    </row>
    <row r="57" ht="15.75" customHeight="1">
      <c r="A57" s="23"/>
      <c r="B57" s="44" t="str">
        <f>'Costs Hypotheses (1)'!B39</f>
        <v>Internet, supplies</v>
      </c>
      <c r="C57" s="88">
        <f>'Costs Hypotheses (1)'!$D39</f>
        <v>200</v>
      </c>
      <c r="D57" s="49">
        <f>'Costs Hypotheses (1)'!$D39</f>
        <v>200</v>
      </c>
      <c r="E57" s="49">
        <f>'Costs Hypotheses (1)'!$D39</f>
        <v>200</v>
      </c>
      <c r="F57" s="49">
        <f>'Costs Hypotheses (1)'!$D39</f>
        <v>200</v>
      </c>
      <c r="G57" s="49">
        <f>'Costs Hypotheses (1)'!$D39</f>
        <v>200</v>
      </c>
      <c r="H57" s="49">
        <f>'Costs Hypotheses (1)'!$D39</f>
        <v>200</v>
      </c>
      <c r="I57" s="49">
        <f>'Costs Hypotheses (1)'!$D39</f>
        <v>200</v>
      </c>
      <c r="J57" s="49">
        <f>'Costs Hypotheses (1)'!$D39</f>
        <v>200</v>
      </c>
      <c r="K57" s="49">
        <f>'Costs Hypotheses (1)'!$D39</f>
        <v>200</v>
      </c>
      <c r="L57" s="49">
        <f>'Costs Hypotheses (1)'!$D39</f>
        <v>200</v>
      </c>
      <c r="M57" s="49">
        <f>'Costs Hypotheses (1)'!$D39</f>
        <v>200</v>
      </c>
      <c r="N57" s="49">
        <f>'Costs Hypotheses (1)'!$D39</f>
        <v>200</v>
      </c>
      <c r="O57" s="88">
        <f>'Costs Hypotheses (1)'!$D39</f>
        <v>200</v>
      </c>
      <c r="P57" s="49">
        <f>'Costs Hypotheses (1)'!$D39</f>
        <v>200</v>
      </c>
      <c r="Q57" s="49">
        <f>'Costs Hypotheses (1)'!$D39</f>
        <v>200</v>
      </c>
      <c r="R57" s="49">
        <f>'Costs Hypotheses (1)'!$D39</f>
        <v>200</v>
      </c>
      <c r="S57" s="49">
        <f>'Costs Hypotheses (1)'!$D39</f>
        <v>200</v>
      </c>
      <c r="T57" s="49">
        <f>'Costs Hypotheses (1)'!$D39</f>
        <v>200</v>
      </c>
      <c r="U57" s="49">
        <f>'Costs Hypotheses (1)'!$D39</f>
        <v>200</v>
      </c>
      <c r="V57" s="49">
        <f>'Costs Hypotheses (1)'!$D39</f>
        <v>200</v>
      </c>
      <c r="W57" s="49">
        <f>'Costs Hypotheses (1)'!$D39</f>
        <v>200</v>
      </c>
      <c r="X57" s="49">
        <f>'Costs Hypotheses (1)'!$D39</f>
        <v>200</v>
      </c>
      <c r="Y57" s="49">
        <f>'Costs Hypotheses (1)'!$D39</f>
        <v>200</v>
      </c>
      <c r="Z57" s="89">
        <f>'Costs Hypotheses (1)'!$D39</f>
        <v>200</v>
      </c>
    </row>
    <row r="58" ht="15.75" customHeight="1">
      <c r="A58" s="23"/>
      <c r="B58" s="44" t="str">
        <f>'Costs Hypotheses (1)'!B40</f>
        <v>Insurance (D&amp;O, E&amp;O)</v>
      </c>
      <c r="C58" s="88">
        <f>'Costs Hypotheses (1)'!$D40</f>
        <v>667</v>
      </c>
      <c r="D58" s="49">
        <f>'Costs Hypotheses (1)'!$D40</f>
        <v>667</v>
      </c>
      <c r="E58" s="49">
        <f>'Costs Hypotheses (1)'!$D40</f>
        <v>667</v>
      </c>
      <c r="F58" s="49">
        <f>'Costs Hypotheses (1)'!$D40</f>
        <v>667</v>
      </c>
      <c r="G58" s="49">
        <f>'Costs Hypotheses (1)'!$D40</f>
        <v>667</v>
      </c>
      <c r="H58" s="49">
        <f>'Costs Hypotheses (1)'!$D40</f>
        <v>667</v>
      </c>
      <c r="I58" s="49">
        <f>'Costs Hypotheses (1)'!$D40</f>
        <v>667</v>
      </c>
      <c r="J58" s="49">
        <f>'Costs Hypotheses (1)'!$D40</f>
        <v>667</v>
      </c>
      <c r="K58" s="49">
        <f>'Costs Hypotheses (1)'!$D40</f>
        <v>667</v>
      </c>
      <c r="L58" s="49">
        <f>'Costs Hypotheses (1)'!$D40</f>
        <v>667</v>
      </c>
      <c r="M58" s="49">
        <f>'Costs Hypotheses (1)'!$D40</f>
        <v>667</v>
      </c>
      <c r="N58" s="49">
        <f>'Costs Hypotheses (1)'!$D40</f>
        <v>667</v>
      </c>
      <c r="O58" s="88">
        <f>'Costs Hypotheses (1)'!$D40</f>
        <v>667</v>
      </c>
      <c r="P58" s="49">
        <f>'Costs Hypotheses (1)'!$D40</f>
        <v>667</v>
      </c>
      <c r="Q58" s="49">
        <f>'Costs Hypotheses (1)'!$D40</f>
        <v>667</v>
      </c>
      <c r="R58" s="49">
        <f>'Costs Hypotheses (1)'!$D40</f>
        <v>667</v>
      </c>
      <c r="S58" s="49">
        <f>'Costs Hypotheses (1)'!$D40</f>
        <v>667</v>
      </c>
      <c r="T58" s="49">
        <f>'Costs Hypotheses (1)'!$D40</f>
        <v>667</v>
      </c>
      <c r="U58" s="49">
        <f>'Costs Hypotheses (1)'!$D40</f>
        <v>667</v>
      </c>
      <c r="V58" s="49">
        <f>'Costs Hypotheses (1)'!$D40</f>
        <v>667</v>
      </c>
      <c r="W58" s="49">
        <f>'Costs Hypotheses (1)'!$D40</f>
        <v>667</v>
      </c>
      <c r="X58" s="49">
        <f>'Costs Hypotheses (1)'!$D40</f>
        <v>667</v>
      </c>
      <c r="Y58" s="49">
        <f>'Costs Hypotheses (1)'!$D40</f>
        <v>667</v>
      </c>
      <c r="Z58" s="89">
        <f>'Costs Hypotheses (1)'!$D40</f>
        <v>667</v>
      </c>
    </row>
    <row r="59" ht="15.75" customHeight="1">
      <c r="A59" s="23"/>
      <c r="B59" s="44" t="str">
        <f>'Costs Hypotheses (1)'!B41</f>
        <v>Content / SEO / community</v>
      </c>
      <c r="C59" s="88">
        <f>'Costs Hypotheses (1)'!$D41</f>
        <v>500</v>
      </c>
      <c r="D59" s="49">
        <f>'Costs Hypotheses (1)'!$D41</f>
        <v>500</v>
      </c>
      <c r="E59" s="49">
        <f>'Costs Hypotheses (1)'!$D41</f>
        <v>500</v>
      </c>
      <c r="F59" s="49">
        <f>'Costs Hypotheses (1)'!$D41</f>
        <v>500</v>
      </c>
      <c r="G59" s="49">
        <f>'Costs Hypotheses (1)'!$D41</f>
        <v>500</v>
      </c>
      <c r="H59" s="49">
        <f>'Costs Hypotheses (1)'!$D41</f>
        <v>500</v>
      </c>
      <c r="I59" s="49">
        <f>'Costs Hypotheses (1)'!$D41</f>
        <v>500</v>
      </c>
      <c r="J59" s="49">
        <f>'Costs Hypotheses (1)'!$D41</f>
        <v>500</v>
      </c>
      <c r="K59" s="49">
        <f>'Costs Hypotheses (1)'!$D41</f>
        <v>500</v>
      </c>
      <c r="L59" s="49">
        <f>'Costs Hypotheses (1)'!$D41</f>
        <v>500</v>
      </c>
      <c r="M59" s="49">
        <f>'Costs Hypotheses (1)'!$D41</f>
        <v>500</v>
      </c>
      <c r="N59" s="49">
        <f>'Costs Hypotheses (1)'!$D41</f>
        <v>500</v>
      </c>
      <c r="O59" s="88">
        <f>'Costs Hypotheses (1)'!$D41</f>
        <v>500</v>
      </c>
      <c r="P59" s="49">
        <f>'Costs Hypotheses (1)'!$D41</f>
        <v>500</v>
      </c>
      <c r="Q59" s="49">
        <f>'Costs Hypotheses (1)'!$D41</f>
        <v>500</v>
      </c>
      <c r="R59" s="49">
        <f>'Costs Hypotheses (1)'!$D41</f>
        <v>500</v>
      </c>
      <c r="S59" s="49">
        <f>'Costs Hypotheses (1)'!$D41</f>
        <v>500</v>
      </c>
      <c r="T59" s="49">
        <f>'Costs Hypotheses (1)'!$D41</f>
        <v>500</v>
      </c>
      <c r="U59" s="49">
        <f>'Costs Hypotheses (1)'!$D41</f>
        <v>500</v>
      </c>
      <c r="V59" s="49">
        <f>'Costs Hypotheses (1)'!$D41</f>
        <v>500</v>
      </c>
      <c r="W59" s="49">
        <f>'Costs Hypotheses (1)'!$D41</f>
        <v>500</v>
      </c>
      <c r="X59" s="49">
        <f>'Costs Hypotheses (1)'!$D41</f>
        <v>500</v>
      </c>
      <c r="Y59" s="49">
        <f>'Costs Hypotheses (1)'!$D41</f>
        <v>500</v>
      </c>
      <c r="Z59" s="89">
        <f>'Costs Hypotheses (1)'!$D41</f>
        <v>500</v>
      </c>
    </row>
    <row r="60" ht="15.75" customHeight="1">
      <c r="A60" s="23"/>
      <c r="B60" s="44" t="str">
        <f>'Costs Hypotheses (1)'!B42</f>
        <v>Cognitive attestation license (future)</v>
      </c>
      <c r="C60" s="88">
        <f>'Costs Hypotheses (1)'!$D42</f>
        <v>0</v>
      </c>
      <c r="D60" s="49">
        <f>'Costs Hypotheses (1)'!$D42</f>
        <v>0</v>
      </c>
      <c r="E60" s="49">
        <f>'Costs Hypotheses (1)'!$D42</f>
        <v>0</v>
      </c>
      <c r="F60" s="49">
        <f>'Costs Hypotheses (1)'!$D42</f>
        <v>0</v>
      </c>
      <c r="G60" s="49">
        <f>'Costs Hypotheses (1)'!$D42</f>
        <v>0</v>
      </c>
      <c r="H60" s="49">
        <f>'Costs Hypotheses (1)'!$D42</f>
        <v>0</v>
      </c>
      <c r="I60" s="49">
        <f>'Costs Hypotheses (1)'!$D42</f>
        <v>0</v>
      </c>
      <c r="J60" s="49">
        <f>'Costs Hypotheses (1)'!$D42</f>
        <v>0</v>
      </c>
      <c r="K60" s="49">
        <f>'Costs Hypotheses (1)'!$D42</f>
        <v>0</v>
      </c>
      <c r="L60" s="49">
        <f>'Costs Hypotheses (1)'!$D42</f>
        <v>0</v>
      </c>
      <c r="M60" s="49">
        <f>'Costs Hypotheses (1)'!$D42</f>
        <v>0</v>
      </c>
      <c r="N60" s="49">
        <f>'Costs Hypotheses (1)'!$D42</f>
        <v>0</v>
      </c>
      <c r="O60" s="88">
        <f>'Costs Hypotheses (1)'!$D42</f>
        <v>0</v>
      </c>
      <c r="P60" s="49">
        <f>'Costs Hypotheses (1)'!$D42</f>
        <v>0</v>
      </c>
      <c r="Q60" s="49">
        <f>'Costs Hypotheses (1)'!$D42</f>
        <v>0</v>
      </c>
      <c r="R60" s="49">
        <f>'Costs Hypotheses (1)'!$D42</f>
        <v>0</v>
      </c>
      <c r="S60" s="49">
        <f>'Costs Hypotheses (1)'!$D42</f>
        <v>0</v>
      </c>
      <c r="T60" s="49">
        <f>'Costs Hypotheses (1)'!$D42</f>
        <v>0</v>
      </c>
      <c r="U60" s="49">
        <f>'Costs Hypotheses (1)'!$D42</f>
        <v>0</v>
      </c>
      <c r="V60" s="49">
        <f>'Costs Hypotheses (1)'!$D42</f>
        <v>0</v>
      </c>
      <c r="W60" s="49">
        <f>'Costs Hypotheses (1)'!$D42</f>
        <v>0</v>
      </c>
      <c r="X60" s="49">
        <f>'Costs Hypotheses (1)'!$D42</f>
        <v>0</v>
      </c>
      <c r="Y60" s="49">
        <f>'Costs Hypotheses (1)'!$D42</f>
        <v>0</v>
      </c>
      <c r="Z60" s="89">
        <f>'Costs Hypotheses (1)'!$D42</f>
        <v>0</v>
      </c>
    </row>
    <row r="61" ht="15.75" customHeight="1">
      <c r="A61" s="85"/>
      <c r="B61" s="85" t="s">
        <v>73</v>
      </c>
      <c r="C61" s="86">
        <f t="shared" ref="C61:Z61" si="10">sum(C52:C60)</f>
        <v>7867</v>
      </c>
      <c r="D61" s="85">
        <f t="shared" si="10"/>
        <v>7867</v>
      </c>
      <c r="E61" s="85">
        <f t="shared" si="10"/>
        <v>7867</v>
      </c>
      <c r="F61" s="85">
        <f t="shared" si="10"/>
        <v>7867</v>
      </c>
      <c r="G61" s="85">
        <f t="shared" si="10"/>
        <v>7867</v>
      </c>
      <c r="H61" s="85">
        <f t="shared" si="10"/>
        <v>7867</v>
      </c>
      <c r="I61" s="85">
        <f t="shared" si="10"/>
        <v>7867</v>
      </c>
      <c r="J61" s="85">
        <f t="shared" si="10"/>
        <v>7867</v>
      </c>
      <c r="K61" s="85">
        <f t="shared" si="10"/>
        <v>7867</v>
      </c>
      <c r="L61" s="85">
        <f t="shared" si="10"/>
        <v>7867</v>
      </c>
      <c r="M61" s="85">
        <f t="shared" si="10"/>
        <v>7867</v>
      </c>
      <c r="N61" s="87">
        <f t="shared" si="10"/>
        <v>7867</v>
      </c>
      <c r="O61" s="85">
        <f t="shared" si="10"/>
        <v>7867</v>
      </c>
      <c r="P61" s="85">
        <f t="shared" si="10"/>
        <v>7867</v>
      </c>
      <c r="Q61" s="85">
        <f t="shared" si="10"/>
        <v>7867</v>
      </c>
      <c r="R61" s="85">
        <f t="shared" si="10"/>
        <v>7867</v>
      </c>
      <c r="S61" s="85">
        <f t="shared" si="10"/>
        <v>7867</v>
      </c>
      <c r="T61" s="85">
        <f t="shared" si="10"/>
        <v>7867</v>
      </c>
      <c r="U61" s="85">
        <f t="shared" si="10"/>
        <v>7867</v>
      </c>
      <c r="V61" s="85">
        <f t="shared" si="10"/>
        <v>7867</v>
      </c>
      <c r="W61" s="85">
        <f t="shared" si="10"/>
        <v>7867</v>
      </c>
      <c r="X61" s="85">
        <f t="shared" si="10"/>
        <v>7867</v>
      </c>
      <c r="Y61" s="85">
        <f t="shared" si="10"/>
        <v>7867</v>
      </c>
      <c r="Z61" s="87">
        <f t="shared" si="10"/>
        <v>7867</v>
      </c>
    </row>
    <row r="62" ht="15.75" customHeight="1">
      <c r="A62" s="23"/>
      <c r="B62" s="23"/>
      <c r="C62" s="56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57"/>
      <c r="O62" s="56"/>
      <c r="Z62" s="57"/>
    </row>
    <row r="63" ht="15.75" customHeight="1">
      <c r="A63" s="58" t="s">
        <v>74</v>
      </c>
    </row>
    <row r="64" ht="15.75" customHeight="1">
      <c r="A64" s="23"/>
      <c r="B64" s="23"/>
      <c r="C64" s="56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57"/>
      <c r="O64" s="56"/>
      <c r="Z64" s="57"/>
    </row>
    <row r="65" ht="15.75" customHeight="1">
      <c r="A65" s="42" t="s">
        <v>2</v>
      </c>
      <c r="B65" s="23"/>
      <c r="C65" s="56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57"/>
      <c r="O65" s="56"/>
      <c r="Z65" s="57"/>
    </row>
    <row r="66" ht="15.75" customHeight="1">
      <c r="A66" s="23"/>
      <c r="B66" s="43" t="s">
        <v>63</v>
      </c>
      <c r="C66" s="59">
        <f t="shared" ref="C66:Z66" si="11">C14</f>
        <v>5367.5</v>
      </c>
      <c r="D66" s="60">
        <f t="shared" si="11"/>
        <v>8657.6475</v>
      </c>
      <c r="E66" s="60">
        <f t="shared" si="11"/>
        <v>12433.86206</v>
      </c>
      <c r="F66" s="60">
        <f t="shared" si="11"/>
        <v>16655.01047</v>
      </c>
      <c r="G66" s="60">
        <f t="shared" si="11"/>
        <v>21374.50944</v>
      </c>
      <c r="H66" s="60">
        <f t="shared" si="11"/>
        <v>26652.18559</v>
      </c>
      <c r="I66" s="60">
        <f t="shared" si="11"/>
        <v>32421.5565</v>
      </c>
      <c r="J66" s="60">
        <f t="shared" si="11"/>
        <v>38755.44788</v>
      </c>
      <c r="K66" s="60">
        <f t="shared" si="11"/>
        <v>45710.36147</v>
      </c>
      <c r="L66" s="60">
        <f t="shared" si="11"/>
        <v>53206.25022</v>
      </c>
      <c r="M66" s="60">
        <f t="shared" si="11"/>
        <v>61286.45384</v>
      </c>
      <c r="N66" s="61">
        <f t="shared" si="11"/>
        <v>69997.77894</v>
      </c>
      <c r="O66" s="60">
        <f t="shared" si="11"/>
        <v>80938.45458</v>
      </c>
      <c r="P66" s="60">
        <f t="shared" si="11"/>
        <v>92733.02086</v>
      </c>
      <c r="Q66" s="60">
        <f t="shared" si="11"/>
        <v>105449.8745</v>
      </c>
      <c r="R66" s="60">
        <f t="shared" si="11"/>
        <v>119032.0057</v>
      </c>
      <c r="S66" s="60">
        <f t="shared" si="11"/>
        <v>133540.0835</v>
      </c>
      <c r="T66" s="60">
        <f t="shared" si="11"/>
        <v>149039.0234</v>
      </c>
      <c r="U66" s="60">
        <f t="shared" si="11"/>
        <v>165437.9536</v>
      </c>
      <c r="V66" s="60">
        <f t="shared" si="11"/>
        <v>182790.9933</v>
      </c>
      <c r="W66" s="60">
        <f t="shared" si="11"/>
        <v>201155.5082</v>
      </c>
      <c r="X66" s="60">
        <f t="shared" si="11"/>
        <v>220401.3491</v>
      </c>
      <c r="Y66" s="60">
        <f t="shared" si="11"/>
        <v>240572.7297</v>
      </c>
      <c r="Z66" s="61">
        <f t="shared" si="11"/>
        <v>261716.0741</v>
      </c>
    </row>
    <row r="67" ht="15.75" customHeight="1">
      <c r="A67" s="42" t="s">
        <v>75</v>
      </c>
      <c r="B67" s="23"/>
      <c r="C67" s="56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57"/>
      <c r="Z67" s="57"/>
    </row>
    <row r="68" ht="15.75" customHeight="1">
      <c r="A68" s="23"/>
      <c r="B68" s="60" t="str">
        <f t="shared" ref="B68:Z68" si="12">B16</f>
        <v>Payment Processing</v>
      </c>
      <c r="C68" s="90">
        <f t="shared" si="12"/>
        <v>161.025</v>
      </c>
      <c r="D68" s="47">
        <f t="shared" si="12"/>
        <v>259.729425</v>
      </c>
      <c r="E68" s="47">
        <f t="shared" si="12"/>
        <v>373.0158617</v>
      </c>
      <c r="F68" s="47">
        <f t="shared" si="12"/>
        <v>499.6503141</v>
      </c>
      <c r="G68" s="47">
        <f t="shared" si="12"/>
        <v>641.2352832</v>
      </c>
      <c r="H68" s="47">
        <f t="shared" si="12"/>
        <v>799.5655677</v>
      </c>
      <c r="I68" s="47">
        <f t="shared" si="12"/>
        <v>972.6466949</v>
      </c>
      <c r="J68" s="47">
        <f t="shared" si="12"/>
        <v>1162.663437</v>
      </c>
      <c r="K68" s="47">
        <f t="shared" si="12"/>
        <v>1371.310844</v>
      </c>
      <c r="L68" s="47">
        <f t="shared" si="12"/>
        <v>1596.187507</v>
      </c>
      <c r="M68" s="47">
        <f t="shared" si="12"/>
        <v>1838.593615</v>
      </c>
      <c r="N68" s="91">
        <f t="shared" si="12"/>
        <v>2099.933368</v>
      </c>
      <c r="O68" s="47">
        <f t="shared" si="12"/>
        <v>2428.153637</v>
      </c>
      <c r="P68" s="47">
        <f t="shared" si="12"/>
        <v>2781.990626</v>
      </c>
      <c r="Q68" s="47">
        <f t="shared" si="12"/>
        <v>3163.496234</v>
      </c>
      <c r="R68" s="47">
        <f t="shared" si="12"/>
        <v>3570.960171</v>
      </c>
      <c r="S68" s="47">
        <f t="shared" si="12"/>
        <v>4006.202505</v>
      </c>
      <c r="T68" s="47">
        <f t="shared" si="12"/>
        <v>4471.170703</v>
      </c>
      <c r="U68" s="47">
        <f t="shared" si="12"/>
        <v>4963.138609</v>
      </c>
      <c r="V68" s="47">
        <f t="shared" si="12"/>
        <v>5483.729798</v>
      </c>
      <c r="W68" s="47">
        <f t="shared" si="12"/>
        <v>6034.665247</v>
      </c>
      <c r="X68" s="47">
        <f t="shared" si="12"/>
        <v>6612.040473</v>
      </c>
      <c r="Y68" s="47">
        <f t="shared" si="12"/>
        <v>7217.181892</v>
      </c>
      <c r="Z68" s="91">
        <f t="shared" si="12"/>
        <v>7851.482224</v>
      </c>
    </row>
    <row r="69" ht="15.75" customHeight="1">
      <c r="A69" s="23"/>
      <c r="B69" s="44" t="str">
        <f t="shared" ref="B69:Z69" si="13">B49</f>
        <v>Hosting &amp; Bandwidth</v>
      </c>
      <c r="C69" s="90">
        <f t="shared" si="13"/>
        <v>1500</v>
      </c>
      <c r="D69" s="47">
        <f t="shared" si="13"/>
        <v>1500</v>
      </c>
      <c r="E69" s="47">
        <f t="shared" si="13"/>
        <v>1500</v>
      </c>
      <c r="F69" s="47">
        <f t="shared" si="13"/>
        <v>1500</v>
      </c>
      <c r="G69" s="47">
        <f t="shared" si="13"/>
        <v>1500</v>
      </c>
      <c r="H69" s="47">
        <f t="shared" si="13"/>
        <v>1500</v>
      </c>
      <c r="I69" s="47">
        <f t="shared" si="13"/>
        <v>1500</v>
      </c>
      <c r="J69" s="47">
        <f t="shared" si="13"/>
        <v>1500</v>
      </c>
      <c r="K69" s="47">
        <f t="shared" si="13"/>
        <v>1500</v>
      </c>
      <c r="L69" s="47">
        <f t="shared" si="13"/>
        <v>1500</v>
      </c>
      <c r="M69" s="47">
        <f t="shared" si="13"/>
        <v>1500</v>
      </c>
      <c r="N69" s="91">
        <f t="shared" si="13"/>
        <v>1500</v>
      </c>
      <c r="O69" s="47">
        <f t="shared" si="13"/>
        <v>1500</v>
      </c>
      <c r="P69" s="47">
        <f t="shared" si="13"/>
        <v>1500</v>
      </c>
      <c r="Q69" s="47">
        <f t="shared" si="13"/>
        <v>1500</v>
      </c>
      <c r="R69" s="47">
        <f t="shared" si="13"/>
        <v>1500</v>
      </c>
      <c r="S69" s="47">
        <f t="shared" si="13"/>
        <v>1500</v>
      </c>
      <c r="T69" s="47">
        <f t="shared" si="13"/>
        <v>1500</v>
      </c>
      <c r="U69" s="47">
        <f t="shared" si="13"/>
        <v>1500</v>
      </c>
      <c r="V69" s="47">
        <f t="shared" si="13"/>
        <v>1500</v>
      </c>
      <c r="W69" s="47">
        <f t="shared" si="13"/>
        <v>1500</v>
      </c>
      <c r="X69" s="47">
        <f t="shared" si="13"/>
        <v>1500</v>
      </c>
      <c r="Y69" s="47">
        <f t="shared" si="13"/>
        <v>1500</v>
      </c>
      <c r="Z69" s="91">
        <f t="shared" si="13"/>
        <v>1500</v>
      </c>
    </row>
    <row r="70" ht="15.75" customHeight="1">
      <c r="A70" s="23"/>
      <c r="B70" s="43" t="s">
        <v>76</v>
      </c>
      <c r="C70" s="90">
        <f>sumif('Costs Hypotheses (1)'!$F$3:$F$22,$B$70,C22:C41)</f>
        <v>0</v>
      </c>
      <c r="D70" s="47">
        <f>sumif('Costs Hypotheses (1)'!$F$3:$F$22,$B$70,D22:D41)</f>
        <v>0</v>
      </c>
      <c r="E70" s="47">
        <f>sumif('Costs Hypotheses (1)'!$F$3:$F$22,$B$70,E22:E41)</f>
        <v>0</v>
      </c>
      <c r="F70" s="47">
        <f>sumif('Costs Hypotheses (1)'!$F$3:$F$22,$B$70,F22:F41)</f>
        <v>0</v>
      </c>
      <c r="G70" s="47">
        <f>sumif('Costs Hypotheses (1)'!$F$3:$F$22,$B$70,G22:G41)</f>
        <v>0</v>
      </c>
      <c r="H70" s="47">
        <f>sumif('Costs Hypotheses (1)'!$F$3:$F$22,$B$70,H22:H41)</f>
        <v>0</v>
      </c>
      <c r="I70" s="47">
        <f>sumif('Costs Hypotheses (1)'!$F$3:$F$22,$B$70,I22:I41)</f>
        <v>0</v>
      </c>
      <c r="J70" s="47">
        <f>sumif('Costs Hypotheses (1)'!$F$3:$F$22,$B$70,J22:J41)</f>
        <v>0</v>
      </c>
      <c r="K70" s="47">
        <f>sumif('Costs Hypotheses (1)'!$F$3:$F$22,$B$70,K22:K41)</f>
        <v>0</v>
      </c>
      <c r="L70" s="47">
        <f>sumif('Costs Hypotheses (1)'!$F$3:$F$22,$B$70,L22:L41)</f>
        <v>0</v>
      </c>
      <c r="M70" s="47">
        <f>sumif('Costs Hypotheses (1)'!$F$3:$F$22,$B$70,M22:M41)</f>
        <v>0</v>
      </c>
      <c r="N70" s="91">
        <f>sumif('Costs Hypotheses (1)'!$F$3:$F$22,$B$70,N22:N41)</f>
        <v>0</v>
      </c>
      <c r="O70" s="47">
        <f>sumif('Costs Hypotheses (1)'!$F$3:$F$22,$B$70,O22:O41)</f>
        <v>0</v>
      </c>
      <c r="P70" s="47">
        <f>sumif('Costs Hypotheses (1)'!$F$3:$F$22,$B$70,P22:P41)</f>
        <v>0</v>
      </c>
      <c r="Q70" s="47">
        <f>sumif('Costs Hypotheses (1)'!$F$3:$F$22,$B$70,Q22:Q41)</f>
        <v>0</v>
      </c>
      <c r="R70" s="47">
        <f>sumif('Costs Hypotheses (1)'!$F$3:$F$22,$B$70,R22:R41)</f>
        <v>0</v>
      </c>
      <c r="S70" s="47">
        <f>sumif('Costs Hypotheses (1)'!$F$3:$F$22,$B$70,S22:S41)</f>
        <v>0</v>
      </c>
      <c r="T70" s="47">
        <f>sumif('Costs Hypotheses (1)'!$F$3:$F$22,$B$70,T22:T41)</f>
        <v>0</v>
      </c>
      <c r="U70" s="47">
        <f>sumif('Costs Hypotheses (1)'!$F$3:$F$22,$B$70,U22:U41)</f>
        <v>0</v>
      </c>
      <c r="V70" s="47">
        <f>sumif('Costs Hypotheses (1)'!$F$3:$F$22,$B$70,V22:V41)</f>
        <v>0</v>
      </c>
      <c r="W70" s="47">
        <f>sumif('Costs Hypotheses (1)'!$F$3:$F$22,$B$70,W22:W41)</f>
        <v>0</v>
      </c>
      <c r="X70" s="47">
        <f>sumif('Costs Hypotheses (1)'!$F$3:$F$22,$B$70,X22:X41)</f>
        <v>0</v>
      </c>
      <c r="Y70" s="47">
        <f>sumif('Costs Hypotheses (1)'!$F$3:$F$22,$B$70,Y22:Y41)</f>
        <v>0</v>
      </c>
      <c r="Z70" s="91">
        <f>sumif('Costs Hypotheses (1)'!$F$3:$F$22,$B$70,Z22:Z41)</f>
        <v>0</v>
      </c>
    </row>
    <row r="71" ht="15.75" customHeight="1">
      <c r="A71" s="85"/>
      <c r="B71" s="85" t="s">
        <v>77</v>
      </c>
      <c r="C71" s="86">
        <f t="shared" ref="C71:Z71" si="14">sum(C68:C70)</f>
        <v>1661.025</v>
      </c>
      <c r="D71" s="85">
        <f t="shared" si="14"/>
        <v>1759.729425</v>
      </c>
      <c r="E71" s="85">
        <f t="shared" si="14"/>
        <v>1873.015862</v>
      </c>
      <c r="F71" s="85">
        <f t="shared" si="14"/>
        <v>1999.650314</v>
      </c>
      <c r="G71" s="85">
        <f t="shared" si="14"/>
        <v>2141.235283</v>
      </c>
      <c r="H71" s="85">
        <f t="shared" si="14"/>
        <v>2299.565568</v>
      </c>
      <c r="I71" s="85">
        <f t="shared" si="14"/>
        <v>2472.646695</v>
      </c>
      <c r="J71" s="85">
        <f t="shared" si="14"/>
        <v>2662.663437</v>
      </c>
      <c r="K71" s="85">
        <f t="shared" si="14"/>
        <v>2871.310844</v>
      </c>
      <c r="L71" s="85">
        <f t="shared" si="14"/>
        <v>3096.187507</v>
      </c>
      <c r="M71" s="85">
        <f t="shared" si="14"/>
        <v>3338.593615</v>
      </c>
      <c r="N71" s="85">
        <f t="shared" si="14"/>
        <v>3599.933368</v>
      </c>
      <c r="O71" s="86">
        <f t="shared" si="14"/>
        <v>3928.153637</v>
      </c>
      <c r="P71" s="85">
        <f t="shared" si="14"/>
        <v>4281.990626</v>
      </c>
      <c r="Q71" s="85">
        <f t="shared" si="14"/>
        <v>4663.496234</v>
      </c>
      <c r="R71" s="85">
        <f t="shared" si="14"/>
        <v>5070.960171</v>
      </c>
      <c r="S71" s="85">
        <f t="shared" si="14"/>
        <v>5506.202505</v>
      </c>
      <c r="T71" s="85">
        <f t="shared" si="14"/>
        <v>5971.170703</v>
      </c>
      <c r="U71" s="85">
        <f t="shared" si="14"/>
        <v>6463.138609</v>
      </c>
      <c r="V71" s="85">
        <f t="shared" si="14"/>
        <v>6983.729798</v>
      </c>
      <c r="W71" s="85">
        <f t="shared" si="14"/>
        <v>7534.665247</v>
      </c>
      <c r="X71" s="85">
        <f t="shared" si="14"/>
        <v>8112.040473</v>
      </c>
      <c r="Y71" s="85">
        <f t="shared" si="14"/>
        <v>8717.181892</v>
      </c>
      <c r="Z71" s="85">
        <f t="shared" si="14"/>
        <v>9351.482224</v>
      </c>
    </row>
    <row r="72" ht="15.75" customHeight="1">
      <c r="A72" s="92"/>
      <c r="B72" s="92"/>
      <c r="C72" s="93">
        <f t="shared" ref="C72:Z72" si="15">C71/C66</f>
        <v>0.3094597112</v>
      </c>
      <c r="D72" s="94">
        <f t="shared" si="15"/>
        <v>0.2032572272</v>
      </c>
      <c r="E72" s="94">
        <f t="shared" si="15"/>
        <v>0.1506383015</v>
      </c>
      <c r="F72" s="94">
        <f t="shared" si="15"/>
        <v>0.1200629875</v>
      </c>
      <c r="G72" s="94">
        <f t="shared" si="15"/>
        <v>0.1001770492</v>
      </c>
      <c r="H72" s="94">
        <f t="shared" si="15"/>
        <v>0.08628056261</v>
      </c>
      <c r="I72" s="94">
        <f t="shared" si="15"/>
        <v>0.07626551474</v>
      </c>
      <c r="J72" s="94">
        <f t="shared" si="15"/>
        <v>0.06870423597</v>
      </c>
      <c r="K72" s="94">
        <f t="shared" si="15"/>
        <v>0.06281531696</v>
      </c>
      <c r="L72" s="94">
        <f t="shared" si="15"/>
        <v>0.05819217655</v>
      </c>
      <c r="M72" s="94">
        <f t="shared" si="15"/>
        <v>0.05447522912</v>
      </c>
      <c r="N72" s="95">
        <f t="shared" si="15"/>
        <v>0.05142925137</v>
      </c>
      <c r="O72" s="94">
        <f t="shared" si="15"/>
        <v>0.04853259996</v>
      </c>
      <c r="P72" s="94">
        <f t="shared" si="15"/>
        <v>0.04617546788</v>
      </c>
      <c r="Q72" s="94">
        <f t="shared" si="15"/>
        <v>0.044224768</v>
      </c>
      <c r="R72" s="94">
        <f t="shared" si="15"/>
        <v>0.04260165274</v>
      </c>
      <c r="S72" s="94">
        <f t="shared" si="15"/>
        <v>0.04123258246</v>
      </c>
      <c r="T72" s="94">
        <f t="shared" si="15"/>
        <v>0.04006447818</v>
      </c>
      <c r="U72" s="94">
        <f t="shared" si="15"/>
        <v>0.03906684329</v>
      </c>
      <c r="V72" s="94">
        <f t="shared" si="15"/>
        <v>0.0382060936</v>
      </c>
      <c r="W72" s="94">
        <f t="shared" si="15"/>
        <v>0.03745691735</v>
      </c>
      <c r="X72" s="94">
        <f t="shared" si="15"/>
        <v>0.03680576596</v>
      </c>
      <c r="Y72" s="94">
        <f t="shared" si="15"/>
        <v>0.03623512067</v>
      </c>
      <c r="Z72" s="95">
        <f t="shared" si="15"/>
        <v>0.03573140188</v>
      </c>
    </row>
    <row r="73" ht="15.75" customHeight="1">
      <c r="A73" s="42" t="s">
        <v>78</v>
      </c>
      <c r="B73" s="23"/>
      <c r="C73" s="56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57"/>
      <c r="Z73" s="57"/>
    </row>
    <row r="74" ht="15.75" customHeight="1">
      <c r="A74" s="85"/>
      <c r="B74" s="85" t="s">
        <v>78</v>
      </c>
      <c r="C74" s="86">
        <f t="shared" ref="C74:Z74" si="16">C66-C71</f>
        <v>3706.475</v>
      </c>
      <c r="D74" s="85">
        <f t="shared" si="16"/>
        <v>6897.918075</v>
      </c>
      <c r="E74" s="85">
        <f t="shared" si="16"/>
        <v>10560.8462</v>
      </c>
      <c r="F74" s="85">
        <f t="shared" si="16"/>
        <v>14655.36016</v>
      </c>
      <c r="G74" s="85">
        <f t="shared" si="16"/>
        <v>19233.27416</v>
      </c>
      <c r="H74" s="85">
        <f t="shared" si="16"/>
        <v>24352.62002</v>
      </c>
      <c r="I74" s="85">
        <f t="shared" si="16"/>
        <v>29948.9098</v>
      </c>
      <c r="J74" s="85">
        <f t="shared" si="16"/>
        <v>36092.78445</v>
      </c>
      <c r="K74" s="85">
        <f t="shared" si="16"/>
        <v>42839.05062</v>
      </c>
      <c r="L74" s="85">
        <f t="shared" si="16"/>
        <v>50110.06272</v>
      </c>
      <c r="M74" s="85">
        <f t="shared" si="16"/>
        <v>57947.86023</v>
      </c>
      <c r="N74" s="85">
        <f t="shared" si="16"/>
        <v>66397.84557</v>
      </c>
      <c r="O74" s="86">
        <f t="shared" si="16"/>
        <v>77010.30094</v>
      </c>
      <c r="P74" s="85">
        <f t="shared" si="16"/>
        <v>88451.03023</v>
      </c>
      <c r="Q74" s="85">
        <f t="shared" si="16"/>
        <v>100786.3782</v>
      </c>
      <c r="R74" s="85">
        <f t="shared" si="16"/>
        <v>113961.0455</v>
      </c>
      <c r="S74" s="85">
        <f t="shared" si="16"/>
        <v>128033.881</v>
      </c>
      <c r="T74" s="85">
        <f t="shared" si="16"/>
        <v>143067.8527</v>
      </c>
      <c r="U74" s="85">
        <f t="shared" si="16"/>
        <v>158974.815</v>
      </c>
      <c r="V74" s="85">
        <f t="shared" si="16"/>
        <v>175807.2635</v>
      </c>
      <c r="W74" s="85">
        <f t="shared" si="16"/>
        <v>193620.843</v>
      </c>
      <c r="X74" s="85">
        <f t="shared" si="16"/>
        <v>212289.3086</v>
      </c>
      <c r="Y74" s="85">
        <f t="shared" si="16"/>
        <v>231855.5478</v>
      </c>
      <c r="Z74" s="85">
        <f t="shared" si="16"/>
        <v>252364.5919</v>
      </c>
    </row>
    <row r="75" ht="15.75" customHeight="1">
      <c r="A75" s="92"/>
      <c r="B75" s="92"/>
      <c r="C75" s="93">
        <f t="shared" ref="C75:Z75" si="17">C74/C66</f>
        <v>0.6905402888</v>
      </c>
      <c r="D75" s="94">
        <f t="shared" si="17"/>
        <v>0.7967427728</v>
      </c>
      <c r="E75" s="94">
        <f t="shared" si="17"/>
        <v>0.8493616985</v>
      </c>
      <c r="F75" s="94">
        <f t="shared" si="17"/>
        <v>0.8799370125</v>
      </c>
      <c r="G75" s="94">
        <f t="shared" si="17"/>
        <v>0.8998229508</v>
      </c>
      <c r="H75" s="94">
        <f t="shared" si="17"/>
        <v>0.9137194374</v>
      </c>
      <c r="I75" s="94">
        <f t="shared" si="17"/>
        <v>0.9237344853</v>
      </c>
      <c r="J75" s="94">
        <f t="shared" si="17"/>
        <v>0.931295764</v>
      </c>
      <c r="K75" s="94">
        <f t="shared" si="17"/>
        <v>0.937184683</v>
      </c>
      <c r="L75" s="94">
        <f t="shared" si="17"/>
        <v>0.9418078234</v>
      </c>
      <c r="M75" s="94">
        <f t="shared" si="17"/>
        <v>0.9455247709</v>
      </c>
      <c r="N75" s="95">
        <f t="shared" si="17"/>
        <v>0.9485707486</v>
      </c>
      <c r="O75" s="94">
        <f t="shared" si="17"/>
        <v>0.9514674</v>
      </c>
      <c r="P75" s="94">
        <f t="shared" si="17"/>
        <v>0.9538245321</v>
      </c>
      <c r="Q75" s="94">
        <f t="shared" si="17"/>
        <v>0.955775232</v>
      </c>
      <c r="R75" s="94">
        <f t="shared" si="17"/>
        <v>0.9573983473</v>
      </c>
      <c r="S75" s="94">
        <f t="shared" si="17"/>
        <v>0.9587674175</v>
      </c>
      <c r="T75" s="94">
        <f t="shared" si="17"/>
        <v>0.9599355218</v>
      </c>
      <c r="U75" s="94">
        <f t="shared" si="17"/>
        <v>0.9609331567</v>
      </c>
      <c r="V75" s="94">
        <f t="shared" si="17"/>
        <v>0.9617939064</v>
      </c>
      <c r="W75" s="94">
        <f t="shared" si="17"/>
        <v>0.9625430826</v>
      </c>
      <c r="X75" s="94">
        <f t="shared" si="17"/>
        <v>0.963194234</v>
      </c>
      <c r="Y75" s="94">
        <f t="shared" si="17"/>
        <v>0.9637648793</v>
      </c>
      <c r="Z75" s="95">
        <f t="shared" si="17"/>
        <v>0.9642685981</v>
      </c>
    </row>
    <row r="76" ht="15.75" customHeight="1">
      <c r="A76" s="42" t="s">
        <v>79</v>
      </c>
      <c r="B76" s="43"/>
      <c r="C76" s="90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91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91"/>
    </row>
    <row r="77" ht="15.75" customHeight="1">
      <c r="A77" s="23"/>
      <c r="B77" s="43" t="s">
        <v>8</v>
      </c>
      <c r="C77" s="90">
        <f>sumif('Costs Hypotheses (1)'!$F$3:$F$22,$B$77,C22:C41)+C47+C53</f>
        <v>1161.025</v>
      </c>
      <c r="D77" s="47">
        <f>sumif('Costs Hypotheses (1)'!$F$3:$F$22,$B$77,D22:D41)+D47+D53</f>
        <v>1259.729425</v>
      </c>
      <c r="E77" s="47">
        <f>sumif('Costs Hypotheses (1)'!$F$3:$F$22,$B$77,E22:E41)+E47+E53</f>
        <v>1373.015862</v>
      </c>
      <c r="F77" s="47">
        <f>sumif('Costs Hypotheses (1)'!$F$3:$F$22,$B$77,F22:F41)+F47+F53</f>
        <v>1499.650314</v>
      </c>
      <c r="G77" s="47">
        <f>sumif('Costs Hypotheses (1)'!$F$3:$F$22,$B$77,G22:G41)+G47+G53</f>
        <v>1641.235283</v>
      </c>
      <c r="H77" s="47">
        <f>sumif('Costs Hypotheses (1)'!$F$3:$F$22,$B$77,H22:H41)+H47+H53</f>
        <v>1799.565568</v>
      </c>
      <c r="I77" s="47">
        <f>sumif('Costs Hypotheses (1)'!$F$3:$F$22,$B$77,I22:I41)+I47+I53</f>
        <v>1972.646695</v>
      </c>
      <c r="J77" s="47">
        <f>sumif('Costs Hypotheses (1)'!$F$3:$F$22,$B$77,J22:J41)+J47+J53</f>
        <v>2162.663437</v>
      </c>
      <c r="K77" s="47">
        <f>sumif('Costs Hypotheses (1)'!$F$3:$F$22,$B$77,K22:K41)+K47+K53</f>
        <v>2371.310844</v>
      </c>
      <c r="L77" s="47">
        <f>sumif('Costs Hypotheses (1)'!$F$3:$F$22,$B$77,L22:L41)+L47+L53</f>
        <v>2596.187507</v>
      </c>
      <c r="M77" s="47">
        <f>sumif('Costs Hypotheses (1)'!$F$3:$F$22,$B$77,M22:M41)+M47+M53</f>
        <v>2838.593615</v>
      </c>
      <c r="N77" s="91">
        <f>sumif('Costs Hypotheses (1)'!$F$3:$F$22,$B$77,N22:N41)+N47+N53</f>
        <v>3099.933368</v>
      </c>
      <c r="O77" s="47">
        <f>sumif('Costs Hypotheses (1)'!$F$3:$F$22,$B$77,O22:O41)+O47+O53</f>
        <v>3428.153637</v>
      </c>
      <c r="P77" s="47">
        <f>sumif('Costs Hypotheses (1)'!$F$3:$F$22,$B$77,P22:P41)+P47+P53</f>
        <v>3781.990626</v>
      </c>
      <c r="Q77" s="47">
        <f>sumif('Costs Hypotheses (1)'!$F$3:$F$22,$B$77,Q22:Q41)+Q47+Q53</f>
        <v>4163.496234</v>
      </c>
      <c r="R77" s="47">
        <f>sumif('Costs Hypotheses (1)'!$F$3:$F$22,$B$77,R22:R41)+R47+R53</f>
        <v>4570.960171</v>
      </c>
      <c r="S77" s="47">
        <f>sumif('Costs Hypotheses (1)'!$F$3:$F$22,$B$77,S22:S41)+S47+S53</f>
        <v>5006.202505</v>
      </c>
      <c r="T77" s="47">
        <f>sumif('Costs Hypotheses (1)'!$F$3:$F$22,$B$77,T22:T41)+T47+T53</f>
        <v>5471.170703</v>
      </c>
      <c r="U77" s="47">
        <f>sumif('Costs Hypotheses (1)'!$F$3:$F$22,$B$77,U22:U41)+U47+U53</f>
        <v>5963.138609</v>
      </c>
      <c r="V77" s="47">
        <f>sumif('Costs Hypotheses (1)'!$F$3:$F$22,$B$77,V22:V41)+V47+V53</f>
        <v>6483.729798</v>
      </c>
      <c r="W77" s="47">
        <f>sumif('Costs Hypotheses (1)'!$F$3:$F$22,$B$77,W22:W41)+W47+W53</f>
        <v>7034.665247</v>
      </c>
      <c r="X77" s="47">
        <f>sumif('Costs Hypotheses (1)'!$F$3:$F$22,$B$77,X22:X41)+X47+X53</f>
        <v>7612.040473</v>
      </c>
      <c r="Y77" s="47">
        <f>sumif('Costs Hypotheses (1)'!$F$3:$F$22,$B$77,Y22:Y41)+Y47+Y53</f>
        <v>8217.181892</v>
      </c>
      <c r="Z77" s="91">
        <f>sumif('Costs Hypotheses (1)'!$F$3:$F$22,$B$77,Z22:Z41)+Z47+Z53</f>
        <v>8851.482224</v>
      </c>
    </row>
    <row r="78" ht="15.75" customHeight="1">
      <c r="A78" s="92"/>
      <c r="B78" s="92" t="s">
        <v>80</v>
      </c>
      <c r="C78" s="93">
        <f t="shared" ref="C78:Z78" si="18">C77/C66</f>
        <v>0.2163064741</v>
      </c>
      <c r="D78" s="94">
        <f t="shared" si="18"/>
        <v>0.1455048181</v>
      </c>
      <c r="E78" s="94">
        <f t="shared" si="18"/>
        <v>0.1104255343</v>
      </c>
      <c r="F78" s="94">
        <f t="shared" si="18"/>
        <v>0.09004199167</v>
      </c>
      <c r="G78" s="94">
        <f t="shared" si="18"/>
        <v>0.07678469945</v>
      </c>
      <c r="H78" s="94">
        <f t="shared" si="18"/>
        <v>0.06752037508</v>
      </c>
      <c r="I78" s="94">
        <f t="shared" si="18"/>
        <v>0.06084367649</v>
      </c>
      <c r="J78" s="94">
        <f t="shared" si="18"/>
        <v>0.05580282398</v>
      </c>
      <c r="K78" s="94">
        <f t="shared" si="18"/>
        <v>0.05187687798</v>
      </c>
      <c r="L78" s="94">
        <f t="shared" si="18"/>
        <v>0.04879478437</v>
      </c>
      <c r="M78" s="94">
        <f t="shared" si="18"/>
        <v>0.04631681942</v>
      </c>
      <c r="N78" s="95">
        <f t="shared" si="18"/>
        <v>0.04428616758</v>
      </c>
      <c r="O78" s="94">
        <f t="shared" si="18"/>
        <v>0.04235506664</v>
      </c>
      <c r="P78" s="94">
        <f t="shared" si="18"/>
        <v>0.04078364525</v>
      </c>
      <c r="Q78" s="94">
        <f t="shared" si="18"/>
        <v>0.03948317867</v>
      </c>
      <c r="R78" s="94">
        <f t="shared" si="18"/>
        <v>0.03840110182</v>
      </c>
      <c r="S78" s="94">
        <f t="shared" si="18"/>
        <v>0.03748838831</v>
      </c>
      <c r="T78" s="94">
        <f t="shared" si="18"/>
        <v>0.03670965212</v>
      </c>
      <c r="U78" s="94">
        <f t="shared" si="18"/>
        <v>0.03604456219</v>
      </c>
      <c r="V78" s="94">
        <f t="shared" si="18"/>
        <v>0.03547072907</v>
      </c>
      <c r="W78" s="94">
        <f t="shared" si="18"/>
        <v>0.03497127824</v>
      </c>
      <c r="X78" s="94">
        <f t="shared" si="18"/>
        <v>0.03453717731</v>
      </c>
      <c r="Y78" s="94">
        <f t="shared" si="18"/>
        <v>0.03415674711</v>
      </c>
      <c r="Z78" s="95">
        <f t="shared" si="18"/>
        <v>0.03382093459</v>
      </c>
    </row>
    <row r="79" ht="15.75" customHeight="1">
      <c r="A79" s="23"/>
      <c r="B79" s="23"/>
      <c r="C79" s="56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57"/>
      <c r="Z79" s="57"/>
    </row>
    <row r="80" ht="15.75" customHeight="1">
      <c r="A80" s="23"/>
      <c r="B80" s="43" t="s">
        <v>9</v>
      </c>
      <c r="C80" s="88">
        <f>sumif('Costs Hypotheses (1)'!$F$3:$F$22,$B$80,C22:C41)+C52</f>
        <v>13000</v>
      </c>
      <c r="D80" s="49">
        <f>sumif('Costs Hypotheses (1)'!$F$3:$F$22,$B$80,D22:D41)+D52</f>
        <v>13000</v>
      </c>
      <c r="E80" s="49">
        <f>sumif('Costs Hypotheses (1)'!$F$3:$F$22,$B$80,E22:E41)+E52</f>
        <v>13000</v>
      </c>
      <c r="F80" s="49">
        <f>sumif('Costs Hypotheses (1)'!$F$3:$F$22,$B$80,F22:F41)+F52</f>
        <v>23000</v>
      </c>
      <c r="G80" s="49">
        <f>sumif('Costs Hypotheses (1)'!$F$3:$F$22,$B$80,G22:G41)+G52</f>
        <v>23000</v>
      </c>
      <c r="H80" s="49">
        <f>sumif('Costs Hypotheses (1)'!$F$3:$F$22,$B$80,H22:H41)+H52</f>
        <v>23000</v>
      </c>
      <c r="I80" s="49">
        <f>sumif('Costs Hypotheses (1)'!$F$3:$F$22,$B$80,I22:I41)+I52</f>
        <v>23000</v>
      </c>
      <c r="J80" s="49">
        <f>sumif('Costs Hypotheses (1)'!$F$3:$F$22,$B$80,J22:J41)+J52</f>
        <v>23000</v>
      </c>
      <c r="K80" s="49">
        <f>sumif('Costs Hypotheses (1)'!$F$3:$F$22,$B$80,K22:K41)+K52</f>
        <v>23000</v>
      </c>
      <c r="L80" s="49">
        <f>sumif('Costs Hypotheses (1)'!$F$3:$F$22,$B$80,L22:L41)+L52</f>
        <v>33000</v>
      </c>
      <c r="M80" s="49">
        <f>sumif('Costs Hypotheses (1)'!$F$3:$F$22,$B$80,M22:M41)+M52</f>
        <v>33000</v>
      </c>
      <c r="N80" s="89">
        <f>sumif('Costs Hypotheses (1)'!$F$3:$F$22,$B$80,N22:N41)+N52</f>
        <v>33000</v>
      </c>
      <c r="O80" s="49">
        <f>sumif('Costs Hypotheses (1)'!$F$3:$F$22,$B$80,O22:O41)+O52</f>
        <v>33000</v>
      </c>
      <c r="P80" s="49">
        <f>sumif('Costs Hypotheses (1)'!$F$3:$F$22,$B$80,P22:P41)+P52</f>
        <v>33000</v>
      </c>
      <c r="Q80" s="49">
        <f>sumif('Costs Hypotheses (1)'!$F$3:$F$22,$B$80,Q22:Q41)+Q52</f>
        <v>33000</v>
      </c>
      <c r="R80" s="49">
        <f>sumif('Costs Hypotheses (1)'!$F$3:$F$22,$B$80,R22:R41)+R52</f>
        <v>33000</v>
      </c>
      <c r="S80" s="49">
        <f>sumif('Costs Hypotheses (1)'!$F$3:$F$22,$B$80,S22:S41)+S52</f>
        <v>33000</v>
      </c>
      <c r="T80" s="49">
        <f>sumif('Costs Hypotheses (1)'!$F$3:$F$22,$B$80,T22:T41)+T52</f>
        <v>33000</v>
      </c>
      <c r="U80" s="49">
        <f>sumif('Costs Hypotheses (1)'!$F$3:$F$22,$B$80,U22:U41)+U52</f>
        <v>33000</v>
      </c>
      <c r="V80" s="49">
        <f>sumif('Costs Hypotheses (1)'!$F$3:$F$22,$B$80,V22:V41)+V52</f>
        <v>33000</v>
      </c>
      <c r="W80" s="49">
        <f>sumif('Costs Hypotheses (1)'!$F$3:$F$22,$B$80,W22:W41)+W52</f>
        <v>33000</v>
      </c>
      <c r="X80" s="49">
        <f>sumif('Costs Hypotheses (1)'!$F$3:$F$22,$B$80,X22:X41)+X52</f>
        <v>33000</v>
      </c>
      <c r="Y80" s="49">
        <f>sumif('Costs Hypotheses (1)'!$F$3:$F$22,$B$80,Y22:Y41)+Y52</f>
        <v>33000</v>
      </c>
      <c r="Z80" s="89">
        <f>sumif('Costs Hypotheses (1)'!$F$3:$F$22,$B$80,Z22:Z41)+Z52</f>
        <v>33000</v>
      </c>
    </row>
    <row r="81" ht="15.75" customHeight="1">
      <c r="A81" s="92"/>
      <c r="B81" s="92" t="s">
        <v>80</v>
      </c>
      <c r="C81" s="93">
        <f t="shared" ref="C81:Z81" si="19">C80/C66</f>
        <v>2.421984164</v>
      </c>
      <c r="D81" s="94">
        <f t="shared" si="19"/>
        <v>1.501562636</v>
      </c>
      <c r="E81" s="94">
        <f t="shared" si="19"/>
        <v>1.045531947</v>
      </c>
      <c r="F81" s="94">
        <f t="shared" si="19"/>
        <v>1.380965808</v>
      </c>
      <c r="G81" s="94">
        <f t="shared" si="19"/>
        <v>1.076048087</v>
      </c>
      <c r="H81" s="94">
        <f t="shared" si="19"/>
        <v>0.8629686268</v>
      </c>
      <c r="I81" s="94">
        <f t="shared" si="19"/>
        <v>0.7094045593</v>
      </c>
      <c r="J81" s="94">
        <f t="shared" si="19"/>
        <v>0.5934649515</v>
      </c>
      <c r="K81" s="94">
        <f t="shared" si="19"/>
        <v>0.5031681934</v>
      </c>
      <c r="L81" s="94">
        <f t="shared" si="19"/>
        <v>0.6202278841</v>
      </c>
      <c r="M81" s="94">
        <f t="shared" si="19"/>
        <v>0.5384550407</v>
      </c>
      <c r="N81" s="95">
        <f t="shared" si="19"/>
        <v>0.4714435301</v>
      </c>
      <c r="O81" s="94">
        <f t="shared" si="19"/>
        <v>0.4077171991</v>
      </c>
      <c r="P81" s="94">
        <f t="shared" si="19"/>
        <v>0.3558602933</v>
      </c>
      <c r="Q81" s="94">
        <f t="shared" si="19"/>
        <v>0.312944896</v>
      </c>
      <c r="R81" s="94">
        <f t="shared" si="19"/>
        <v>0.2772363602</v>
      </c>
      <c r="S81" s="94">
        <f t="shared" si="19"/>
        <v>0.2471168142</v>
      </c>
      <c r="T81" s="94">
        <f t="shared" si="19"/>
        <v>0.22141852</v>
      </c>
      <c r="U81" s="94">
        <f t="shared" si="19"/>
        <v>0.1994705524</v>
      </c>
      <c r="V81" s="94">
        <f t="shared" si="19"/>
        <v>0.1805340592</v>
      </c>
      <c r="W81" s="94">
        <f t="shared" si="19"/>
        <v>0.1640521818</v>
      </c>
      <c r="X81" s="94">
        <f t="shared" si="19"/>
        <v>0.1497268512</v>
      </c>
      <c r="Y81" s="94">
        <f t="shared" si="19"/>
        <v>0.1371726548</v>
      </c>
      <c r="Z81" s="95">
        <f t="shared" si="19"/>
        <v>0.1260908414</v>
      </c>
    </row>
    <row r="82" ht="15.75" customHeight="1">
      <c r="A82" s="23"/>
      <c r="B82" s="23"/>
      <c r="C82" s="56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57"/>
      <c r="Z82" s="57"/>
    </row>
    <row r="83" ht="15.75" customHeight="1">
      <c r="A83" s="23"/>
      <c r="B83" s="43" t="s">
        <v>10</v>
      </c>
      <c r="C83" s="88">
        <f>sumif('Costs Hypotheses (1)'!$F$3:$F$22,$B$83,C22:C41)+sum(C54:C60)</f>
        <v>13867</v>
      </c>
      <c r="D83" s="49">
        <f>sumif('Costs Hypotheses (1)'!$F$3:$F$22,$B$83,D22:D41)+sum(D54:D60)</f>
        <v>13867</v>
      </c>
      <c r="E83" s="49">
        <f>sumif('Costs Hypotheses (1)'!$F$3:$F$22,$B$83,E22:E41)+sum(E54:E60)</f>
        <v>13867</v>
      </c>
      <c r="F83" s="49">
        <f>sumif('Costs Hypotheses (1)'!$F$3:$F$22,$B$83,F22:F41)+sum(F54:F60)</f>
        <v>13867</v>
      </c>
      <c r="G83" s="49">
        <f>sumif('Costs Hypotheses (1)'!$F$3:$F$22,$B$83,G22:G41)+sum(G54:G60)</f>
        <v>13867</v>
      </c>
      <c r="H83" s="49">
        <f>sumif('Costs Hypotheses (1)'!$F$3:$F$22,$B$83,H22:H41)+sum(H54:H60)</f>
        <v>13867</v>
      </c>
      <c r="I83" s="49">
        <f>sumif('Costs Hypotheses (1)'!$F$3:$F$22,$B$83,I22:I41)+sum(I54:I60)</f>
        <v>13867</v>
      </c>
      <c r="J83" s="49">
        <f>sumif('Costs Hypotheses (1)'!$F$3:$F$22,$B$83,J22:J41)+sum(J54:J60)</f>
        <v>13867</v>
      </c>
      <c r="K83" s="49">
        <f>sumif('Costs Hypotheses (1)'!$F$3:$F$22,$B$83,K22:K41)+sum(K54:K60)</f>
        <v>13867</v>
      </c>
      <c r="L83" s="49">
        <f>sumif('Costs Hypotheses (1)'!$F$3:$F$22,$B$83,L22:L41)+sum(L54:L60)</f>
        <v>13867</v>
      </c>
      <c r="M83" s="49">
        <f>sumif('Costs Hypotheses (1)'!$F$3:$F$22,$B$83,M22:M41)+sum(M54:M60)</f>
        <v>13867</v>
      </c>
      <c r="N83" s="89">
        <f>sumif('Costs Hypotheses (1)'!$F$3:$F$22,$B$83,N22:N41)+sum(N54:N60)</f>
        <v>13867</v>
      </c>
      <c r="O83" s="49">
        <f>sumif('Costs Hypotheses (1)'!$F$3:$F$22,$B$83,O22:O41)+sum(O54:O60)</f>
        <v>13867</v>
      </c>
      <c r="P83" s="49">
        <f>sumif('Costs Hypotheses (1)'!$F$3:$F$22,$B$83,P22:P41)+sum(P54:P60)</f>
        <v>13867</v>
      </c>
      <c r="Q83" s="49">
        <f>sumif('Costs Hypotheses (1)'!$F$3:$F$22,$B$83,Q22:Q41)+sum(Q54:Q60)</f>
        <v>13867</v>
      </c>
      <c r="R83" s="49">
        <f>sumif('Costs Hypotheses (1)'!$F$3:$F$22,$B$83,R22:R41)+sum(R54:R60)</f>
        <v>13867</v>
      </c>
      <c r="S83" s="49">
        <f>sumif('Costs Hypotheses (1)'!$F$3:$F$22,$B$83,S22:S41)+sum(S54:S60)</f>
        <v>13867</v>
      </c>
      <c r="T83" s="49">
        <f>sumif('Costs Hypotheses (1)'!$F$3:$F$22,$B$83,T22:T41)+sum(T54:T60)</f>
        <v>13867</v>
      </c>
      <c r="U83" s="49">
        <f>sumif('Costs Hypotheses (1)'!$F$3:$F$22,$B$83,U22:U41)+sum(U54:U60)</f>
        <v>13867</v>
      </c>
      <c r="V83" s="49">
        <f>sumif('Costs Hypotheses (1)'!$F$3:$F$22,$B$83,V22:V41)+sum(V54:V60)</f>
        <v>13867</v>
      </c>
      <c r="W83" s="49">
        <f>sumif('Costs Hypotheses (1)'!$F$3:$F$22,$B$83,W22:W41)+sum(W54:W60)</f>
        <v>13867</v>
      </c>
      <c r="X83" s="49">
        <f>sumif('Costs Hypotheses (1)'!$F$3:$F$22,$B$83,X22:X41)+sum(X54:X60)</f>
        <v>13867</v>
      </c>
      <c r="Y83" s="49">
        <f>sumif('Costs Hypotheses (1)'!$F$3:$F$22,$B$83,Y22:Y41)+sum(Y54:Y60)</f>
        <v>13867</v>
      </c>
      <c r="Z83" s="89">
        <f>sumif('Costs Hypotheses (1)'!$F$3:$F$22,$B$83,Z22:Z41)+sum(Z54:Z60)</f>
        <v>13867</v>
      </c>
    </row>
    <row r="84" ht="15.75" customHeight="1">
      <c r="A84" s="92"/>
      <c r="B84" s="92" t="s">
        <v>80</v>
      </c>
      <c r="C84" s="93">
        <f t="shared" ref="C84:Z84" si="20">C83/C66</f>
        <v>2.583511877</v>
      </c>
      <c r="D84" s="94">
        <f t="shared" si="20"/>
        <v>1.601705313</v>
      </c>
      <c r="E84" s="94">
        <f t="shared" si="20"/>
        <v>1.115260885</v>
      </c>
      <c r="F84" s="94">
        <f t="shared" si="20"/>
        <v>0.8326022985</v>
      </c>
      <c r="G84" s="94">
        <f t="shared" si="20"/>
        <v>0.6487634272</v>
      </c>
      <c r="H84" s="94">
        <f t="shared" si="20"/>
        <v>0.5202950412</v>
      </c>
      <c r="I84" s="94">
        <f t="shared" si="20"/>
        <v>0.4277092619</v>
      </c>
      <c r="J84" s="94">
        <f t="shared" si="20"/>
        <v>0.3578077601</v>
      </c>
      <c r="K84" s="94">
        <f t="shared" si="20"/>
        <v>0.3033666669</v>
      </c>
      <c r="L84" s="94">
        <f t="shared" si="20"/>
        <v>0.2606272748</v>
      </c>
      <c r="M84" s="94">
        <f t="shared" si="20"/>
        <v>0.2262653348</v>
      </c>
      <c r="N84" s="95">
        <f t="shared" si="20"/>
        <v>0.1981062858</v>
      </c>
      <c r="O84" s="94">
        <f t="shared" si="20"/>
        <v>0.1713277091</v>
      </c>
      <c r="P84" s="94">
        <f t="shared" si="20"/>
        <v>0.1495368087</v>
      </c>
      <c r="Q84" s="94">
        <f t="shared" si="20"/>
        <v>0.1315032386</v>
      </c>
      <c r="R84" s="94">
        <f t="shared" si="20"/>
        <v>0.116498079</v>
      </c>
      <c r="S84" s="94">
        <f t="shared" si="20"/>
        <v>0.1038414807</v>
      </c>
      <c r="T84" s="94">
        <f t="shared" si="20"/>
        <v>0.09304274599</v>
      </c>
      <c r="U84" s="94">
        <f t="shared" si="20"/>
        <v>0.08381994395</v>
      </c>
      <c r="V84" s="94">
        <f t="shared" si="20"/>
        <v>0.07586259997</v>
      </c>
      <c r="W84" s="94">
        <f t="shared" si="20"/>
        <v>0.06893671529</v>
      </c>
      <c r="X84" s="94">
        <f t="shared" si="20"/>
        <v>0.06291703775</v>
      </c>
      <c r="Y84" s="94">
        <f t="shared" si="20"/>
        <v>0.05764161223</v>
      </c>
      <c r="Z84" s="95">
        <f t="shared" si="20"/>
        <v>0.05298489994</v>
      </c>
    </row>
    <row r="85" ht="15.75" customHeight="1">
      <c r="A85" s="23"/>
      <c r="B85" s="23"/>
      <c r="C85" s="56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57"/>
      <c r="Z85" s="57"/>
    </row>
    <row r="86" ht="15.75" customHeight="1">
      <c r="A86" s="42" t="s">
        <v>81</v>
      </c>
      <c r="B86" s="43"/>
      <c r="C86" s="56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57"/>
      <c r="Z86" s="57"/>
    </row>
    <row r="87" ht="15.75" customHeight="1">
      <c r="A87" s="85"/>
      <c r="B87" s="85" t="s">
        <v>82</v>
      </c>
      <c r="C87" s="86">
        <f t="shared" ref="C87:Z87" si="21">C74-C77-C80-C83</f>
        <v>-24321.55</v>
      </c>
      <c r="D87" s="85">
        <f t="shared" si="21"/>
        <v>-21228.81135</v>
      </c>
      <c r="E87" s="85">
        <f t="shared" si="21"/>
        <v>-17679.16967</v>
      </c>
      <c r="F87" s="85">
        <f t="shared" si="21"/>
        <v>-23711.29016</v>
      </c>
      <c r="G87" s="85">
        <f t="shared" si="21"/>
        <v>-19274.96113</v>
      </c>
      <c r="H87" s="85">
        <f t="shared" si="21"/>
        <v>-14313.94554</v>
      </c>
      <c r="I87" s="85">
        <f t="shared" si="21"/>
        <v>-8890.736893</v>
      </c>
      <c r="J87" s="85">
        <f t="shared" si="21"/>
        <v>-2936.878989</v>
      </c>
      <c r="K87" s="85">
        <f t="shared" si="21"/>
        <v>3600.739779</v>
      </c>
      <c r="L87" s="85">
        <f t="shared" si="21"/>
        <v>646.8752112</v>
      </c>
      <c r="M87" s="85">
        <f t="shared" si="21"/>
        <v>8242.266614</v>
      </c>
      <c r="N87" s="85">
        <f t="shared" si="21"/>
        <v>16430.9122</v>
      </c>
      <c r="O87" s="86">
        <f t="shared" si="21"/>
        <v>26715.1473</v>
      </c>
      <c r="P87" s="85">
        <f t="shared" si="21"/>
        <v>37802.03961</v>
      </c>
      <c r="Q87" s="85">
        <f t="shared" si="21"/>
        <v>49755.88201</v>
      </c>
      <c r="R87" s="85">
        <f t="shared" si="21"/>
        <v>62523.08534</v>
      </c>
      <c r="S87" s="85">
        <f t="shared" si="21"/>
        <v>76160.6785</v>
      </c>
      <c r="T87" s="85">
        <f t="shared" si="21"/>
        <v>90729.68204</v>
      </c>
      <c r="U87" s="85">
        <f t="shared" si="21"/>
        <v>106144.6764</v>
      </c>
      <c r="V87" s="85">
        <f t="shared" si="21"/>
        <v>122456.5337</v>
      </c>
      <c r="W87" s="85">
        <f t="shared" si="21"/>
        <v>139719.1777</v>
      </c>
      <c r="X87" s="85">
        <f t="shared" si="21"/>
        <v>157810.2681</v>
      </c>
      <c r="Y87" s="85">
        <f t="shared" si="21"/>
        <v>176771.3659</v>
      </c>
      <c r="Z87" s="85">
        <f t="shared" si="21"/>
        <v>196646.1097</v>
      </c>
    </row>
    <row r="88" ht="15.75" customHeight="1">
      <c r="A88" s="92"/>
      <c r="B88" s="92" t="s">
        <v>83</v>
      </c>
      <c r="C88" s="93">
        <f t="shared" ref="C88:Z88" si="22">C87/C66</f>
        <v>-4.531262226</v>
      </c>
      <c r="D88" s="94">
        <f t="shared" si="22"/>
        <v>-2.452029994</v>
      </c>
      <c r="E88" s="94">
        <f t="shared" si="22"/>
        <v>-1.421856667</v>
      </c>
      <c r="F88" s="94">
        <f t="shared" si="22"/>
        <v>-1.423673086</v>
      </c>
      <c r="G88" s="94">
        <f t="shared" si="22"/>
        <v>-0.9017732632</v>
      </c>
      <c r="H88" s="94">
        <f t="shared" si="22"/>
        <v>-0.5370646056</v>
      </c>
      <c r="I88" s="94">
        <f t="shared" si="22"/>
        <v>-0.2742230125</v>
      </c>
      <c r="J88" s="94">
        <f t="shared" si="22"/>
        <v>-0.0757797716</v>
      </c>
      <c r="K88" s="94">
        <f t="shared" si="22"/>
        <v>0.07877294476</v>
      </c>
      <c r="L88" s="94">
        <f t="shared" si="22"/>
        <v>0.01215788011</v>
      </c>
      <c r="M88" s="94">
        <f t="shared" si="22"/>
        <v>0.1344875759</v>
      </c>
      <c r="N88" s="95">
        <f t="shared" si="22"/>
        <v>0.2347347652</v>
      </c>
      <c r="O88" s="94">
        <f t="shared" si="22"/>
        <v>0.3300674252</v>
      </c>
      <c r="P88" s="94">
        <f t="shared" si="22"/>
        <v>0.4076437849</v>
      </c>
      <c r="Q88" s="94">
        <f t="shared" si="22"/>
        <v>0.4718439188</v>
      </c>
      <c r="R88" s="94">
        <f t="shared" si="22"/>
        <v>0.5252628063</v>
      </c>
      <c r="S88" s="94">
        <f t="shared" si="22"/>
        <v>0.5703207344</v>
      </c>
      <c r="T88" s="94">
        <f t="shared" si="22"/>
        <v>0.6087646037</v>
      </c>
      <c r="U88" s="94">
        <f t="shared" si="22"/>
        <v>0.6415980982</v>
      </c>
      <c r="V88" s="94">
        <f t="shared" si="22"/>
        <v>0.6699265182</v>
      </c>
      <c r="W88" s="94">
        <f t="shared" si="22"/>
        <v>0.6945829074</v>
      </c>
      <c r="X88" s="94">
        <f t="shared" si="22"/>
        <v>0.7160131678</v>
      </c>
      <c r="Y88" s="94">
        <f t="shared" si="22"/>
        <v>0.7347938652</v>
      </c>
      <c r="Z88" s="95">
        <f t="shared" si="22"/>
        <v>0.7513719222</v>
      </c>
    </row>
    <row r="89" ht="15.75" customHeight="1">
      <c r="A89" s="23"/>
      <c r="B89" s="43"/>
      <c r="C89" s="56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57"/>
      <c r="Z89" s="57"/>
    </row>
    <row r="90" ht="15.75" customHeight="1">
      <c r="A90" s="23"/>
      <c r="B90" s="23"/>
      <c r="C90" s="56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57"/>
      <c r="O90" s="56"/>
      <c r="Z90" s="57"/>
    </row>
    <row r="91" ht="15.75" customHeight="1">
      <c r="A91" s="23"/>
      <c r="B91" s="23"/>
      <c r="C91" s="56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57"/>
      <c r="O91" s="56"/>
      <c r="Z91" s="57"/>
    </row>
    <row r="92" ht="15.75" customHeight="1">
      <c r="A92" s="23"/>
      <c r="B92" s="23"/>
      <c r="C92" s="56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57"/>
      <c r="O92" s="56"/>
      <c r="Z92" s="57"/>
    </row>
    <row r="93" ht="15.75" customHeight="1">
      <c r="A93" s="23"/>
      <c r="B93" s="23"/>
      <c r="C93" s="56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57"/>
      <c r="O93" s="56"/>
      <c r="Z93" s="57"/>
    </row>
    <row r="94" ht="15.75" customHeight="1">
      <c r="A94" s="23"/>
      <c r="B94" s="23"/>
      <c r="C94" s="56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57"/>
      <c r="O94" s="56"/>
      <c r="Z94" s="57"/>
    </row>
    <row r="95" ht="15.75" customHeight="1">
      <c r="A95" s="23"/>
      <c r="B95" s="23"/>
      <c r="C95" s="56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57"/>
      <c r="O95" s="56"/>
      <c r="Z95" s="57"/>
    </row>
    <row r="96" ht="15.75" customHeight="1">
      <c r="A96" s="23"/>
      <c r="B96" s="23"/>
      <c r="C96" s="56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57"/>
      <c r="O96" s="56"/>
      <c r="Z96" s="57"/>
    </row>
    <row r="97" ht="15.75" customHeight="1">
      <c r="A97" s="23"/>
      <c r="B97" s="23"/>
      <c r="C97" s="56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57"/>
      <c r="O97" s="56"/>
      <c r="Z97" s="57"/>
    </row>
    <row r="98" ht="15.75" customHeight="1">
      <c r="A98" s="23"/>
      <c r="B98" s="23"/>
      <c r="C98" s="56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57"/>
      <c r="O98" s="56"/>
      <c r="Z98" s="57"/>
    </row>
    <row r="99" ht="15.75" customHeight="1">
      <c r="A99" s="23"/>
      <c r="B99" s="23"/>
      <c r="C99" s="56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57"/>
      <c r="O99" s="56"/>
      <c r="Z99" s="57"/>
    </row>
    <row r="100" ht="15.75" customHeight="1">
      <c r="A100" s="23"/>
      <c r="B100" s="23"/>
      <c r="C100" s="56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57"/>
      <c r="O100" s="56"/>
      <c r="Z100" s="57"/>
    </row>
    <row r="101" ht="15.75" customHeight="1">
      <c r="A101" s="23"/>
      <c r="B101" s="23"/>
      <c r="C101" s="56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57"/>
      <c r="O101" s="56"/>
      <c r="Z101" s="57"/>
    </row>
    <row r="102" ht="15.75" customHeight="1">
      <c r="A102" s="23"/>
      <c r="B102" s="23"/>
      <c r="C102" s="56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57"/>
      <c r="O102" s="56"/>
      <c r="Z102" s="57"/>
    </row>
    <row r="103" ht="15.75" customHeight="1">
      <c r="A103" s="23"/>
      <c r="B103" s="23"/>
      <c r="C103" s="56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57"/>
      <c r="O103" s="56"/>
      <c r="Z103" s="57"/>
    </row>
    <row r="104" ht="15.75" customHeight="1">
      <c r="A104" s="23"/>
      <c r="B104" s="23"/>
      <c r="C104" s="56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57"/>
      <c r="O104" s="56"/>
      <c r="Z104" s="57"/>
    </row>
    <row r="105" ht="15.75" customHeight="1">
      <c r="A105" s="23"/>
      <c r="B105" s="23"/>
      <c r="C105" s="56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57"/>
      <c r="O105" s="56"/>
      <c r="Z105" s="57"/>
    </row>
    <row r="106" ht="15.75" customHeight="1">
      <c r="A106" s="23"/>
      <c r="B106" s="23"/>
      <c r="C106" s="56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57"/>
      <c r="O106" s="56"/>
      <c r="Z106" s="57"/>
    </row>
    <row r="107" ht="15.75" customHeight="1">
      <c r="A107" s="23"/>
      <c r="B107" s="23"/>
      <c r="C107" s="56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57"/>
      <c r="O107" s="56"/>
      <c r="Z107" s="57"/>
    </row>
    <row r="108" ht="15.75" customHeight="1">
      <c r="A108" s="23"/>
      <c r="B108" s="23"/>
      <c r="C108" s="56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57"/>
      <c r="O108" s="56"/>
      <c r="Z108" s="57"/>
    </row>
    <row r="109" ht="15.75" customHeight="1">
      <c r="A109" s="23"/>
      <c r="B109" s="23"/>
      <c r="C109" s="56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57"/>
      <c r="O109" s="56"/>
      <c r="Z109" s="57"/>
    </row>
    <row r="110" ht="15.75" customHeight="1">
      <c r="A110" s="23"/>
      <c r="B110" s="23"/>
      <c r="C110" s="56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57"/>
      <c r="O110" s="56"/>
      <c r="Z110" s="57"/>
    </row>
    <row r="111" ht="15.75" customHeight="1">
      <c r="A111" s="23"/>
      <c r="B111" s="23"/>
      <c r="C111" s="56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57"/>
      <c r="O111" s="56"/>
      <c r="Z111" s="57"/>
    </row>
    <row r="112" ht="15.75" customHeight="1">
      <c r="A112" s="23"/>
      <c r="B112" s="23"/>
      <c r="C112" s="56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57"/>
      <c r="O112" s="56"/>
      <c r="Z112" s="57"/>
    </row>
    <row r="113" ht="15.75" customHeight="1">
      <c r="A113" s="23"/>
      <c r="B113" s="23"/>
      <c r="C113" s="56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57"/>
      <c r="O113" s="56"/>
      <c r="Z113" s="57"/>
    </row>
    <row r="114" ht="15.75" customHeight="1">
      <c r="A114" s="23"/>
      <c r="B114" s="23"/>
      <c r="C114" s="56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57"/>
      <c r="O114" s="56"/>
      <c r="Z114" s="57"/>
    </row>
    <row r="115" ht="15.75" customHeight="1">
      <c r="A115" s="23"/>
      <c r="B115" s="23"/>
      <c r="C115" s="56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57"/>
      <c r="O115" s="56"/>
      <c r="Z115" s="57"/>
    </row>
    <row r="116" ht="15.75" customHeight="1">
      <c r="A116" s="23"/>
      <c r="B116" s="23"/>
      <c r="C116" s="56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57"/>
      <c r="O116" s="56"/>
      <c r="Z116" s="57"/>
    </row>
    <row r="117" ht="15.75" customHeight="1">
      <c r="A117" s="23"/>
      <c r="B117" s="23"/>
      <c r="C117" s="56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57"/>
      <c r="O117" s="56"/>
      <c r="Z117" s="57"/>
    </row>
    <row r="118" ht="15.75" customHeight="1">
      <c r="A118" s="23"/>
      <c r="B118" s="23"/>
      <c r="C118" s="56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57"/>
      <c r="O118" s="56"/>
      <c r="Z118" s="57"/>
    </row>
    <row r="119" ht="15.75" customHeight="1">
      <c r="A119" s="23"/>
      <c r="B119" s="23"/>
      <c r="C119" s="56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57"/>
      <c r="O119" s="56"/>
      <c r="Z119" s="57"/>
    </row>
    <row r="120" ht="15.75" customHeight="1">
      <c r="A120" s="23"/>
      <c r="B120" s="23"/>
      <c r="C120" s="56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57"/>
      <c r="O120" s="56"/>
      <c r="Z120" s="57"/>
    </row>
    <row r="121" ht="15.75" customHeight="1">
      <c r="A121" s="23"/>
      <c r="B121" s="23"/>
      <c r="C121" s="56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57"/>
      <c r="O121" s="56"/>
      <c r="Z121" s="57"/>
    </row>
    <row r="122" ht="15.75" customHeight="1">
      <c r="A122" s="23"/>
      <c r="B122" s="23"/>
      <c r="C122" s="56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57"/>
      <c r="O122" s="56"/>
      <c r="Z122" s="57"/>
    </row>
    <row r="123" ht="15.75" customHeight="1">
      <c r="A123" s="23"/>
      <c r="B123" s="23"/>
      <c r="C123" s="56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57"/>
      <c r="O123" s="56"/>
      <c r="Z123" s="57"/>
    </row>
    <row r="124" ht="15.75" customHeight="1">
      <c r="A124" s="23"/>
      <c r="B124" s="23"/>
      <c r="C124" s="56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57"/>
      <c r="O124" s="56"/>
      <c r="Z124" s="57"/>
    </row>
    <row r="125" ht="15.75" customHeight="1">
      <c r="A125" s="23"/>
      <c r="B125" s="23"/>
      <c r="C125" s="56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57"/>
      <c r="O125" s="56"/>
      <c r="Z125" s="57"/>
    </row>
    <row r="126" ht="15.75" customHeight="1">
      <c r="A126" s="23"/>
      <c r="B126" s="23"/>
      <c r="C126" s="56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57"/>
      <c r="O126" s="56"/>
      <c r="Z126" s="57"/>
    </row>
    <row r="127" ht="15.75" customHeight="1">
      <c r="A127" s="23"/>
      <c r="B127" s="23"/>
      <c r="C127" s="56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57"/>
      <c r="O127" s="56"/>
      <c r="Z127" s="57"/>
    </row>
    <row r="128" ht="15.75" customHeight="1">
      <c r="A128" s="23"/>
      <c r="B128" s="23"/>
      <c r="C128" s="56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57"/>
      <c r="O128" s="56"/>
      <c r="Z128" s="57"/>
    </row>
    <row r="129" ht="15.75" customHeight="1">
      <c r="A129" s="23"/>
      <c r="B129" s="23"/>
      <c r="C129" s="56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57"/>
      <c r="O129" s="56"/>
      <c r="Z129" s="57"/>
    </row>
    <row r="130" ht="15.75" customHeight="1">
      <c r="A130" s="23"/>
      <c r="B130" s="23"/>
      <c r="C130" s="56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57"/>
      <c r="O130" s="56"/>
      <c r="Z130" s="57"/>
    </row>
    <row r="131" ht="15.75" customHeight="1">
      <c r="A131" s="23"/>
      <c r="B131" s="23"/>
      <c r="C131" s="56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57"/>
      <c r="O131" s="56"/>
      <c r="Z131" s="57"/>
    </row>
    <row r="132" ht="15.75" customHeight="1">
      <c r="A132" s="23"/>
      <c r="B132" s="23"/>
      <c r="C132" s="56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57"/>
      <c r="O132" s="56"/>
      <c r="Z132" s="57"/>
    </row>
    <row r="133" ht="15.75" customHeight="1">
      <c r="A133" s="23"/>
      <c r="B133" s="23"/>
      <c r="C133" s="56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57"/>
      <c r="O133" s="56"/>
      <c r="Z133" s="57"/>
    </row>
    <row r="134" ht="15.75" customHeight="1">
      <c r="A134" s="23"/>
      <c r="B134" s="23"/>
      <c r="C134" s="56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57"/>
      <c r="O134" s="56"/>
      <c r="Z134" s="57"/>
    </row>
    <row r="135" ht="15.75" customHeight="1">
      <c r="A135" s="23"/>
      <c r="B135" s="23"/>
      <c r="C135" s="56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57"/>
      <c r="O135" s="56"/>
      <c r="Z135" s="57"/>
    </row>
    <row r="136" ht="15.75" customHeight="1">
      <c r="A136" s="23"/>
      <c r="B136" s="23"/>
      <c r="C136" s="56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57"/>
      <c r="O136" s="56"/>
      <c r="Z136" s="57"/>
    </row>
    <row r="137" ht="15.75" customHeight="1">
      <c r="A137" s="23"/>
      <c r="B137" s="23"/>
      <c r="C137" s="56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57"/>
      <c r="O137" s="56"/>
      <c r="Z137" s="57"/>
    </row>
    <row r="138" ht="15.75" customHeight="1">
      <c r="A138" s="23"/>
      <c r="B138" s="23"/>
      <c r="C138" s="56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57"/>
      <c r="O138" s="56"/>
      <c r="Z138" s="57"/>
    </row>
    <row r="139" ht="15.75" customHeight="1">
      <c r="A139" s="23"/>
      <c r="B139" s="23"/>
      <c r="C139" s="56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57"/>
      <c r="O139" s="56"/>
      <c r="Z139" s="57"/>
    </row>
    <row r="140" ht="15.75" customHeight="1">
      <c r="A140" s="23"/>
      <c r="B140" s="23"/>
      <c r="C140" s="56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57"/>
      <c r="O140" s="56"/>
      <c r="Z140" s="57"/>
    </row>
    <row r="141" ht="15.75" customHeight="1">
      <c r="A141" s="23"/>
      <c r="B141" s="23"/>
      <c r="C141" s="56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57"/>
      <c r="O141" s="56"/>
      <c r="Z141" s="57"/>
    </row>
    <row r="142" ht="15.75" customHeight="1">
      <c r="A142" s="23"/>
      <c r="B142" s="23"/>
      <c r="C142" s="56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57"/>
      <c r="O142" s="56"/>
      <c r="Z142" s="57"/>
    </row>
    <row r="143" ht="15.75" customHeight="1">
      <c r="A143" s="23"/>
      <c r="B143" s="23"/>
      <c r="C143" s="56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57"/>
      <c r="O143" s="56"/>
      <c r="Z143" s="57"/>
    </row>
    <row r="144" ht="15.75" customHeight="1">
      <c r="A144" s="23"/>
      <c r="B144" s="23"/>
      <c r="C144" s="56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57"/>
      <c r="O144" s="56"/>
      <c r="Z144" s="57"/>
    </row>
    <row r="145" ht="15.75" customHeight="1">
      <c r="A145" s="23"/>
      <c r="B145" s="23"/>
      <c r="C145" s="56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57"/>
      <c r="O145" s="56"/>
      <c r="Z145" s="57"/>
    </row>
    <row r="146" ht="15.75" customHeight="1">
      <c r="A146" s="23"/>
      <c r="B146" s="23"/>
      <c r="C146" s="56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57"/>
      <c r="O146" s="56"/>
      <c r="Z146" s="57"/>
    </row>
    <row r="147" ht="15.75" customHeight="1">
      <c r="A147" s="23"/>
      <c r="B147" s="23"/>
      <c r="C147" s="56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57"/>
      <c r="O147" s="56"/>
      <c r="Z147" s="57"/>
    </row>
    <row r="148" ht="15.75" customHeight="1">
      <c r="A148" s="23"/>
      <c r="B148" s="23"/>
      <c r="C148" s="56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57"/>
      <c r="O148" s="56"/>
      <c r="Z148" s="57"/>
    </row>
    <row r="149" ht="15.75" customHeight="1">
      <c r="A149" s="23"/>
      <c r="B149" s="23"/>
      <c r="C149" s="56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57"/>
      <c r="O149" s="56"/>
      <c r="Z149" s="57"/>
    </row>
    <row r="150" ht="15.75" customHeight="1">
      <c r="A150" s="23"/>
      <c r="B150" s="23"/>
      <c r="C150" s="56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57"/>
      <c r="O150" s="56"/>
      <c r="Z150" s="57"/>
    </row>
    <row r="151" ht="15.75" customHeight="1">
      <c r="A151" s="23"/>
      <c r="B151" s="23"/>
      <c r="C151" s="56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57"/>
      <c r="O151" s="56"/>
      <c r="Z151" s="57"/>
    </row>
    <row r="152" ht="15.75" customHeight="1">
      <c r="A152" s="23"/>
      <c r="B152" s="23"/>
      <c r="C152" s="56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57"/>
      <c r="O152" s="56"/>
      <c r="Z152" s="57"/>
    </row>
    <row r="153" ht="15.75" customHeight="1">
      <c r="A153" s="23"/>
      <c r="B153" s="23"/>
      <c r="C153" s="56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57"/>
      <c r="O153" s="56"/>
      <c r="Z153" s="57"/>
    </row>
    <row r="154" ht="15.75" customHeight="1">
      <c r="A154" s="23"/>
      <c r="B154" s="23"/>
      <c r="C154" s="56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57"/>
      <c r="O154" s="56"/>
      <c r="Z154" s="57"/>
    </row>
    <row r="155" ht="15.75" customHeight="1">
      <c r="A155" s="23"/>
      <c r="B155" s="23"/>
      <c r="C155" s="56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57"/>
      <c r="O155" s="56"/>
      <c r="Z155" s="57"/>
    </row>
    <row r="156" ht="15.75" customHeight="1">
      <c r="A156" s="23"/>
      <c r="B156" s="23"/>
      <c r="C156" s="56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57"/>
      <c r="O156" s="56"/>
      <c r="Z156" s="57"/>
    </row>
    <row r="157" ht="15.75" customHeight="1">
      <c r="A157" s="23"/>
      <c r="B157" s="23"/>
      <c r="C157" s="56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57"/>
      <c r="O157" s="56"/>
      <c r="Z157" s="57"/>
    </row>
    <row r="158" ht="15.75" customHeight="1">
      <c r="A158" s="23"/>
      <c r="B158" s="23"/>
      <c r="C158" s="56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57"/>
      <c r="O158" s="56"/>
      <c r="Z158" s="57"/>
    </row>
    <row r="159" ht="15.75" customHeight="1">
      <c r="A159" s="23"/>
      <c r="B159" s="23"/>
      <c r="C159" s="56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57"/>
      <c r="O159" s="56"/>
      <c r="Z159" s="57"/>
    </row>
    <row r="160" ht="15.75" customHeight="1">
      <c r="A160" s="23"/>
      <c r="B160" s="23"/>
      <c r="C160" s="56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57"/>
      <c r="O160" s="56"/>
      <c r="Z160" s="57"/>
    </row>
    <row r="161" ht="15.75" customHeight="1">
      <c r="A161" s="23"/>
      <c r="B161" s="23"/>
      <c r="C161" s="56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57"/>
      <c r="O161" s="56"/>
      <c r="Z161" s="57"/>
    </row>
    <row r="162" ht="15.75" customHeight="1">
      <c r="A162" s="23"/>
      <c r="B162" s="23"/>
      <c r="C162" s="56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57"/>
      <c r="O162" s="56"/>
      <c r="Z162" s="57"/>
    </row>
    <row r="163" ht="15.75" customHeight="1">
      <c r="A163" s="23"/>
      <c r="B163" s="23"/>
      <c r="C163" s="56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57"/>
      <c r="O163" s="56"/>
      <c r="Z163" s="57"/>
    </row>
    <row r="164" ht="15.75" customHeight="1">
      <c r="A164" s="23"/>
      <c r="B164" s="23"/>
      <c r="C164" s="56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57"/>
      <c r="O164" s="56"/>
      <c r="Z164" s="57"/>
    </row>
    <row r="165" ht="15.75" customHeight="1">
      <c r="A165" s="23"/>
      <c r="B165" s="23"/>
      <c r="C165" s="56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57"/>
      <c r="O165" s="56"/>
      <c r="Z165" s="57"/>
    </row>
    <row r="166" ht="15.75" customHeight="1">
      <c r="A166" s="23"/>
      <c r="B166" s="23"/>
      <c r="C166" s="56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57"/>
      <c r="O166" s="56"/>
      <c r="Z166" s="57"/>
    </row>
    <row r="167" ht="15.75" customHeight="1">
      <c r="A167" s="23"/>
      <c r="B167" s="23"/>
      <c r="C167" s="56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57"/>
      <c r="O167" s="56"/>
      <c r="Z167" s="57"/>
    </row>
    <row r="168" ht="15.75" customHeight="1">
      <c r="A168" s="23"/>
      <c r="B168" s="23"/>
      <c r="C168" s="56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57"/>
      <c r="O168" s="56"/>
      <c r="Z168" s="57"/>
    </row>
    <row r="169" ht="15.75" customHeight="1">
      <c r="A169" s="23"/>
      <c r="B169" s="23"/>
      <c r="C169" s="56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57"/>
      <c r="O169" s="56"/>
      <c r="Z169" s="57"/>
    </row>
    <row r="170" ht="15.75" customHeight="1">
      <c r="A170" s="23"/>
      <c r="B170" s="23"/>
      <c r="C170" s="56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57"/>
      <c r="O170" s="56"/>
      <c r="Z170" s="57"/>
    </row>
    <row r="171" ht="15.75" customHeight="1">
      <c r="A171" s="23"/>
      <c r="B171" s="23"/>
      <c r="C171" s="56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57"/>
      <c r="O171" s="56"/>
      <c r="Z171" s="57"/>
    </row>
    <row r="172" ht="15.75" customHeight="1">
      <c r="A172" s="23"/>
      <c r="B172" s="23"/>
      <c r="C172" s="56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57"/>
      <c r="O172" s="56"/>
      <c r="Z172" s="57"/>
    </row>
    <row r="173" ht="15.75" customHeight="1">
      <c r="A173" s="23"/>
      <c r="B173" s="23"/>
      <c r="C173" s="56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57"/>
      <c r="O173" s="56"/>
      <c r="Z173" s="57"/>
    </row>
    <row r="174" ht="15.75" customHeight="1">
      <c r="A174" s="23"/>
      <c r="B174" s="23"/>
      <c r="C174" s="56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57"/>
      <c r="O174" s="56"/>
      <c r="Z174" s="57"/>
    </row>
    <row r="175" ht="15.75" customHeight="1">
      <c r="A175" s="23"/>
      <c r="B175" s="23"/>
      <c r="C175" s="56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57"/>
      <c r="O175" s="56"/>
      <c r="Z175" s="57"/>
    </row>
    <row r="176" ht="15.75" customHeight="1">
      <c r="A176" s="23"/>
      <c r="B176" s="23"/>
      <c r="C176" s="56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57"/>
      <c r="O176" s="56"/>
      <c r="Z176" s="57"/>
    </row>
    <row r="177" ht="15.75" customHeight="1">
      <c r="A177" s="23"/>
      <c r="B177" s="23"/>
      <c r="C177" s="56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57"/>
      <c r="O177" s="56"/>
      <c r="Z177" s="57"/>
    </row>
    <row r="178" ht="15.75" customHeight="1">
      <c r="A178" s="23"/>
      <c r="B178" s="23"/>
      <c r="C178" s="56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57"/>
      <c r="O178" s="56"/>
      <c r="Z178" s="57"/>
    </row>
    <row r="179" ht="15.75" customHeight="1">
      <c r="A179" s="23"/>
      <c r="B179" s="23"/>
      <c r="C179" s="56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57"/>
      <c r="O179" s="56"/>
      <c r="Z179" s="57"/>
    </row>
    <row r="180" ht="15.75" customHeight="1">
      <c r="A180" s="23"/>
      <c r="B180" s="23"/>
      <c r="C180" s="56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57"/>
      <c r="O180" s="56"/>
      <c r="Z180" s="57"/>
    </row>
    <row r="181" ht="15.75" customHeight="1">
      <c r="A181" s="23"/>
      <c r="B181" s="23"/>
      <c r="C181" s="56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57"/>
      <c r="O181" s="56"/>
      <c r="Z181" s="57"/>
    </row>
    <row r="182" ht="15.75" customHeight="1">
      <c r="A182" s="23"/>
      <c r="B182" s="23"/>
      <c r="C182" s="56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57"/>
      <c r="O182" s="56"/>
      <c r="Z182" s="57"/>
    </row>
    <row r="183" ht="15.75" customHeight="1">
      <c r="A183" s="23"/>
      <c r="B183" s="23"/>
      <c r="C183" s="56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57"/>
      <c r="O183" s="56"/>
      <c r="Z183" s="57"/>
    </row>
    <row r="184" ht="15.75" customHeight="1">
      <c r="A184" s="23"/>
      <c r="B184" s="23"/>
      <c r="C184" s="56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57"/>
      <c r="O184" s="56"/>
      <c r="Z184" s="57"/>
    </row>
    <row r="185" ht="15.75" customHeight="1">
      <c r="A185" s="23"/>
      <c r="B185" s="23"/>
      <c r="C185" s="56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57"/>
      <c r="O185" s="56"/>
      <c r="Z185" s="57"/>
    </row>
    <row r="186" ht="15.75" customHeight="1">
      <c r="A186" s="23"/>
      <c r="B186" s="23"/>
      <c r="C186" s="56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57"/>
      <c r="O186" s="56"/>
      <c r="Z186" s="57"/>
    </row>
    <row r="187" ht="15.75" customHeight="1">
      <c r="A187" s="23"/>
      <c r="B187" s="23"/>
      <c r="C187" s="56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57"/>
      <c r="O187" s="56"/>
      <c r="Z187" s="57"/>
    </row>
    <row r="188" ht="15.75" customHeight="1">
      <c r="A188" s="23"/>
      <c r="B188" s="23"/>
      <c r="C188" s="56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57"/>
      <c r="O188" s="56"/>
      <c r="Z188" s="57"/>
    </row>
    <row r="189" ht="15.75" customHeight="1">
      <c r="A189" s="23"/>
      <c r="B189" s="23"/>
      <c r="C189" s="56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57"/>
      <c r="O189" s="56"/>
      <c r="Z189" s="57"/>
    </row>
    <row r="190" ht="15.75" customHeight="1">
      <c r="A190" s="23"/>
      <c r="B190" s="23"/>
      <c r="C190" s="56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57"/>
      <c r="O190" s="56"/>
      <c r="Z190" s="57"/>
    </row>
    <row r="191" ht="15.75" customHeight="1">
      <c r="A191" s="23"/>
      <c r="B191" s="23"/>
      <c r="C191" s="56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57"/>
      <c r="O191" s="56"/>
      <c r="Z191" s="57"/>
    </row>
    <row r="192" ht="15.75" customHeight="1">
      <c r="A192" s="23"/>
      <c r="B192" s="23"/>
      <c r="C192" s="56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57"/>
      <c r="O192" s="56"/>
      <c r="Z192" s="57"/>
    </row>
    <row r="193" ht="15.75" customHeight="1">
      <c r="A193" s="23"/>
      <c r="B193" s="23"/>
      <c r="C193" s="56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57"/>
      <c r="O193" s="56"/>
      <c r="Z193" s="57"/>
    </row>
    <row r="194" ht="15.75" customHeight="1">
      <c r="A194" s="23"/>
      <c r="B194" s="23"/>
      <c r="C194" s="56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57"/>
      <c r="O194" s="56"/>
      <c r="Z194" s="57"/>
    </row>
    <row r="195" ht="15.75" customHeight="1">
      <c r="A195" s="23"/>
      <c r="B195" s="23"/>
      <c r="C195" s="56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57"/>
      <c r="O195" s="56"/>
      <c r="Z195" s="57"/>
    </row>
    <row r="196" ht="15.75" customHeight="1">
      <c r="A196" s="23"/>
      <c r="B196" s="23"/>
      <c r="C196" s="56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57"/>
      <c r="O196" s="56"/>
      <c r="Z196" s="57"/>
    </row>
    <row r="197" ht="15.75" customHeight="1">
      <c r="A197" s="23"/>
      <c r="B197" s="23"/>
      <c r="C197" s="56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57"/>
      <c r="O197" s="56"/>
      <c r="Z197" s="57"/>
    </row>
    <row r="198" ht="15.75" customHeight="1">
      <c r="A198" s="23"/>
      <c r="B198" s="23"/>
      <c r="C198" s="56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57"/>
      <c r="O198" s="56"/>
      <c r="Z198" s="57"/>
    </row>
    <row r="199" ht="15.75" customHeight="1">
      <c r="A199" s="23"/>
      <c r="B199" s="23"/>
      <c r="C199" s="56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57"/>
      <c r="O199" s="56"/>
      <c r="Z199" s="57"/>
    </row>
    <row r="200" ht="15.75" customHeight="1">
      <c r="A200" s="23"/>
      <c r="B200" s="23"/>
      <c r="C200" s="56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57"/>
      <c r="O200" s="56"/>
      <c r="Z200" s="57"/>
    </row>
    <row r="201" ht="15.75" customHeight="1">
      <c r="A201" s="23"/>
      <c r="B201" s="23"/>
      <c r="C201" s="56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57"/>
      <c r="O201" s="56"/>
      <c r="Z201" s="57"/>
    </row>
    <row r="202" ht="15.75" customHeight="1">
      <c r="A202" s="23"/>
      <c r="B202" s="23"/>
      <c r="C202" s="56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57"/>
      <c r="O202" s="56"/>
      <c r="Z202" s="57"/>
    </row>
    <row r="203" ht="15.75" customHeight="1">
      <c r="A203" s="23"/>
      <c r="B203" s="23"/>
      <c r="C203" s="56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57"/>
      <c r="O203" s="56"/>
      <c r="Z203" s="57"/>
    </row>
    <row r="204" ht="15.75" customHeight="1">
      <c r="A204" s="23"/>
      <c r="B204" s="23"/>
      <c r="C204" s="56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57"/>
      <c r="O204" s="56"/>
      <c r="Z204" s="57"/>
    </row>
    <row r="205" ht="15.75" customHeight="1">
      <c r="A205" s="23"/>
      <c r="B205" s="23"/>
      <c r="C205" s="56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57"/>
      <c r="O205" s="56"/>
      <c r="Z205" s="57"/>
    </row>
    <row r="206" ht="15.75" customHeight="1">
      <c r="A206" s="23"/>
      <c r="B206" s="23"/>
      <c r="C206" s="56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57"/>
      <c r="O206" s="56"/>
      <c r="Z206" s="57"/>
    </row>
    <row r="207" ht="15.75" customHeight="1">
      <c r="A207" s="23"/>
      <c r="B207" s="23"/>
      <c r="C207" s="56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57"/>
      <c r="O207" s="56"/>
      <c r="Z207" s="57"/>
    </row>
    <row r="208" ht="15.75" customHeight="1">
      <c r="A208" s="23"/>
      <c r="B208" s="23"/>
      <c r="C208" s="56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57"/>
      <c r="O208" s="56"/>
      <c r="Z208" s="57"/>
    </row>
    <row r="209" ht="15.75" customHeight="1">
      <c r="A209" s="23"/>
      <c r="B209" s="23"/>
      <c r="C209" s="56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57"/>
      <c r="O209" s="56"/>
      <c r="Z209" s="57"/>
    </row>
    <row r="210" ht="15.75" customHeight="1">
      <c r="A210" s="23"/>
      <c r="B210" s="23"/>
      <c r="C210" s="56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57"/>
      <c r="O210" s="56"/>
      <c r="Z210" s="57"/>
    </row>
    <row r="211" ht="15.75" customHeight="1">
      <c r="A211" s="23"/>
      <c r="B211" s="23"/>
      <c r="C211" s="56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57"/>
      <c r="O211" s="56"/>
      <c r="Z211" s="57"/>
    </row>
    <row r="212" ht="15.75" customHeight="1">
      <c r="A212" s="23"/>
      <c r="B212" s="23"/>
      <c r="C212" s="56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57"/>
      <c r="O212" s="56"/>
      <c r="Z212" s="57"/>
    </row>
    <row r="213" ht="15.75" customHeight="1">
      <c r="A213" s="23"/>
      <c r="B213" s="23"/>
      <c r="C213" s="56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57"/>
      <c r="O213" s="56"/>
      <c r="Z213" s="57"/>
    </row>
    <row r="214" ht="15.75" customHeight="1">
      <c r="A214" s="23"/>
      <c r="B214" s="23"/>
      <c r="C214" s="56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57"/>
      <c r="O214" s="56"/>
      <c r="Z214" s="57"/>
    </row>
    <row r="215" ht="15.75" customHeight="1">
      <c r="A215" s="23"/>
      <c r="B215" s="23"/>
      <c r="C215" s="56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57"/>
      <c r="O215" s="56"/>
      <c r="Z215" s="57"/>
    </row>
    <row r="216" ht="15.75" customHeight="1">
      <c r="A216" s="23"/>
      <c r="B216" s="23"/>
      <c r="C216" s="56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57"/>
      <c r="O216" s="56"/>
      <c r="Z216" s="57"/>
    </row>
    <row r="217" ht="15.75" customHeight="1">
      <c r="A217" s="23"/>
      <c r="B217" s="23"/>
      <c r="C217" s="56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57"/>
      <c r="O217" s="56"/>
      <c r="Z217" s="57"/>
    </row>
    <row r="218" ht="15.75" customHeight="1">
      <c r="A218" s="23"/>
      <c r="B218" s="23"/>
      <c r="C218" s="56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57"/>
      <c r="O218" s="56"/>
      <c r="Z218" s="57"/>
    </row>
    <row r="219" ht="15.75" customHeight="1">
      <c r="A219" s="23"/>
      <c r="B219" s="23"/>
      <c r="C219" s="56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57"/>
      <c r="O219" s="56"/>
      <c r="Z219" s="57"/>
    </row>
    <row r="220" ht="15.75" customHeight="1">
      <c r="A220" s="23"/>
      <c r="B220" s="23"/>
      <c r="C220" s="56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57"/>
      <c r="O220" s="56"/>
      <c r="Z220" s="57"/>
    </row>
    <row r="221" ht="15.75" customHeight="1">
      <c r="A221" s="23"/>
      <c r="B221" s="23"/>
      <c r="C221" s="56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57"/>
      <c r="O221" s="56"/>
      <c r="Z221" s="57"/>
    </row>
    <row r="222" ht="15.75" customHeight="1">
      <c r="A222" s="23"/>
      <c r="B222" s="23"/>
      <c r="C222" s="56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57"/>
      <c r="O222" s="56"/>
      <c r="Z222" s="57"/>
    </row>
    <row r="223" ht="15.75" customHeight="1">
      <c r="A223" s="23"/>
      <c r="B223" s="23"/>
      <c r="C223" s="56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57"/>
      <c r="O223" s="56"/>
      <c r="Z223" s="57"/>
    </row>
    <row r="224" ht="15.75" customHeight="1">
      <c r="A224" s="23"/>
      <c r="B224" s="23"/>
      <c r="C224" s="56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57"/>
      <c r="O224" s="56"/>
      <c r="Z224" s="57"/>
    </row>
    <row r="225" ht="15.75" customHeight="1">
      <c r="A225" s="23"/>
      <c r="B225" s="23"/>
      <c r="C225" s="56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57"/>
      <c r="O225" s="56"/>
      <c r="Z225" s="57"/>
    </row>
    <row r="226" ht="15.75" customHeight="1">
      <c r="A226" s="23"/>
      <c r="B226" s="23"/>
      <c r="C226" s="56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57"/>
      <c r="O226" s="56"/>
      <c r="Z226" s="57"/>
    </row>
    <row r="227" ht="15.75" customHeight="1">
      <c r="A227" s="23"/>
      <c r="B227" s="23"/>
      <c r="C227" s="56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57"/>
      <c r="O227" s="56"/>
      <c r="Z227" s="57"/>
    </row>
    <row r="228" ht="15.75" customHeight="1">
      <c r="A228" s="23"/>
      <c r="B228" s="23"/>
      <c r="C228" s="56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57"/>
      <c r="O228" s="56"/>
      <c r="Z228" s="57"/>
    </row>
    <row r="229" ht="15.75" customHeight="1">
      <c r="A229" s="23"/>
      <c r="B229" s="23"/>
      <c r="C229" s="56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57"/>
      <c r="O229" s="56"/>
      <c r="Z229" s="57"/>
    </row>
    <row r="230" ht="15.75" customHeight="1">
      <c r="A230" s="23"/>
      <c r="B230" s="23"/>
      <c r="C230" s="56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57"/>
      <c r="O230" s="56"/>
      <c r="Z230" s="57"/>
    </row>
    <row r="231" ht="15.75" customHeight="1">
      <c r="A231" s="23"/>
      <c r="B231" s="23"/>
      <c r="C231" s="56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57"/>
      <c r="O231" s="56"/>
      <c r="Z231" s="57"/>
    </row>
    <row r="232" ht="15.75" customHeight="1">
      <c r="A232" s="23"/>
      <c r="B232" s="23"/>
      <c r="C232" s="56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57"/>
      <c r="O232" s="56"/>
      <c r="Z232" s="57"/>
    </row>
    <row r="233" ht="15.75" customHeight="1">
      <c r="A233" s="23"/>
      <c r="B233" s="23"/>
      <c r="C233" s="56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57"/>
      <c r="O233" s="56"/>
      <c r="Z233" s="57"/>
    </row>
    <row r="234" ht="15.75" customHeight="1">
      <c r="A234" s="23"/>
      <c r="B234" s="23"/>
      <c r="C234" s="56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57"/>
      <c r="O234" s="56"/>
      <c r="Z234" s="57"/>
    </row>
    <row r="235" ht="15.75" customHeight="1">
      <c r="A235" s="23"/>
      <c r="B235" s="23"/>
      <c r="C235" s="56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57"/>
      <c r="O235" s="56"/>
      <c r="Z235" s="57"/>
    </row>
    <row r="236" ht="15.75" customHeight="1">
      <c r="A236" s="23"/>
      <c r="B236" s="23"/>
      <c r="C236" s="56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57"/>
      <c r="O236" s="56"/>
      <c r="Z236" s="57"/>
    </row>
    <row r="237" ht="15.75" customHeight="1">
      <c r="A237" s="23"/>
      <c r="B237" s="23"/>
      <c r="C237" s="56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57"/>
      <c r="O237" s="56"/>
      <c r="Z237" s="57"/>
    </row>
    <row r="238" ht="15.75" customHeight="1">
      <c r="A238" s="23"/>
      <c r="B238" s="23"/>
      <c r="C238" s="56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57"/>
      <c r="O238" s="56"/>
      <c r="Z238" s="57"/>
    </row>
    <row r="239" ht="15.75" customHeight="1">
      <c r="A239" s="23"/>
      <c r="B239" s="23"/>
      <c r="C239" s="56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57"/>
      <c r="O239" s="56"/>
      <c r="Z239" s="57"/>
    </row>
    <row r="240" ht="15.75" customHeight="1">
      <c r="A240" s="23"/>
      <c r="B240" s="23"/>
      <c r="C240" s="56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57"/>
      <c r="O240" s="56"/>
      <c r="Z240" s="57"/>
    </row>
    <row r="241" ht="15.75" customHeight="1">
      <c r="A241" s="23"/>
      <c r="B241" s="23"/>
      <c r="C241" s="56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57"/>
      <c r="O241" s="56"/>
      <c r="Z241" s="57"/>
    </row>
    <row r="242" ht="15.75" customHeight="1">
      <c r="A242" s="23"/>
      <c r="B242" s="23"/>
      <c r="C242" s="56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57"/>
      <c r="O242" s="56"/>
      <c r="Z242" s="57"/>
    </row>
    <row r="243" ht="15.75" customHeight="1">
      <c r="A243" s="23"/>
      <c r="B243" s="23"/>
      <c r="C243" s="56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57"/>
      <c r="O243" s="56"/>
      <c r="Z243" s="57"/>
    </row>
    <row r="244" ht="15.75" customHeight="1">
      <c r="A244" s="23"/>
      <c r="B244" s="23"/>
      <c r="C244" s="56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57"/>
      <c r="O244" s="56"/>
      <c r="Z244" s="57"/>
    </row>
    <row r="245" ht="15.75" customHeight="1">
      <c r="A245" s="23"/>
      <c r="B245" s="23"/>
      <c r="C245" s="56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57"/>
      <c r="O245" s="56"/>
      <c r="Z245" s="57"/>
    </row>
    <row r="246" ht="15.75" customHeight="1">
      <c r="A246" s="23"/>
      <c r="B246" s="23"/>
      <c r="C246" s="56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57"/>
      <c r="O246" s="56"/>
      <c r="Z246" s="57"/>
    </row>
    <row r="247" ht="15.75" customHeight="1">
      <c r="A247" s="23"/>
      <c r="B247" s="23"/>
      <c r="C247" s="56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57"/>
      <c r="O247" s="56"/>
      <c r="Z247" s="57"/>
    </row>
    <row r="248" ht="15.75" customHeight="1">
      <c r="A248" s="23"/>
      <c r="B248" s="23"/>
      <c r="C248" s="56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57"/>
      <c r="O248" s="56"/>
      <c r="Z248" s="57"/>
    </row>
    <row r="249" ht="15.75" customHeight="1">
      <c r="A249" s="23"/>
      <c r="B249" s="23"/>
      <c r="C249" s="56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57"/>
      <c r="O249" s="56"/>
      <c r="Z249" s="57"/>
    </row>
    <row r="250" ht="15.75" customHeight="1">
      <c r="A250" s="23"/>
      <c r="B250" s="23"/>
      <c r="C250" s="56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57"/>
      <c r="O250" s="56"/>
      <c r="Z250" s="57"/>
    </row>
    <row r="251" ht="15.75" customHeight="1">
      <c r="A251" s="23"/>
      <c r="B251" s="23"/>
      <c r="C251" s="56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57"/>
      <c r="O251" s="56"/>
      <c r="Z251" s="57"/>
    </row>
    <row r="252" ht="15.75" customHeight="1">
      <c r="A252" s="23"/>
      <c r="B252" s="23"/>
      <c r="C252" s="56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57"/>
      <c r="O252" s="56"/>
      <c r="Z252" s="57"/>
    </row>
    <row r="253" ht="15.75" customHeight="1">
      <c r="A253" s="23"/>
      <c r="B253" s="23"/>
      <c r="C253" s="56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57"/>
      <c r="O253" s="56"/>
      <c r="Z253" s="57"/>
    </row>
    <row r="254" ht="15.75" customHeight="1">
      <c r="A254" s="23"/>
      <c r="B254" s="23"/>
      <c r="C254" s="56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57"/>
      <c r="O254" s="56"/>
      <c r="Z254" s="57"/>
    </row>
    <row r="255" ht="15.75" customHeight="1">
      <c r="A255" s="23"/>
      <c r="B255" s="23"/>
      <c r="C255" s="56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57"/>
      <c r="O255" s="56"/>
      <c r="Z255" s="57"/>
    </row>
    <row r="256" ht="15.75" customHeight="1">
      <c r="A256" s="23"/>
      <c r="B256" s="23"/>
      <c r="C256" s="56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57"/>
      <c r="O256" s="56"/>
      <c r="Z256" s="57"/>
    </row>
    <row r="257" ht="15.75" customHeight="1">
      <c r="A257" s="23"/>
      <c r="B257" s="23"/>
      <c r="C257" s="56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57"/>
      <c r="O257" s="56"/>
      <c r="Z257" s="57"/>
    </row>
    <row r="258" ht="15.75" customHeight="1">
      <c r="A258" s="23"/>
      <c r="B258" s="23"/>
      <c r="C258" s="56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57"/>
      <c r="O258" s="56"/>
      <c r="Z258" s="57"/>
    </row>
    <row r="259" ht="15.75" customHeight="1">
      <c r="A259" s="23"/>
      <c r="B259" s="23"/>
      <c r="C259" s="56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57"/>
      <c r="O259" s="56"/>
      <c r="Z259" s="57"/>
    </row>
    <row r="260" ht="15.75" customHeight="1">
      <c r="A260" s="23"/>
      <c r="B260" s="23"/>
      <c r="C260" s="56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57"/>
      <c r="O260" s="56"/>
      <c r="Z260" s="57"/>
    </row>
    <row r="261" ht="15.75" customHeight="1">
      <c r="A261" s="23"/>
      <c r="B261" s="23"/>
      <c r="C261" s="56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57"/>
      <c r="O261" s="56"/>
      <c r="Z261" s="57"/>
    </row>
    <row r="262" ht="15.75" customHeight="1">
      <c r="A262" s="23"/>
      <c r="B262" s="23"/>
      <c r="C262" s="56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57"/>
      <c r="O262" s="56"/>
      <c r="Z262" s="57"/>
    </row>
    <row r="263" ht="15.75" customHeight="1">
      <c r="A263" s="23"/>
      <c r="B263" s="23"/>
      <c r="C263" s="56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57"/>
      <c r="O263" s="56"/>
      <c r="Z263" s="57"/>
    </row>
    <row r="264" ht="15.75" customHeight="1">
      <c r="A264" s="23"/>
      <c r="B264" s="23"/>
      <c r="C264" s="56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57"/>
      <c r="O264" s="56"/>
      <c r="Z264" s="57"/>
    </row>
    <row r="265" ht="15.75" customHeight="1">
      <c r="A265" s="23"/>
      <c r="B265" s="23"/>
      <c r="C265" s="56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57"/>
      <c r="O265" s="56"/>
      <c r="Z265" s="57"/>
    </row>
    <row r="266" ht="15.75" customHeight="1">
      <c r="A266" s="23"/>
      <c r="B266" s="23"/>
      <c r="C266" s="56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57"/>
      <c r="O266" s="56"/>
      <c r="Z266" s="57"/>
    </row>
    <row r="267" ht="15.75" customHeight="1">
      <c r="A267" s="23"/>
      <c r="B267" s="23"/>
      <c r="C267" s="56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57"/>
      <c r="O267" s="56"/>
      <c r="Z267" s="57"/>
    </row>
    <row r="268" ht="15.75" customHeight="1">
      <c r="A268" s="23"/>
      <c r="B268" s="23"/>
      <c r="C268" s="56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57"/>
      <c r="O268" s="56"/>
      <c r="Z268" s="57"/>
    </row>
    <row r="269" ht="15.75" customHeight="1">
      <c r="A269" s="23"/>
      <c r="B269" s="23"/>
      <c r="C269" s="56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57"/>
      <c r="O269" s="56"/>
      <c r="Z269" s="57"/>
    </row>
    <row r="270" ht="15.75" customHeight="1">
      <c r="A270" s="23"/>
      <c r="B270" s="23"/>
      <c r="C270" s="56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57"/>
      <c r="O270" s="56"/>
      <c r="Z270" s="57"/>
    </row>
    <row r="271" ht="15.75" customHeight="1">
      <c r="A271" s="23"/>
      <c r="B271" s="23"/>
      <c r="C271" s="56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57"/>
      <c r="O271" s="56"/>
      <c r="Z271" s="57"/>
    </row>
    <row r="272" ht="15.75" customHeight="1">
      <c r="A272" s="23"/>
      <c r="B272" s="23"/>
      <c r="C272" s="56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57"/>
      <c r="O272" s="56"/>
      <c r="Z272" s="57"/>
    </row>
    <row r="273" ht="15.75" customHeight="1">
      <c r="A273" s="23"/>
      <c r="B273" s="23"/>
      <c r="C273" s="56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57"/>
      <c r="O273" s="56"/>
      <c r="Z273" s="57"/>
    </row>
    <row r="274" ht="15.75" customHeight="1">
      <c r="A274" s="23"/>
      <c r="B274" s="23"/>
      <c r="C274" s="56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57"/>
      <c r="O274" s="56"/>
      <c r="Z274" s="57"/>
    </row>
    <row r="275" ht="15.75" customHeight="1">
      <c r="A275" s="23"/>
      <c r="B275" s="23"/>
      <c r="C275" s="56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57"/>
      <c r="O275" s="56"/>
      <c r="Z275" s="57"/>
    </row>
    <row r="276" ht="15.75" customHeight="1">
      <c r="A276" s="23"/>
      <c r="B276" s="23"/>
      <c r="C276" s="56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57"/>
      <c r="O276" s="56"/>
      <c r="Z276" s="57"/>
    </row>
    <row r="277" ht="15.75" customHeight="1">
      <c r="A277" s="23"/>
      <c r="B277" s="23"/>
      <c r="C277" s="56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57"/>
      <c r="O277" s="56"/>
      <c r="Z277" s="57"/>
    </row>
    <row r="278" ht="15.75" customHeight="1">
      <c r="A278" s="23"/>
      <c r="B278" s="23"/>
      <c r="C278" s="56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57"/>
      <c r="O278" s="56"/>
      <c r="Z278" s="57"/>
    </row>
    <row r="279" ht="15.75" customHeight="1">
      <c r="A279" s="23"/>
      <c r="B279" s="23"/>
      <c r="C279" s="56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57"/>
      <c r="O279" s="56"/>
      <c r="Z279" s="57"/>
    </row>
    <row r="280" ht="15.75" customHeight="1">
      <c r="A280" s="23"/>
      <c r="B280" s="23"/>
      <c r="C280" s="56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57"/>
      <c r="O280" s="56"/>
      <c r="Z280" s="57"/>
    </row>
    <row r="281" ht="15.75" customHeight="1">
      <c r="A281" s="23"/>
      <c r="B281" s="23"/>
      <c r="C281" s="56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57"/>
      <c r="O281" s="56"/>
      <c r="Z281" s="57"/>
    </row>
    <row r="282" ht="15.75" customHeight="1">
      <c r="A282" s="23"/>
      <c r="B282" s="23"/>
      <c r="C282" s="56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57"/>
      <c r="O282" s="56"/>
      <c r="Z282" s="57"/>
    </row>
    <row r="283" ht="15.75" customHeight="1">
      <c r="A283" s="23"/>
      <c r="B283" s="23"/>
      <c r="C283" s="56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57"/>
      <c r="O283" s="56"/>
      <c r="Z283" s="57"/>
    </row>
    <row r="284" ht="15.75" customHeight="1">
      <c r="A284" s="23"/>
      <c r="B284" s="23"/>
      <c r="C284" s="56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57"/>
      <c r="O284" s="56"/>
      <c r="Z284" s="57"/>
    </row>
    <row r="285" ht="15.75" customHeight="1">
      <c r="A285" s="23"/>
      <c r="B285" s="23"/>
      <c r="C285" s="56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57"/>
      <c r="O285" s="56"/>
      <c r="Z285" s="57"/>
    </row>
    <row r="286" ht="15.75" customHeight="1">
      <c r="A286" s="23"/>
      <c r="B286" s="23"/>
      <c r="C286" s="56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57"/>
      <c r="O286" s="56"/>
      <c r="Z286" s="57"/>
    </row>
    <row r="287" ht="15.75" customHeight="1">
      <c r="A287" s="23"/>
      <c r="B287" s="23"/>
      <c r="C287" s="56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57"/>
      <c r="O287" s="56"/>
      <c r="Z287" s="57"/>
    </row>
    <row r="288" ht="15.75" customHeight="1">
      <c r="A288" s="23"/>
      <c r="B288" s="23"/>
      <c r="C288" s="56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57"/>
      <c r="O288" s="56"/>
      <c r="Z288" s="57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</row>
  </sheetData>
  <mergeCells count="5">
    <mergeCell ref="C1:N1"/>
    <mergeCell ref="O1:Z1"/>
    <mergeCell ref="A4:Z4"/>
    <mergeCell ref="A19:Z19"/>
    <mergeCell ref="A63:Z63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5" width="12.0"/>
    <col customWidth="1" min="26" max="27" width="14.0"/>
  </cols>
  <sheetData>
    <row r="1">
      <c r="A1" s="96" t="s">
        <v>156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115" t="s">
        <v>157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98" t="s">
        <v>87</v>
      </c>
      <c r="B4" s="98" t="s">
        <v>0</v>
      </c>
      <c r="N4" s="98" t="s">
        <v>1</v>
      </c>
      <c r="Z4" s="98" t="s">
        <v>158</v>
      </c>
      <c r="AA4" s="98" t="s">
        <v>159</v>
      </c>
    </row>
    <row r="5">
      <c r="A5" s="98" t="s">
        <v>52</v>
      </c>
      <c r="B5" s="117" t="s">
        <v>160</v>
      </c>
      <c r="C5" s="117" t="s">
        <v>161</v>
      </c>
      <c r="D5" s="117" t="s">
        <v>162</v>
      </c>
      <c r="E5" s="117" t="s">
        <v>163</v>
      </c>
      <c r="F5" s="117" t="s">
        <v>164</v>
      </c>
      <c r="G5" s="117" t="s">
        <v>165</v>
      </c>
      <c r="H5" s="117" t="s">
        <v>166</v>
      </c>
      <c r="I5" s="117" t="s">
        <v>167</v>
      </c>
      <c r="J5" s="117" t="s">
        <v>168</v>
      </c>
      <c r="K5" s="117" t="s">
        <v>169</v>
      </c>
      <c r="L5" s="117" t="s">
        <v>170</v>
      </c>
      <c r="M5" s="117" t="s">
        <v>171</v>
      </c>
      <c r="N5" s="117" t="s">
        <v>172</v>
      </c>
      <c r="O5" s="117" t="s">
        <v>173</v>
      </c>
      <c r="P5" s="117" t="s">
        <v>174</v>
      </c>
      <c r="Q5" s="117" t="s">
        <v>175</v>
      </c>
      <c r="R5" s="117" t="s">
        <v>176</v>
      </c>
      <c r="S5" s="117" t="s">
        <v>177</v>
      </c>
      <c r="T5" s="117" t="s">
        <v>178</v>
      </c>
      <c r="U5" s="117" t="s">
        <v>179</v>
      </c>
      <c r="V5" s="117" t="s">
        <v>180</v>
      </c>
      <c r="W5" s="117" t="s">
        <v>181</v>
      </c>
      <c r="X5" s="117" t="s">
        <v>182</v>
      </c>
      <c r="Y5" s="117" t="s">
        <v>183</v>
      </c>
      <c r="Z5" s="23"/>
      <c r="AA5" s="23"/>
    </row>
    <row r="6">
      <c r="A6" s="44" t="s">
        <v>184</v>
      </c>
      <c r="B6" s="44">
        <v>1.0</v>
      </c>
      <c r="C6" s="44">
        <v>2.0</v>
      </c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44">
        <v>9.0</v>
      </c>
      <c r="K6" s="44">
        <v>10.0</v>
      </c>
      <c r="L6" s="44">
        <v>11.0</v>
      </c>
      <c r="M6" s="44">
        <v>12.0</v>
      </c>
      <c r="N6" s="44">
        <v>13.0</v>
      </c>
      <c r="O6" s="44">
        <v>14.0</v>
      </c>
      <c r="P6" s="44">
        <v>15.0</v>
      </c>
      <c r="Q6" s="44">
        <v>16.0</v>
      </c>
      <c r="R6" s="44">
        <v>17.0</v>
      </c>
      <c r="S6" s="44">
        <v>18.0</v>
      </c>
      <c r="T6" s="44">
        <v>19.0</v>
      </c>
      <c r="U6" s="44">
        <v>20.0</v>
      </c>
      <c r="V6" s="44">
        <v>21.0</v>
      </c>
      <c r="W6" s="44">
        <v>22.0</v>
      </c>
      <c r="X6" s="44">
        <v>23.0</v>
      </c>
      <c r="Y6" s="44">
        <v>24.0</v>
      </c>
      <c r="Z6" s="23"/>
      <c r="AA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118" t="s">
        <v>54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</row>
    <row r="9">
      <c r="A9" s="44" t="s">
        <v>185</v>
      </c>
      <c r="B9" s="106">
        <v>2500.0</v>
      </c>
      <c r="C9" s="106">
        <v>2500.0</v>
      </c>
      <c r="D9" s="106">
        <v>2500.0</v>
      </c>
      <c r="E9" s="106">
        <v>2500.0</v>
      </c>
      <c r="F9" s="106">
        <v>2500.0</v>
      </c>
      <c r="G9" s="106">
        <v>2500.0</v>
      </c>
      <c r="H9" s="106">
        <v>2500.0</v>
      </c>
      <c r="I9" s="106">
        <v>2500.0</v>
      </c>
      <c r="J9" s="106">
        <v>2500.0</v>
      </c>
      <c r="K9" s="106">
        <v>2500.0</v>
      </c>
      <c r="L9" s="106">
        <v>2500.0</v>
      </c>
      <c r="M9" s="106">
        <v>2500.0</v>
      </c>
      <c r="N9" s="106">
        <v>2900.0</v>
      </c>
      <c r="O9" s="106">
        <v>2900.0</v>
      </c>
      <c r="P9" s="106">
        <v>2900.0</v>
      </c>
      <c r="Q9" s="106">
        <v>2900.0</v>
      </c>
      <c r="R9" s="106">
        <v>2900.0</v>
      </c>
      <c r="S9" s="106">
        <v>2900.0</v>
      </c>
      <c r="T9" s="106">
        <v>2900.0</v>
      </c>
      <c r="U9" s="106">
        <v>2900.0</v>
      </c>
      <c r="V9" s="106">
        <v>2900.0</v>
      </c>
      <c r="W9" s="106">
        <v>2900.0</v>
      </c>
      <c r="X9" s="106">
        <v>2900.0</v>
      </c>
      <c r="Y9" s="106">
        <v>2900.0</v>
      </c>
      <c r="Z9" s="23"/>
      <c r="AA9" s="23"/>
    </row>
    <row r="10">
      <c r="A10" s="44" t="s">
        <v>186</v>
      </c>
      <c r="B10" s="106">
        <v>2.0</v>
      </c>
      <c r="C10" s="106">
        <v>3.0</v>
      </c>
      <c r="D10" s="106">
        <v>5.0</v>
      </c>
      <c r="E10" s="106">
        <v>7.0</v>
      </c>
      <c r="F10" s="106">
        <v>9.0</v>
      </c>
      <c r="G10" s="106">
        <v>11.0</v>
      </c>
      <c r="H10" s="106">
        <v>13.0</v>
      </c>
      <c r="I10" s="106">
        <v>16.0</v>
      </c>
      <c r="J10" s="106">
        <v>18.0</v>
      </c>
      <c r="K10" s="106">
        <v>21.0</v>
      </c>
      <c r="L10" s="106">
        <v>25.0</v>
      </c>
      <c r="M10" s="106">
        <v>28.0</v>
      </c>
      <c r="N10" s="106">
        <v>27.0</v>
      </c>
      <c r="O10" s="106">
        <v>31.0</v>
      </c>
      <c r="P10" s="106">
        <v>35.0</v>
      </c>
      <c r="Q10" s="106">
        <v>39.0</v>
      </c>
      <c r="R10" s="106">
        <v>43.0</v>
      </c>
      <c r="S10" s="106">
        <v>48.0</v>
      </c>
      <c r="T10" s="106">
        <v>52.0</v>
      </c>
      <c r="U10" s="106">
        <v>58.0</v>
      </c>
      <c r="V10" s="106">
        <v>63.0</v>
      </c>
      <c r="W10" s="106">
        <v>69.0</v>
      </c>
      <c r="X10" s="106">
        <v>75.0</v>
      </c>
      <c r="Y10" s="106">
        <v>81.0</v>
      </c>
      <c r="Z10" s="23"/>
      <c r="AA10" s="23"/>
    </row>
    <row r="11">
      <c r="A11" s="44" t="s">
        <v>187</v>
      </c>
      <c r="B11" s="106">
        <v>1.0</v>
      </c>
      <c r="C11" s="106">
        <v>1.0</v>
      </c>
      <c r="D11" s="106">
        <v>2.0</v>
      </c>
      <c r="E11" s="106">
        <v>2.0</v>
      </c>
      <c r="F11" s="106">
        <v>2.0</v>
      </c>
      <c r="G11" s="106">
        <v>2.0</v>
      </c>
      <c r="H11" s="106">
        <v>2.0</v>
      </c>
      <c r="I11" s="106">
        <v>3.0</v>
      </c>
      <c r="J11" s="106">
        <v>2.0</v>
      </c>
      <c r="K11" s="106">
        <v>3.0</v>
      </c>
      <c r="L11" s="106">
        <v>4.0</v>
      </c>
      <c r="M11" s="106">
        <v>3.0</v>
      </c>
      <c r="N11" s="106">
        <v>0.0</v>
      </c>
      <c r="O11" s="106">
        <v>4.0</v>
      </c>
      <c r="P11" s="106">
        <v>4.0</v>
      </c>
      <c r="Q11" s="106">
        <v>4.0</v>
      </c>
      <c r="R11" s="106">
        <v>4.0</v>
      </c>
      <c r="S11" s="106">
        <v>5.0</v>
      </c>
      <c r="T11" s="106">
        <v>4.0</v>
      </c>
      <c r="U11" s="106">
        <v>6.0</v>
      </c>
      <c r="V11" s="106">
        <v>5.0</v>
      </c>
      <c r="W11" s="106">
        <v>6.0</v>
      </c>
      <c r="X11" s="106">
        <v>6.0</v>
      </c>
      <c r="Y11" s="106">
        <v>6.0</v>
      </c>
      <c r="Z11" s="23"/>
      <c r="AA11" s="23"/>
    </row>
    <row r="12">
      <c r="A12" s="44" t="s">
        <v>63</v>
      </c>
      <c r="B12" s="106">
        <v>5367.5</v>
      </c>
      <c r="C12" s="106">
        <v>8657.6475</v>
      </c>
      <c r="D12" s="106">
        <v>12433.8620575</v>
      </c>
      <c r="E12" s="106">
        <v>16655.0104713275</v>
      </c>
      <c r="F12" s="106">
        <v>21374.50943991352</v>
      </c>
      <c r="G12" s="106">
        <v>26652.18559159377</v>
      </c>
      <c r="H12" s="106">
        <v>32421.5564972274</v>
      </c>
      <c r="I12" s="106">
        <v>38755.44788403849</v>
      </c>
      <c r="J12" s="106">
        <v>45710.36146658233</v>
      </c>
      <c r="K12" s="106">
        <v>53206.2502247224</v>
      </c>
      <c r="L12" s="106">
        <v>61286.45384415043</v>
      </c>
      <c r="M12" s="106">
        <v>69997.7789387269</v>
      </c>
      <c r="N12" s="106">
        <v>79390.7764057213</v>
      </c>
      <c r="O12" s="106">
        <v>89520.04096946768</v>
      </c>
      <c r="P12" s="106">
        <v>100444.5346885086</v>
      </c>
      <c r="Q12" s="106">
        <v>112115.1106044777</v>
      </c>
      <c r="R12" s="106">
        <v>124584.0690006135</v>
      </c>
      <c r="S12" s="106">
        <v>137907.3708818636</v>
      </c>
      <c r="T12" s="106">
        <v>152006.6778450238</v>
      </c>
      <c r="U12" s="106">
        <v>166928.6437671326</v>
      </c>
      <c r="V12" s="106">
        <v>182722.7213835623</v>
      </c>
      <c r="W12" s="106">
        <v>199276.7122991012</v>
      </c>
      <c r="X12" s="106">
        <v>216628.7313410316</v>
      </c>
      <c r="Y12" s="106">
        <v>234818.7986013506</v>
      </c>
      <c r="Z12" s="119">
        <v>392518.5639157827</v>
      </c>
      <c r="AA12" s="119">
        <v>1796344.187787854</v>
      </c>
    </row>
    <row r="13">
      <c r="A13" s="44" t="s">
        <v>188</v>
      </c>
      <c r="B13" s="106">
        <v>7.5</v>
      </c>
      <c r="C13" s="106">
        <v>16.1025</v>
      </c>
      <c r="D13" s="106">
        <v>25.9729425</v>
      </c>
      <c r="E13" s="106">
        <v>37.3015861725</v>
      </c>
      <c r="F13" s="106">
        <v>49.9650314139825</v>
      </c>
      <c r="G13" s="106">
        <v>64.12352831974054</v>
      </c>
      <c r="H13" s="106">
        <v>106.6087423663751</v>
      </c>
      <c r="I13" s="106">
        <v>129.6862259889096</v>
      </c>
      <c r="J13" s="106">
        <v>155.021791536154</v>
      </c>
      <c r="K13" s="106">
        <v>182.8414458663293</v>
      </c>
      <c r="L13" s="106">
        <v>212.8250008988896</v>
      </c>
      <c r="M13" s="106">
        <v>245.1458153766017</v>
      </c>
      <c r="N13" s="106">
        <v>279.9911157549076</v>
      </c>
      <c r="O13" s="106">
        <v>317.5631056228852</v>
      </c>
      <c r="P13" s="106">
        <v>358.0801638778707</v>
      </c>
      <c r="Q13" s="106">
        <v>401.7781387540345</v>
      </c>
      <c r="R13" s="106">
        <v>448.4604424179109</v>
      </c>
      <c r="S13" s="106">
        <v>498.3362760024542</v>
      </c>
      <c r="T13" s="106">
        <v>551.6294835274543</v>
      </c>
      <c r="U13" s="106">
        <v>608.0267113800951</v>
      </c>
      <c r="V13" s="106">
        <v>667.7145750685303</v>
      </c>
      <c r="W13" s="106">
        <v>730.8908855342492</v>
      </c>
      <c r="X13" s="106">
        <v>797.1068491964047</v>
      </c>
      <c r="Y13" s="106">
        <v>866.5149253641264</v>
      </c>
      <c r="Z13" s="23"/>
      <c r="AA13" s="23"/>
    </row>
    <row r="14">
      <c r="A14" s="44" t="s">
        <v>66</v>
      </c>
      <c r="B14" s="106">
        <v>5360.0</v>
      </c>
      <c r="C14" s="106">
        <v>8641.544999999998</v>
      </c>
      <c r="D14" s="106">
        <v>12407.889115</v>
      </c>
      <c r="E14" s="106">
        <v>16617.708885155</v>
      </c>
      <c r="F14" s="106">
        <v>21324.54440849953</v>
      </c>
      <c r="G14" s="106">
        <v>26588.06206327403</v>
      </c>
      <c r="H14" s="106">
        <v>32314.94775486103</v>
      </c>
      <c r="I14" s="106">
        <v>38625.76165804958</v>
      </c>
      <c r="J14" s="106">
        <v>45555.33967504618</v>
      </c>
      <c r="K14" s="106">
        <v>53023.40877885607</v>
      </c>
      <c r="L14" s="106">
        <v>61073.62884325154</v>
      </c>
      <c r="M14" s="106">
        <v>69752.6331233503</v>
      </c>
      <c r="N14" s="106">
        <v>79110.7852899664</v>
      </c>
      <c r="O14" s="106">
        <v>89202.47786384479</v>
      </c>
      <c r="P14" s="106">
        <v>100086.4545246308</v>
      </c>
      <c r="Q14" s="106">
        <v>111713.3324657237</v>
      </c>
      <c r="R14" s="106">
        <v>124135.6085581956</v>
      </c>
      <c r="S14" s="106">
        <v>137409.0346058611</v>
      </c>
      <c r="T14" s="106">
        <v>151455.0483614963</v>
      </c>
      <c r="U14" s="106">
        <v>166320.6170557525</v>
      </c>
      <c r="V14" s="106">
        <v>182055.0068084938</v>
      </c>
      <c r="W14" s="106">
        <v>198545.8214135669</v>
      </c>
      <c r="X14" s="106">
        <v>215831.6244918352</v>
      </c>
      <c r="Y14" s="106">
        <v>233952.2836759865</v>
      </c>
      <c r="Z14" s="23"/>
      <c r="AA14" s="23"/>
    </row>
    <row r="15">
      <c r="A15" s="120" t="s">
        <v>189</v>
      </c>
      <c r="B15" s="106">
        <v>64410.0</v>
      </c>
      <c r="C15" s="106">
        <v>103891.77</v>
      </c>
      <c r="D15" s="106">
        <v>149206.34469</v>
      </c>
      <c r="E15" s="106">
        <v>199860.12565593</v>
      </c>
      <c r="F15" s="106">
        <v>256494.1132789622</v>
      </c>
      <c r="G15" s="106">
        <v>319826.2270991253</v>
      </c>
      <c r="H15" s="106">
        <v>389058.6779667288</v>
      </c>
      <c r="I15" s="106">
        <v>465065.3746084619</v>
      </c>
      <c r="J15" s="106">
        <v>548524.337598988</v>
      </c>
      <c r="K15" s="106">
        <v>638475.0026966688</v>
      </c>
      <c r="L15" s="106">
        <v>735437.4461298052</v>
      </c>
      <c r="M15" s="106">
        <v>839973.3472647228</v>
      </c>
      <c r="N15" s="106">
        <v>952689.3168686556</v>
      </c>
      <c r="O15" s="106">
        <v>1074240.491633612</v>
      </c>
      <c r="P15" s="106">
        <v>1205334.416262103</v>
      </c>
      <c r="Q15" s="106">
        <v>1345381.327253733</v>
      </c>
      <c r="R15" s="106">
        <v>1495008.828007363</v>
      </c>
      <c r="S15" s="106">
        <v>1654888.450582363</v>
      </c>
      <c r="T15" s="106">
        <v>1824080.134140285</v>
      </c>
      <c r="U15" s="106">
        <v>2003143.725205591</v>
      </c>
      <c r="V15" s="106">
        <v>2192672.656602747</v>
      </c>
      <c r="W15" s="106">
        <v>2391320.547589214</v>
      </c>
      <c r="X15" s="106">
        <v>2599544.776092379</v>
      </c>
      <c r="Y15" s="106">
        <v>2817825.583216208</v>
      </c>
      <c r="Z15" s="23"/>
      <c r="AA15" s="23"/>
    </row>
    <row r="16">
      <c r="A16" s="44" t="s">
        <v>190</v>
      </c>
      <c r="B16" s="105">
        <v>0.0</v>
      </c>
      <c r="C16" s="105">
        <v>0.6129757801583603</v>
      </c>
      <c r="D16" s="105">
        <v>0.4361709757182883</v>
      </c>
      <c r="E16" s="105">
        <v>0.3394881167498027</v>
      </c>
      <c r="F16" s="105">
        <v>0.2833681177631734</v>
      </c>
      <c r="G16" s="105">
        <v>0.2469144925415239</v>
      </c>
      <c r="H16" s="105">
        <v>0.2164689603337189</v>
      </c>
      <c r="I16" s="105">
        <v>0.1953604968765996</v>
      </c>
      <c r="J16" s="105">
        <v>0.1794564109632761</v>
      </c>
      <c r="K16" s="105">
        <v>0.1639866436764041</v>
      </c>
      <c r="L16" s="105">
        <v>0.1518656846761499</v>
      </c>
      <c r="M16" s="105">
        <v>0.1421411184391433</v>
      </c>
      <c r="N16" s="105">
        <v>0.1341899358723459</v>
      </c>
      <c r="O16" s="105">
        <v>0.1275874229013889</v>
      </c>
      <c r="P16" s="105">
        <v>0.1220340562932374</v>
      </c>
      <c r="Q16" s="105">
        <v>0.1161892576053147</v>
      </c>
      <c r="R16" s="105">
        <v>0.1112156811772154</v>
      </c>
      <c r="S16" s="105">
        <v>0.1069422598581559</v>
      </c>
      <c r="T16" s="105">
        <v>0.1022375154641892</v>
      </c>
      <c r="U16" s="105">
        <v>0.098166515666649</v>
      </c>
      <c r="V16" s="105">
        <v>0.0946157427509124</v>
      </c>
      <c r="W16" s="105">
        <v>0.09059623669236837</v>
      </c>
      <c r="X16" s="105">
        <v>0.0870749965800629</v>
      </c>
      <c r="Y16" s="105">
        <v>0.0839688583675589</v>
      </c>
      <c r="Z16" s="23"/>
      <c r="AA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118" t="s">
        <v>191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</row>
    <row r="19">
      <c r="A19" s="44" t="s">
        <v>192</v>
      </c>
      <c r="B19" s="106">
        <v>161.025</v>
      </c>
      <c r="C19" s="106">
        <v>259.729425</v>
      </c>
      <c r="D19" s="106">
        <v>373.0158617249999</v>
      </c>
      <c r="E19" s="106">
        <v>499.650314139825</v>
      </c>
      <c r="F19" s="106">
        <v>641.2352831974055</v>
      </c>
      <c r="G19" s="106">
        <v>799.5655677478131</v>
      </c>
      <c r="H19" s="106">
        <v>972.646694916822</v>
      </c>
      <c r="I19" s="106">
        <v>1162.663436521155</v>
      </c>
      <c r="J19" s="106">
        <v>1371.31084399747</v>
      </c>
      <c r="K19" s="106">
        <v>1596.187506741672</v>
      </c>
      <c r="L19" s="106">
        <v>1838.593615324513</v>
      </c>
      <c r="M19" s="106">
        <v>2099.933368161807</v>
      </c>
      <c r="N19" s="106">
        <v>2381.723292171639</v>
      </c>
      <c r="O19" s="106">
        <v>2685.60122908403</v>
      </c>
      <c r="P19" s="106">
        <v>3013.336040655258</v>
      </c>
      <c r="Q19" s="106">
        <v>3363.453318134331</v>
      </c>
      <c r="R19" s="106">
        <v>3737.522070018406</v>
      </c>
      <c r="S19" s="106">
        <v>4137.221126455907</v>
      </c>
      <c r="T19" s="106">
        <v>4560.200335350713</v>
      </c>
      <c r="U19" s="106">
        <v>5007.859313013977</v>
      </c>
      <c r="V19" s="106">
        <v>5481.681641506868</v>
      </c>
      <c r="W19" s="106">
        <v>5978.301368973035</v>
      </c>
      <c r="X19" s="106">
        <v>6498.861940230947</v>
      </c>
      <c r="Y19" s="106">
        <v>7044.563958040519</v>
      </c>
      <c r="Z19" s="23"/>
      <c r="AA19" s="23"/>
    </row>
    <row r="20">
      <c r="A20" s="44" t="s">
        <v>41</v>
      </c>
      <c r="B20" s="106">
        <v>1500.0</v>
      </c>
      <c r="C20" s="106">
        <v>1500.0</v>
      </c>
      <c r="D20" s="106">
        <v>1500.0</v>
      </c>
      <c r="E20" s="106">
        <v>1500.0</v>
      </c>
      <c r="F20" s="106">
        <v>1500.0</v>
      </c>
      <c r="G20" s="106">
        <v>1500.0</v>
      </c>
      <c r="H20" s="106">
        <v>1500.0</v>
      </c>
      <c r="I20" s="106">
        <v>1500.0</v>
      </c>
      <c r="J20" s="106">
        <v>1500.0</v>
      </c>
      <c r="K20" s="106">
        <v>1500.0</v>
      </c>
      <c r="L20" s="106">
        <v>1500.0</v>
      </c>
      <c r="M20" s="106">
        <v>1500.0</v>
      </c>
      <c r="N20" s="106">
        <v>1500.0</v>
      </c>
      <c r="O20" s="106">
        <v>1500.0</v>
      </c>
      <c r="P20" s="106">
        <v>1500.0</v>
      </c>
      <c r="Q20" s="106">
        <v>1500.0</v>
      </c>
      <c r="R20" s="106">
        <v>1500.0</v>
      </c>
      <c r="S20" s="106">
        <v>1500.0</v>
      </c>
      <c r="T20" s="106">
        <v>1500.0</v>
      </c>
      <c r="U20" s="106">
        <v>1500.0</v>
      </c>
      <c r="V20" s="106">
        <v>1500.0</v>
      </c>
      <c r="W20" s="106">
        <v>1500.0</v>
      </c>
      <c r="X20" s="106">
        <v>1500.0</v>
      </c>
      <c r="Y20" s="106">
        <v>1500.0</v>
      </c>
      <c r="Z20" s="23"/>
      <c r="AA20" s="23"/>
    </row>
    <row r="21" ht="15.75" customHeight="1">
      <c r="A21" s="120" t="s">
        <v>193</v>
      </c>
      <c r="B21" s="106">
        <v>1661.025</v>
      </c>
      <c r="C21" s="106">
        <v>1759.729425</v>
      </c>
      <c r="D21" s="106">
        <v>1873.015861725</v>
      </c>
      <c r="E21" s="106">
        <v>1999.650314139825</v>
      </c>
      <c r="F21" s="106">
        <v>2141.235283197405</v>
      </c>
      <c r="G21" s="106">
        <v>2299.565567747813</v>
      </c>
      <c r="H21" s="106">
        <v>2472.646694916822</v>
      </c>
      <c r="I21" s="106">
        <v>2662.663436521155</v>
      </c>
      <c r="J21" s="106">
        <v>2871.31084399747</v>
      </c>
      <c r="K21" s="106">
        <v>3096.187506741672</v>
      </c>
      <c r="L21" s="106">
        <v>3338.593615324513</v>
      </c>
      <c r="M21" s="106">
        <v>3599.933368161807</v>
      </c>
      <c r="N21" s="106">
        <v>3881.723292171639</v>
      </c>
      <c r="O21" s="106">
        <v>4185.60122908403</v>
      </c>
      <c r="P21" s="106">
        <v>4513.336040655258</v>
      </c>
      <c r="Q21" s="106">
        <v>4863.453318134331</v>
      </c>
      <c r="R21" s="106">
        <v>5237.522070018405</v>
      </c>
      <c r="S21" s="106">
        <v>5637.221126455907</v>
      </c>
      <c r="T21" s="106">
        <v>6060.200335350713</v>
      </c>
      <c r="U21" s="106">
        <v>6507.859313013977</v>
      </c>
      <c r="V21" s="106">
        <v>6981.681641506868</v>
      </c>
      <c r="W21" s="106">
        <v>7478.301368973035</v>
      </c>
      <c r="X21" s="106">
        <v>7998.861940230947</v>
      </c>
      <c r="Y21" s="106">
        <v>8544.563958040519</v>
      </c>
      <c r="Z21" s="119">
        <v>29775.55691747348</v>
      </c>
      <c r="AA21" s="119">
        <v>71890.32563363563</v>
      </c>
    </row>
    <row r="22" ht="15.75" customHeight="1">
      <c r="A22" s="44" t="s">
        <v>194</v>
      </c>
      <c r="B22" s="105">
        <v>0.3094597112249651</v>
      </c>
      <c r="C22" s="105">
        <v>0.2032572272086615</v>
      </c>
      <c r="D22" s="105">
        <v>0.1506383015239592</v>
      </c>
      <c r="E22" s="105">
        <v>0.1200629875065123</v>
      </c>
      <c r="F22" s="105">
        <v>0.1001770491723654</v>
      </c>
      <c r="G22" s="105">
        <v>0.08628056261446367</v>
      </c>
      <c r="H22" s="105">
        <v>0.0762655147394998</v>
      </c>
      <c r="I22" s="105">
        <v>0.06870423596930686</v>
      </c>
      <c r="J22" s="105">
        <v>0.06281531696257994</v>
      </c>
      <c r="K22" s="105">
        <v>0.05819217655190107</v>
      </c>
      <c r="L22" s="105">
        <v>0.05447522912346102</v>
      </c>
      <c r="M22" s="105">
        <v>0.05142925136686174</v>
      </c>
      <c r="N22" s="105">
        <v>0.04889388248748632</v>
      </c>
      <c r="O22" s="105">
        <v>0.04675602450306742</v>
      </c>
      <c r="P22" s="105">
        <v>0.04493361490151447</v>
      </c>
      <c r="Q22" s="105">
        <v>0.04337910645507664</v>
      </c>
      <c r="R22" s="105">
        <v>0.04204006268243343</v>
      </c>
      <c r="S22" s="105">
        <v>0.04087686604717419</v>
      </c>
      <c r="T22" s="105">
        <v>0.03986798752045159</v>
      </c>
      <c r="U22" s="105">
        <v>0.03898587543844493</v>
      </c>
      <c r="V22" s="105">
        <v>0.0382091596964084</v>
      </c>
      <c r="W22" s="105">
        <v>0.03752722173451255</v>
      </c>
      <c r="X22" s="105">
        <v>0.0369242892700073</v>
      </c>
      <c r="Y22" s="105">
        <v>0.03638790424333332</v>
      </c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118" t="s">
        <v>195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ht="15.75" customHeight="1">
      <c r="A25" s="120" t="s">
        <v>78</v>
      </c>
      <c r="B25" s="106">
        <v>3706.475</v>
      </c>
      <c r="C25" s="106">
        <v>6897.918075</v>
      </c>
      <c r="D25" s="106">
        <v>10560.846195775</v>
      </c>
      <c r="E25" s="106">
        <v>14655.36015718768</v>
      </c>
      <c r="F25" s="106">
        <v>19233.27415671611</v>
      </c>
      <c r="G25" s="106">
        <v>24352.62002384596</v>
      </c>
      <c r="H25" s="106">
        <v>29948.90980231058</v>
      </c>
      <c r="I25" s="106">
        <v>36092.78444751733</v>
      </c>
      <c r="J25" s="106">
        <v>42839.05062258487</v>
      </c>
      <c r="K25" s="106">
        <v>50110.06271798073</v>
      </c>
      <c r="L25" s="106">
        <v>57947.86022882591</v>
      </c>
      <c r="M25" s="106">
        <v>66397.8455705651</v>
      </c>
      <c r="N25" s="106">
        <v>75509.05311354967</v>
      </c>
      <c r="O25" s="106">
        <v>85334.43974038365</v>
      </c>
      <c r="P25" s="106">
        <v>95931.19864785337</v>
      </c>
      <c r="Q25" s="106">
        <v>107251.6572863434</v>
      </c>
      <c r="R25" s="106">
        <v>119346.5469305951</v>
      </c>
      <c r="S25" s="106">
        <v>132270.1497554077</v>
      </c>
      <c r="T25" s="106">
        <v>145946.4775096731</v>
      </c>
      <c r="U25" s="106">
        <v>160420.7844541186</v>
      </c>
      <c r="V25" s="106">
        <v>175741.0397420554</v>
      </c>
      <c r="W25" s="106">
        <v>191798.4109301281</v>
      </c>
      <c r="X25" s="106">
        <v>208629.8694008006</v>
      </c>
      <c r="Y25" s="106">
        <v>226274.2346433101</v>
      </c>
      <c r="Z25" s="23"/>
      <c r="AA25" s="23"/>
    </row>
    <row r="26" ht="15.75" customHeight="1">
      <c r="A26" s="120" t="s">
        <v>196</v>
      </c>
      <c r="B26" s="105">
        <v>0.6905402887750349</v>
      </c>
      <c r="C26" s="105">
        <v>0.7967427727913385</v>
      </c>
      <c r="D26" s="105">
        <v>0.8493616984760408</v>
      </c>
      <c r="E26" s="105">
        <v>0.8799370124934878</v>
      </c>
      <c r="F26" s="105">
        <v>0.8998229508276345</v>
      </c>
      <c r="G26" s="105">
        <v>0.9137194373855363</v>
      </c>
      <c r="H26" s="105">
        <v>0.9237344852605003</v>
      </c>
      <c r="I26" s="105">
        <v>0.931295764030693</v>
      </c>
      <c r="J26" s="105">
        <v>0.9371846830374201</v>
      </c>
      <c r="K26" s="105">
        <v>0.941807823448099</v>
      </c>
      <c r="L26" s="105">
        <v>0.945524770876539</v>
      </c>
      <c r="M26" s="105">
        <v>0.9485707486331383</v>
      </c>
      <c r="N26" s="105">
        <v>0.9511061175125137</v>
      </c>
      <c r="O26" s="105">
        <v>0.9532439754969326</v>
      </c>
      <c r="P26" s="105">
        <v>0.9550663850984856</v>
      </c>
      <c r="Q26" s="105">
        <v>0.9566208935449234</v>
      </c>
      <c r="R26" s="105">
        <v>0.9579599373175666</v>
      </c>
      <c r="S26" s="105">
        <v>0.9591231339528259</v>
      </c>
      <c r="T26" s="105">
        <v>0.9601320124795485</v>
      </c>
      <c r="U26" s="105">
        <v>0.9610141245615551</v>
      </c>
      <c r="V26" s="105">
        <v>0.9617908403035915</v>
      </c>
      <c r="W26" s="105">
        <v>0.9624727782654874</v>
      </c>
      <c r="X26" s="105">
        <v>0.9630757107299928</v>
      </c>
      <c r="Y26" s="105">
        <v>0.9636120957566666</v>
      </c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118" t="s">
        <v>197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ht="15.75" customHeight="1">
      <c r="A29" s="44" t="s">
        <v>198</v>
      </c>
      <c r="B29" s="106">
        <v>10000.0</v>
      </c>
      <c r="C29" s="106">
        <v>10000.0</v>
      </c>
      <c r="D29" s="106">
        <v>10000.0</v>
      </c>
      <c r="E29" s="106">
        <v>10000.0</v>
      </c>
      <c r="F29" s="106">
        <v>10000.0</v>
      </c>
      <c r="G29" s="106">
        <v>10000.0</v>
      </c>
      <c r="H29" s="106">
        <v>10000.0</v>
      </c>
      <c r="I29" s="106">
        <v>10000.0</v>
      </c>
      <c r="J29" s="106">
        <v>10000.0</v>
      </c>
      <c r="K29" s="106">
        <v>10000.0</v>
      </c>
      <c r="L29" s="106">
        <v>10000.0</v>
      </c>
      <c r="M29" s="106">
        <v>10000.0</v>
      </c>
      <c r="N29" s="106">
        <v>10000.0</v>
      </c>
      <c r="O29" s="106">
        <v>10000.0</v>
      </c>
      <c r="P29" s="106">
        <v>10000.0</v>
      </c>
      <c r="Q29" s="106">
        <v>10000.0</v>
      </c>
      <c r="R29" s="106">
        <v>10000.0</v>
      </c>
      <c r="S29" s="106">
        <v>10000.0</v>
      </c>
      <c r="T29" s="106">
        <v>10000.0</v>
      </c>
      <c r="U29" s="106">
        <v>10000.0</v>
      </c>
      <c r="V29" s="106">
        <v>10000.0</v>
      </c>
      <c r="W29" s="106">
        <v>10000.0</v>
      </c>
      <c r="X29" s="106">
        <v>10000.0</v>
      </c>
      <c r="Y29" s="106">
        <v>10000.0</v>
      </c>
      <c r="Z29" s="23"/>
      <c r="AA29" s="23"/>
    </row>
    <row r="30" ht="15.75" customHeight="1">
      <c r="A30" s="44" t="s">
        <v>199</v>
      </c>
      <c r="B30" s="106">
        <v>10000.0</v>
      </c>
      <c r="C30" s="106">
        <v>10000.0</v>
      </c>
      <c r="D30" s="106">
        <v>10000.0</v>
      </c>
      <c r="E30" s="106">
        <v>10000.0</v>
      </c>
      <c r="F30" s="106">
        <v>10000.0</v>
      </c>
      <c r="G30" s="106">
        <v>10000.0</v>
      </c>
      <c r="H30" s="106">
        <v>10000.0</v>
      </c>
      <c r="I30" s="106">
        <v>10000.0</v>
      </c>
      <c r="J30" s="106">
        <v>10000.0</v>
      </c>
      <c r="K30" s="106">
        <v>10000.0</v>
      </c>
      <c r="L30" s="106">
        <v>10000.0</v>
      </c>
      <c r="M30" s="106">
        <v>10000.0</v>
      </c>
      <c r="N30" s="106">
        <v>10000.0</v>
      </c>
      <c r="O30" s="106">
        <v>10000.0</v>
      </c>
      <c r="P30" s="106">
        <v>10000.0</v>
      </c>
      <c r="Q30" s="106">
        <v>10000.0</v>
      </c>
      <c r="R30" s="106">
        <v>10000.0</v>
      </c>
      <c r="S30" s="106">
        <v>10000.0</v>
      </c>
      <c r="T30" s="106">
        <v>10000.0</v>
      </c>
      <c r="U30" s="106">
        <v>10000.0</v>
      </c>
      <c r="V30" s="106">
        <v>10000.0</v>
      </c>
      <c r="W30" s="106">
        <v>10000.0</v>
      </c>
      <c r="X30" s="106">
        <v>10000.0</v>
      </c>
      <c r="Y30" s="106">
        <v>10000.0</v>
      </c>
      <c r="Z30" s="23"/>
      <c r="AA30" s="23"/>
    </row>
    <row r="31" ht="15.75" customHeight="1">
      <c r="A31" s="44" t="s">
        <v>200</v>
      </c>
      <c r="B31" s="106">
        <v>7000.0</v>
      </c>
      <c r="C31" s="106">
        <v>7000.0</v>
      </c>
      <c r="D31" s="106">
        <v>7000.0</v>
      </c>
      <c r="E31" s="106">
        <v>7000.0</v>
      </c>
      <c r="F31" s="106">
        <v>7000.0</v>
      </c>
      <c r="G31" s="106">
        <v>7000.0</v>
      </c>
      <c r="H31" s="106">
        <v>7000.0</v>
      </c>
      <c r="I31" s="106">
        <v>7000.0</v>
      </c>
      <c r="J31" s="106">
        <v>7000.0</v>
      </c>
      <c r="K31" s="106">
        <v>7000.0</v>
      </c>
      <c r="L31" s="106">
        <v>7000.0</v>
      </c>
      <c r="M31" s="106">
        <v>7000.0</v>
      </c>
      <c r="N31" s="106">
        <v>7000.0</v>
      </c>
      <c r="O31" s="106">
        <v>7000.0</v>
      </c>
      <c r="P31" s="106">
        <v>7000.0</v>
      </c>
      <c r="Q31" s="106">
        <v>7000.0</v>
      </c>
      <c r="R31" s="106">
        <v>7000.0</v>
      </c>
      <c r="S31" s="106">
        <v>7000.0</v>
      </c>
      <c r="T31" s="106">
        <v>7000.0</v>
      </c>
      <c r="U31" s="106">
        <v>7000.0</v>
      </c>
      <c r="V31" s="106">
        <v>7000.0</v>
      </c>
      <c r="W31" s="106">
        <v>7000.0</v>
      </c>
      <c r="X31" s="106">
        <v>7000.0</v>
      </c>
      <c r="Y31" s="106">
        <v>7000.0</v>
      </c>
      <c r="Z31" s="23"/>
      <c r="AA31" s="23"/>
    </row>
    <row r="32" ht="15.75" customHeight="1">
      <c r="A32" s="44" t="s">
        <v>201</v>
      </c>
      <c r="B32" s="106">
        <v>0.0</v>
      </c>
      <c r="C32" s="106">
        <v>0.0</v>
      </c>
      <c r="D32" s="106">
        <v>0.0</v>
      </c>
      <c r="E32" s="106">
        <v>10000.0</v>
      </c>
      <c r="F32" s="106">
        <v>10000.0</v>
      </c>
      <c r="G32" s="106">
        <v>10000.0</v>
      </c>
      <c r="H32" s="106">
        <v>10000.0</v>
      </c>
      <c r="I32" s="106">
        <v>10000.0</v>
      </c>
      <c r="J32" s="106">
        <v>10000.0</v>
      </c>
      <c r="K32" s="106">
        <v>10000.0</v>
      </c>
      <c r="L32" s="106">
        <v>10000.0</v>
      </c>
      <c r="M32" s="106">
        <v>10000.0</v>
      </c>
      <c r="N32" s="106">
        <v>10000.0</v>
      </c>
      <c r="O32" s="106">
        <v>10000.0</v>
      </c>
      <c r="P32" s="106">
        <v>10000.0</v>
      </c>
      <c r="Q32" s="106">
        <v>10000.0</v>
      </c>
      <c r="R32" s="106">
        <v>10000.0</v>
      </c>
      <c r="S32" s="106">
        <v>10000.0</v>
      </c>
      <c r="T32" s="106">
        <v>10000.0</v>
      </c>
      <c r="U32" s="106">
        <v>10000.0</v>
      </c>
      <c r="V32" s="106">
        <v>10000.0</v>
      </c>
      <c r="W32" s="106">
        <v>10000.0</v>
      </c>
      <c r="X32" s="106">
        <v>10000.0</v>
      </c>
      <c r="Y32" s="106">
        <v>10000.0</v>
      </c>
      <c r="Z32" s="23"/>
      <c r="AA32" s="23"/>
    </row>
    <row r="33" ht="15.75" customHeight="1">
      <c r="A33" s="44" t="s">
        <v>202</v>
      </c>
      <c r="B33" s="106">
        <v>0.0</v>
      </c>
      <c r="C33" s="106">
        <v>0.0</v>
      </c>
      <c r="D33" s="106">
        <v>0.0</v>
      </c>
      <c r="E33" s="106">
        <v>0.0</v>
      </c>
      <c r="F33" s="106">
        <v>0.0</v>
      </c>
      <c r="G33" s="106">
        <v>0.0</v>
      </c>
      <c r="H33" s="106">
        <v>0.0</v>
      </c>
      <c r="I33" s="106">
        <v>0.0</v>
      </c>
      <c r="J33" s="106">
        <v>0.0</v>
      </c>
      <c r="K33" s="106">
        <v>10000.0</v>
      </c>
      <c r="L33" s="106">
        <v>10000.0</v>
      </c>
      <c r="M33" s="106">
        <v>10000.0</v>
      </c>
      <c r="N33" s="106">
        <v>10000.0</v>
      </c>
      <c r="O33" s="106">
        <v>10000.0</v>
      </c>
      <c r="P33" s="106">
        <v>10000.0</v>
      </c>
      <c r="Q33" s="106">
        <v>10000.0</v>
      </c>
      <c r="R33" s="106">
        <v>10000.0</v>
      </c>
      <c r="S33" s="106">
        <v>10000.0</v>
      </c>
      <c r="T33" s="106">
        <v>10000.0</v>
      </c>
      <c r="U33" s="106">
        <v>10000.0</v>
      </c>
      <c r="V33" s="106">
        <v>10000.0</v>
      </c>
      <c r="W33" s="106">
        <v>10000.0</v>
      </c>
      <c r="X33" s="106">
        <v>10000.0</v>
      </c>
      <c r="Y33" s="106">
        <v>10000.0</v>
      </c>
      <c r="Z33" s="23"/>
      <c r="AA33" s="23"/>
    </row>
    <row r="34" ht="15.75" customHeight="1">
      <c r="A34" s="120" t="s">
        <v>68</v>
      </c>
      <c r="B34" s="106">
        <v>27000.0</v>
      </c>
      <c r="C34" s="106">
        <v>27000.0</v>
      </c>
      <c r="D34" s="106">
        <v>27000.0</v>
      </c>
      <c r="E34" s="106">
        <v>37000.0</v>
      </c>
      <c r="F34" s="106">
        <v>37000.0</v>
      </c>
      <c r="G34" s="106">
        <v>37000.0</v>
      </c>
      <c r="H34" s="106">
        <v>37000.0</v>
      </c>
      <c r="I34" s="106">
        <v>37000.0</v>
      </c>
      <c r="J34" s="106">
        <v>37000.0</v>
      </c>
      <c r="K34" s="106">
        <v>47000.0</v>
      </c>
      <c r="L34" s="106">
        <v>47000.0</v>
      </c>
      <c r="M34" s="106">
        <v>47000.0</v>
      </c>
      <c r="N34" s="106">
        <v>47000.0</v>
      </c>
      <c r="O34" s="106">
        <v>47000.0</v>
      </c>
      <c r="P34" s="106">
        <v>47000.0</v>
      </c>
      <c r="Q34" s="106">
        <v>47000.0</v>
      </c>
      <c r="R34" s="106">
        <v>47000.0</v>
      </c>
      <c r="S34" s="106">
        <v>47000.0</v>
      </c>
      <c r="T34" s="106">
        <v>47000.0</v>
      </c>
      <c r="U34" s="106">
        <v>47000.0</v>
      </c>
      <c r="V34" s="106">
        <v>47000.0</v>
      </c>
      <c r="W34" s="106">
        <v>47000.0</v>
      </c>
      <c r="X34" s="106">
        <v>47000.0</v>
      </c>
      <c r="Y34" s="106">
        <v>47000.0</v>
      </c>
      <c r="Z34" s="119">
        <v>444000.0</v>
      </c>
      <c r="AA34" s="119">
        <v>564000.0</v>
      </c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118" t="s">
        <v>203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ht="15.75" customHeight="1">
      <c r="A37" s="44" t="s">
        <v>8</v>
      </c>
      <c r="B37" s="106">
        <v>7322.049999999999</v>
      </c>
      <c r="C37" s="106">
        <v>7519.458849999999</v>
      </c>
      <c r="D37" s="106">
        <v>7746.03172345</v>
      </c>
      <c r="E37" s="106">
        <v>7999.30062827965</v>
      </c>
      <c r="F37" s="106">
        <v>8282.470566394812</v>
      </c>
      <c r="G37" s="106">
        <v>8599.131135495627</v>
      </c>
      <c r="H37" s="106">
        <v>8945.293389833645</v>
      </c>
      <c r="I37" s="106">
        <v>9325.32687304231</v>
      </c>
      <c r="J37" s="106">
        <v>9742.621687994939</v>
      </c>
      <c r="K37" s="106">
        <v>10192.37501348334</v>
      </c>
      <c r="L37" s="106">
        <v>10677.18723064903</v>
      </c>
      <c r="M37" s="106">
        <v>11199.86673632361</v>
      </c>
      <c r="N37" s="106">
        <v>11763.44658434328</v>
      </c>
      <c r="O37" s="106">
        <v>12371.20245816806</v>
      </c>
      <c r="P37" s="106">
        <v>13026.67208131052</v>
      </c>
      <c r="Q37" s="106">
        <v>13726.90663626866</v>
      </c>
      <c r="R37" s="106">
        <v>14475.04414003681</v>
      </c>
      <c r="S37" s="106">
        <v>15274.44225291182</v>
      </c>
      <c r="T37" s="106">
        <v>16120.40067070143</v>
      </c>
      <c r="U37" s="106">
        <v>17015.71862602796</v>
      </c>
      <c r="V37" s="106">
        <v>17963.36328301374</v>
      </c>
      <c r="W37" s="106">
        <v>18956.60273794607</v>
      </c>
      <c r="X37" s="106">
        <v>19997.7238804619</v>
      </c>
      <c r="Y37" s="106">
        <v>21089.12791608104</v>
      </c>
      <c r="Z37" s="119">
        <v>107551.113834947</v>
      </c>
      <c r="AA37" s="119">
        <v>191780.6512672713</v>
      </c>
    </row>
    <row r="38" ht="15.75" customHeight="1">
      <c r="A38" s="44" t="s">
        <v>204</v>
      </c>
      <c r="B38" s="105">
        <v>1.364145319049837</v>
      </c>
      <c r="C38" s="105">
        <v>0.8685337269737535</v>
      </c>
      <c r="D38" s="105">
        <v>0.6229787404451427</v>
      </c>
      <c r="E38" s="105">
        <v>0.4802939416970574</v>
      </c>
      <c r="F38" s="105">
        <v>0.3874928961377054</v>
      </c>
      <c r="G38" s="105">
        <v>0.3226426255341638</v>
      </c>
      <c r="H38" s="105">
        <v>0.2759057354509991</v>
      </c>
      <c r="I38" s="105">
        <v>0.2406197678567654</v>
      </c>
      <c r="J38" s="105">
        <v>0.213138145825373</v>
      </c>
      <c r="K38" s="105">
        <v>0.1915634905755383</v>
      </c>
      <c r="L38" s="105">
        <v>0.1742177359094847</v>
      </c>
      <c r="M38" s="105">
        <v>0.1600031730453548</v>
      </c>
      <c r="N38" s="105">
        <v>0.1481714516082695</v>
      </c>
      <c r="O38" s="105">
        <v>0.1381947810143146</v>
      </c>
      <c r="P38" s="105">
        <v>0.1296902028737342</v>
      </c>
      <c r="Q38" s="105">
        <v>0.122435830123691</v>
      </c>
      <c r="R38" s="105">
        <v>0.1161869591846894</v>
      </c>
      <c r="S38" s="105">
        <v>0.1107587082201462</v>
      </c>
      <c r="T38" s="105">
        <v>0.1060506084287741</v>
      </c>
      <c r="U38" s="105">
        <v>0.1019340853794097</v>
      </c>
      <c r="V38" s="105">
        <v>0.09830941191657251</v>
      </c>
      <c r="W38" s="105">
        <v>0.0951270347610586</v>
      </c>
      <c r="X38" s="105">
        <v>0.09231334992670076</v>
      </c>
      <c r="Y38" s="105">
        <v>0.08981021980222216</v>
      </c>
      <c r="Z38" s="23"/>
      <c r="AA38" s="23"/>
    </row>
    <row r="39" ht="15.75" customHeight="1">
      <c r="A39" s="44" t="s">
        <v>9</v>
      </c>
      <c r="B39" s="106">
        <v>13000.0</v>
      </c>
      <c r="C39" s="106">
        <v>13000.0</v>
      </c>
      <c r="D39" s="106">
        <v>13000.0</v>
      </c>
      <c r="E39" s="106">
        <v>23000.0</v>
      </c>
      <c r="F39" s="106">
        <v>23000.0</v>
      </c>
      <c r="G39" s="106">
        <v>23000.0</v>
      </c>
      <c r="H39" s="106">
        <v>23000.0</v>
      </c>
      <c r="I39" s="106">
        <v>23000.0</v>
      </c>
      <c r="J39" s="106">
        <v>23000.0</v>
      </c>
      <c r="K39" s="106">
        <v>33000.0</v>
      </c>
      <c r="L39" s="106">
        <v>33000.0</v>
      </c>
      <c r="M39" s="106">
        <v>33000.0</v>
      </c>
      <c r="N39" s="106">
        <v>33000.0</v>
      </c>
      <c r="O39" s="106">
        <v>33000.0</v>
      </c>
      <c r="P39" s="106">
        <v>33000.0</v>
      </c>
      <c r="Q39" s="106">
        <v>33000.0</v>
      </c>
      <c r="R39" s="106">
        <v>33000.0</v>
      </c>
      <c r="S39" s="106">
        <v>33000.0</v>
      </c>
      <c r="T39" s="106">
        <v>33000.0</v>
      </c>
      <c r="U39" s="106">
        <v>33000.0</v>
      </c>
      <c r="V39" s="106">
        <v>33000.0</v>
      </c>
      <c r="W39" s="106">
        <v>33000.0</v>
      </c>
      <c r="X39" s="106">
        <v>33000.0</v>
      </c>
      <c r="Y39" s="106">
        <v>33000.0</v>
      </c>
      <c r="Z39" s="119">
        <v>276000.0</v>
      </c>
      <c r="AA39" s="119">
        <v>396000.0</v>
      </c>
    </row>
    <row r="40" ht="15.75" customHeight="1">
      <c r="A40" s="44" t="s">
        <v>205</v>
      </c>
      <c r="B40" s="105">
        <v>2.421984163949697</v>
      </c>
      <c r="C40" s="105">
        <v>1.5015626358084</v>
      </c>
      <c r="D40" s="105">
        <v>1.045531946540979</v>
      </c>
      <c r="E40" s="105">
        <v>1.380965808433188</v>
      </c>
      <c r="F40" s="105">
        <v>1.076048087309603</v>
      </c>
      <c r="G40" s="105">
        <v>0.8629686267551097</v>
      </c>
      <c r="H40" s="105">
        <v>0.709404559338997</v>
      </c>
      <c r="I40" s="105">
        <v>0.5934649515293718</v>
      </c>
      <c r="J40" s="105">
        <v>0.5031681934262259</v>
      </c>
      <c r="K40" s="105">
        <v>0.6202278841418235</v>
      </c>
      <c r="L40" s="105">
        <v>0.5384550407161424</v>
      </c>
      <c r="M40" s="105">
        <v>0.4714435300709585</v>
      </c>
      <c r="N40" s="105">
        <v>0.4156654147246991</v>
      </c>
      <c r="O40" s="105">
        <v>0.3686325390674833</v>
      </c>
      <c r="P40" s="105">
        <v>0.3285395278333185</v>
      </c>
      <c r="Q40" s="105">
        <v>0.2943403420116862</v>
      </c>
      <c r="R40" s="105">
        <v>0.2648813790135357</v>
      </c>
      <c r="S40" s="105">
        <v>0.2392910530378321</v>
      </c>
      <c r="T40" s="105">
        <v>0.217095725449935</v>
      </c>
      <c r="U40" s="105">
        <v>0.1976892596457885</v>
      </c>
      <c r="V40" s="105">
        <v>0.1806015133209847</v>
      </c>
      <c r="W40" s="105">
        <v>0.1655988781592762</v>
      </c>
      <c r="X40" s="105">
        <v>0.1523343639401607</v>
      </c>
      <c r="Y40" s="105">
        <v>0.1405338933533331</v>
      </c>
      <c r="Z40" s="23"/>
      <c r="AA40" s="23"/>
    </row>
    <row r="41" ht="15.75" customHeight="1">
      <c r="A41" s="44" t="s">
        <v>10</v>
      </c>
      <c r="B41" s="106">
        <v>14867.0</v>
      </c>
      <c r="C41" s="106">
        <v>14867.0</v>
      </c>
      <c r="D41" s="106">
        <v>14867.0</v>
      </c>
      <c r="E41" s="106">
        <v>14867.0</v>
      </c>
      <c r="F41" s="106">
        <v>14867.0</v>
      </c>
      <c r="G41" s="106">
        <v>14867.0</v>
      </c>
      <c r="H41" s="106">
        <v>14867.0</v>
      </c>
      <c r="I41" s="106">
        <v>14867.0</v>
      </c>
      <c r="J41" s="106">
        <v>14867.0</v>
      </c>
      <c r="K41" s="106">
        <v>14867.0</v>
      </c>
      <c r="L41" s="106">
        <v>14867.0</v>
      </c>
      <c r="M41" s="106">
        <v>14867.0</v>
      </c>
      <c r="N41" s="106">
        <v>14867.0</v>
      </c>
      <c r="O41" s="106">
        <v>14867.0</v>
      </c>
      <c r="P41" s="106">
        <v>14867.0</v>
      </c>
      <c r="Q41" s="106">
        <v>14867.0</v>
      </c>
      <c r="R41" s="106">
        <v>14867.0</v>
      </c>
      <c r="S41" s="106">
        <v>14867.0</v>
      </c>
      <c r="T41" s="106">
        <v>14867.0</v>
      </c>
      <c r="U41" s="106">
        <v>14867.0</v>
      </c>
      <c r="V41" s="106">
        <v>14867.0</v>
      </c>
      <c r="W41" s="106">
        <v>14867.0</v>
      </c>
      <c r="X41" s="106">
        <v>14867.0</v>
      </c>
      <c r="Y41" s="106">
        <v>14867.0</v>
      </c>
      <c r="Z41" s="119">
        <v>178404.0</v>
      </c>
      <c r="AA41" s="119">
        <v>178404.0</v>
      </c>
    </row>
    <row r="42" ht="15.75" customHeight="1">
      <c r="A42" s="44" t="s">
        <v>206</v>
      </c>
      <c r="B42" s="105">
        <v>2.769818351187704</v>
      </c>
      <c r="C42" s="105">
        <v>1.717210131274114</v>
      </c>
      <c r="D42" s="105">
        <v>1.195686419171134</v>
      </c>
      <c r="E42" s="105">
        <v>0.8926442901728788</v>
      </c>
      <c r="F42" s="105">
        <v>0.6955481266970379</v>
      </c>
      <c r="G42" s="105">
        <v>0.5578154162594876</v>
      </c>
      <c r="H42" s="105">
        <v>0.4585529384214291</v>
      </c>
      <c r="I42" s="105">
        <v>0.3836105841037901</v>
      </c>
      <c r="J42" s="105">
        <v>0.3252435448551174</v>
      </c>
      <c r="K42" s="105">
        <v>0.2794220591980755</v>
      </c>
      <c r="L42" s="105">
        <v>0.24258215425233</v>
      </c>
      <c r="M42" s="105">
        <v>0.2123924533807557</v>
      </c>
      <c r="N42" s="105">
        <v>0.1872635672943061</v>
      </c>
      <c r="O42" s="105">
        <v>0.1660745441914022</v>
      </c>
      <c r="P42" s="105">
        <v>0.1480120351605438</v>
      </c>
      <c r="Q42" s="105">
        <v>0.1326047837784163</v>
      </c>
      <c r="R42" s="105">
        <v>0.1193330745998253</v>
      </c>
      <c r="S42" s="105">
        <v>0.1078042450155591</v>
      </c>
      <c r="T42" s="105">
        <v>0.0978049136443692</v>
      </c>
      <c r="U42" s="105">
        <v>0.08906200676224052</v>
      </c>
      <c r="V42" s="105">
        <v>0.08136371813766907</v>
      </c>
      <c r="W42" s="105">
        <v>0.07460480368466545</v>
      </c>
      <c r="X42" s="105">
        <v>0.06862893905146573</v>
      </c>
      <c r="Y42" s="105">
        <v>0.06331264825709099</v>
      </c>
      <c r="Z42" s="23"/>
      <c r="AA42" s="23"/>
    </row>
    <row r="43" ht="15.75" customHeight="1">
      <c r="A43" s="120" t="s">
        <v>207</v>
      </c>
      <c r="B43" s="106">
        <v>35189.05</v>
      </c>
      <c r="C43" s="106">
        <v>35386.45885</v>
      </c>
      <c r="D43" s="106">
        <v>35613.03172345</v>
      </c>
      <c r="E43" s="106">
        <v>45866.30062827965</v>
      </c>
      <c r="F43" s="106">
        <v>46149.47056639481</v>
      </c>
      <c r="G43" s="106">
        <v>46466.13113549563</v>
      </c>
      <c r="H43" s="106">
        <v>46812.29338983365</v>
      </c>
      <c r="I43" s="106">
        <v>47192.32687304231</v>
      </c>
      <c r="J43" s="106">
        <v>47609.62168799494</v>
      </c>
      <c r="K43" s="106">
        <v>58059.37501348335</v>
      </c>
      <c r="L43" s="106">
        <v>58544.18723064903</v>
      </c>
      <c r="M43" s="106">
        <v>59066.86673632362</v>
      </c>
      <c r="N43" s="106">
        <v>59630.44658434328</v>
      </c>
      <c r="O43" s="106">
        <v>60238.20245816806</v>
      </c>
      <c r="P43" s="106">
        <v>60893.67208131052</v>
      </c>
      <c r="Q43" s="106">
        <v>61593.90663626866</v>
      </c>
      <c r="R43" s="106">
        <v>62342.04414003681</v>
      </c>
      <c r="S43" s="106">
        <v>63141.44225291182</v>
      </c>
      <c r="T43" s="106">
        <v>63987.40067070143</v>
      </c>
      <c r="U43" s="106">
        <v>64882.71862602796</v>
      </c>
      <c r="V43" s="106">
        <v>65830.36328301374</v>
      </c>
      <c r="W43" s="106">
        <v>66823.60273794607</v>
      </c>
      <c r="X43" s="106">
        <v>67864.7238804619</v>
      </c>
      <c r="Y43" s="106">
        <v>68956.12791608104</v>
      </c>
      <c r="Z43" s="119">
        <v>561955.113834947</v>
      </c>
      <c r="AA43" s="119">
        <v>766184.6512672713</v>
      </c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118" t="s">
        <v>208</v>
      </c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</row>
    <row r="46" ht="15.75" customHeight="1">
      <c r="A46" s="120" t="s">
        <v>209</v>
      </c>
      <c r="B46" s="106">
        <v>-31482.575</v>
      </c>
      <c r="C46" s="106">
        <v>-28488.54077499999</v>
      </c>
      <c r="D46" s="106">
        <v>-25052.185527675</v>
      </c>
      <c r="E46" s="106">
        <v>-31210.94047109197</v>
      </c>
      <c r="F46" s="106">
        <v>-26916.1964096787</v>
      </c>
      <c r="G46" s="106">
        <v>-22113.51111164967</v>
      </c>
      <c r="H46" s="106">
        <v>-16863.38358752307</v>
      </c>
      <c r="I46" s="106">
        <v>-11099.54242552497</v>
      </c>
      <c r="J46" s="106">
        <v>-4770.571065410069</v>
      </c>
      <c r="K46" s="106">
        <v>-7949.312295502612</v>
      </c>
      <c r="L46" s="106">
        <v>-596.3270018231124</v>
      </c>
      <c r="M46" s="106">
        <v>7330.978834241483</v>
      </c>
      <c r="N46" s="106">
        <v>15878.60652920639</v>
      </c>
      <c r="O46" s="106">
        <v>25096.23728221559</v>
      </c>
      <c r="P46" s="106">
        <v>35037.52656654285</v>
      </c>
      <c r="Q46" s="106">
        <v>45657.75065007472</v>
      </c>
      <c r="R46" s="106">
        <v>57004.50279055833</v>
      </c>
      <c r="S46" s="106">
        <v>69128.70750249586</v>
      </c>
      <c r="T46" s="106">
        <v>81959.07683897164</v>
      </c>
      <c r="U46" s="106">
        <v>95538.06582809065</v>
      </c>
      <c r="V46" s="106">
        <v>109910.6764590417</v>
      </c>
      <c r="W46" s="106">
        <v>124974.8081921821</v>
      </c>
      <c r="X46" s="106">
        <v>140765.1455203387</v>
      </c>
      <c r="Y46" s="106">
        <v>157318.1067272291</v>
      </c>
      <c r="Z46" s="119">
        <v>-199212.1068366377</v>
      </c>
      <c r="AA46" s="119">
        <v>958269.2108869476</v>
      </c>
    </row>
    <row r="47" ht="15.75" customHeight="1">
      <c r="A47" s="120" t="s">
        <v>210</v>
      </c>
      <c r="B47" s="105">
        <v>-5.865407545412204</v>
      </c>
      <c r="C47" s="105">
        <v>-3.290563721264927</v>
      </c>
      <c r="D47" s="105">
        <v>-2.014835407681215</v>
      </c>
      <c r="E47" s="105">
        <v>-1.873967027809637</v>
      </c>
      <c r="F47" s="105">
        <v>-1.259266159316712</v>
      </c>
      <c r="G47" s="105">
        <v>-0.8297072311632249</v>
      </c>
      <c r="H47" s="105">
        <v>-0.5201287479509251</v>
      </c>
      <c r="I47" s="105">
        <v>-0.2863995394592341</v>
      </c>
      <c r="J47" s="105">
        <v>-0.1043652010692961</v>
      </c>
      <c r="K47" s="105">
        <v>-0.1494056104673384</v>
      </c>
      <c r="L47" s="105">
        <v>-0.009730160001418154</v>
      </c>
      <c r="M47" s="105">
        <v>0.1047315921360692</v>
      </c>
      <c r="N47" s="105">
        <v>0.2000056838852391</v>
      </c>
      <c r="O47" s="105">
        <v>0.2803421112237324</v>
      </c>
      <c r="P47" s="105">
        <v>0.348824619230889</v>
      </c>
      <c r="Q47" s="105">
        <v>0.4072399376311298</v>
      </c>
      <c r="R47" s="105">
        <v>0.4575585245195162</v>
      </c>
      <c r="S47" s="105">
        <v>0.5012691276792884</v>
      </c>
      <c r="T47" s="105">
        <v>0.5391807649564702</v>
      </c>
      <c r="U47" s="105">
        <v>0.5723287727741164</v>
      </c>
      <c r="V47" s="105">
        <v>0.6015161969283653</v>
      </c>
      <c r="W47" s="105">
        <v>0.6271420616604871</v>
      </c>
      <c r="X47" s="105">
        <v>0.6497990578116655</v>
      </c>
      <c r="Y47" s="105">
        <v>0.6699553343440205</v>
      </c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118" t="s">
        <v>211</v>
      </c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</row>
    <row r="50" ht="15.75" customHeight="1">
      <c r="A50" s="44" t="s">
        <v>212</v>
      </c>
      <c r="B50" s="106">
        <v>7322.049999999999</v>
      </c>
      <c r="C50" s="106">
        <v>7519.458849999999</v>
      </c>
      <c r="D50" s="106">
        <v>3873.015861725</v>
      </c>
      <c r="E50" s="106">
        <v>3999.650314139825</v>
      </c>
      <c r="F50" s="106">
        <v>4141.235283197406</v>
      </c>
      <c r="G50" s="106">
        <v>4299.565567747813</v>
      </c>
      <c r="H50" s="106">
        <v>4472.646694916823</v>
      </c>
      <c r="I50" s="106">
        <v>3108.442291014103</v>
      </c>
      <c r="J50" s="106">
        <v>4871.310843997469</v>
      </c>
      <c r="K50" s="106">
        <v>3397.458337827782</v>
      </c>
      <c r="L50" s="106">
        <v>2669.296807662256</v>
      </c>
      <c r="M50" s="106">
        <v>3733.288912107872</v>
      </c>
      <c r="N50" s="106">
        <v>0.0</v>
      </c>
      <c r="O50" s="106">
        <v>3092.800614542015</v>
      </c>
      <c r="P50" s="106">
        <v>3256.668020327629</v>
      </c>
      <c r="Q50" s="106">
        <v>3431.726659067166</v>
      </c>
      <c r="R50" s="106">
        <v>3618.761035009203</v>
      </c>
      <c r="S50" s="106">
        <v>3054.888450582363</v>
      </c>
      <c r="T50" s="106">
        <v>4030.100167675357</v>
      </c>
      <c r="U50" s="106">
        <v>2835.953104337992</v>
      </c>
      <c r="V50" s="106">
        <v>3592.672656602747</v>
      </c>
      <c r="W50" s="106">
        <v>3159.433789657679</v>
      </c>
      <c r="X50" s="106">
        <v>3332.953980076983</v>
      </c>
      <c r="Y50" s="106">
        <v>3514.854652680173</v>
      </c>
      <c r="Z50" s="23"/>
      <c r="AA50" s="23"/>
    </row>
    <row r="51" ht="15.75" customHeight="1">
      <c r="A51" s="44" t="s">
        <v>113</v>
      </c>
      <c r="B51" s="44">
        <v>4.241345577671507</v>
      </c>
      <c r="C51" s="44">
        <v>3.775099872525254</v>
      </c>
      <c r="D51" s="44">
        <v>1.823965393623999</v>
      </c>
      <c r="E51" s="44">
        <v>1.818153007477646</v>
      </c>
      <c r="F51" s="44">
        <v>1.840911161196056</v>
      </c>
      <c r="G51" s="44">
        <v>1.882225721300333</v>
      </c>
      <c r="H51" s="44">
        <v>1.936767227502826</v>
      </c>
      <c r="I51" s="44">
        <v>1.335104232649192</v>
      </c>
      <c r="J51" s="44">
        <v>2.079125249127857</v>
      </c>
      <c r="K51" s="44">
        <v>1.442951843567907</v>
      </c>
      <c r="L51" s="44">
        <v>1.129234004176416</v>
      </c>
      <c r="M51" s="44">
        <v>1.574279585360366</v>
      </c>
      <c r="N51" s="44">
        <v>0.0</v>
      </c>
      <c r="O51" s="44">
        <v>1.118793297356812</v>
      </c>
      <c r="P51" s="44">
        <v>1.175822948067602</v>
      </c>
      <c r="Q51" s="44">
        <v>1.23701460876823</v>
      </c>
      <c r="R51" s="44">
        <v>1.302610458069844</v>
      </c>
      <c r="S51" s="44">
        <v>1.098305080187393</v>
      </c>
      <c r="T51" s="44">
        <v>1.447394415485239</v>
      </c>
      <c r="U51" s="44">
        <v>1.017586358588622</v>
      </c>
      <c r="V51" s="44">
        <v>1.288068661390867</v>
      </c>
      <c r="W51" s="44">
        <v>1.131938431995476</v>
      </c>
      <c r="X51" s="44">
        <v>1.193358386141285</v>
      </c>
      <c r="Y51" s="44">
        <v>1.257787081636889</v>
      </c>
      <c r="Z51" s="23"/>
      <c r="AA51" s="23"/>
    </row>
    <row r="52" ht="15.75" customHeight="1">
      <c r="A52" s="44" t="s">
        <v>213</v>
      </c>
      <c r="B52" s="106">
        <v>575450.2406458624</v>
      </c>
      <c r="C52" s="106">
        <v>663952.3106594488</v>
      </c>
      <c r="D52" s="106">
        <v>707801.4153967007</v>
      </c>
      <c r="E52" s="106">
        <v>733280.8437445732</v>
      </c>
      <c r="F52" s="106">
        <v>749852.4590230287</v>
      </c>
      <c r="G52" s="106">
        <v>761432.864487947</v>
      </c>
      <c r="H52" s="106">
        <v>577334.0532878127</v>
      </c>
      <c r="I52" s="106">
        <v>582059.8525191831</v>
      </c>
      <c r="J52" s="106">
        <v>585740.4268983876</v>
      </c>
      <c r="K52" s="106">
        <v>588629.8896550619</v>
      </c>
      <c r="L52" s="106">
        <v>590952.9817978368</v>
      </c>
      <c r="M52" s="106">
        <v>592856.7178957114</v>
      </c>
      <c r="N52" s="106">
        <v>689551.9351965724</v>
      </c>
      <c r="O52" s="106">
        <v>691101.8822352762</v>
      </c>
      <c r="P52" s="106">
        <v>692423.129196402</v>
      </c>
      <c r="Q52" s="106">
        <v>693550.1478200695</v>
      </c>
      <c r="R52" s="106">
        <v>694520.9545552358</v>
      </c>
      <c r="S52" s="106">
        <v>695364.2721157988</v>
      </c>
      <c r="T52" s="106">
        <v>696095.7090476727</v>
      </c>
      <c r="U52" s="106">
        <v>696735.2403071275</v>
      </c>
      <c r="V52" s="106">
        <v>697298.3592201038</v>
      </c>
      <c r="W52" s="106">
        <v>697792.7642424784</v>
      </c>
      <c r="X52" s="106">
        <v>698229.8902792447</v>
      </c>
      <c r="Y52" s="106">
        <v>698618.7694235833</v>
      </c>
      <c r="Z52" s="23"/>
      <c r="AA52" s="23"/>
    </row>
    <row r="53" ht="15.75" customHeight="1">
      <c r="A53" s="120" t="s">
        <v>112</v>
      </c>
      <c r="B53" s="44">
        <v>78.59141096357747</v>
      </c>
      <c r="C53" s="44">
        <v>88.29788471539398</v>
      </c>
      <c r="D53" s="44">
        <v>182.7520053278206</v>
      </c>
      <c r="E53" s="44">
        <v>183.336238458705</v>
      </c>
      <c r="F53" s="44">
        <v>181.0697552166307</v>
      </c>
      <c r="G53" s="44">
        <v>177.0953024183787</v>
      </c>
      <c r="H53" s="44">
        <v>129.0810771939476</v>
      </c>
      <c r="I53" s="44">
        <v>187.2512976038847</v>
      </c>
      <c r="J53" s="44">
        <v>120.242876231179</v>
      </c>
      <c r="K53" s="44">
        <v>173.2559552242844</v>
      </c>
      <c r="L53" s="44">
        <v>221.3890115559639</v>
      </c>
      <c r="M53" s="44">
        <v>158.8027961010324</v>
      </c>
      <c r="N53" s="44">
        <v>0.0</v>
      </c>
      <c r="O53" s="44">
        <v>223.4550390949192</v>
      </c>
      <c r="P53" s="44">
        <v>212.6170444375667</v>
      </c>
      <c r="Q53" s="44">
        <v>202.0994725752997</v>
      </c>
      <c r="R53" s="44">
        <v>191.9223037487662</v>
      </c>
      <c r="S53" s="44">
        <v>227.6234577348444</v>
      </c>
      <c r="T53" s="44">
        <v>172.7241706374745</v>
      </c>
      <c r="U53" s="44">
        <v>245.6793940779106</v>
      </c>
      <c r="V53" s="44">
        <v>194.0890322803507</v>
      </c>
      <c r="W53" s="44">
        <v>220.8600688283718</v>
      </c>
      <c r="X53" s="44">
        <v>209.4928086175127</v>
      </c>
      <c r="Y53" s="44">
        <v>198.7617806303505</v>
      </c>
      <c r="Z53" s="23"/>
      <c r="AA53" s="23"/>
    </row>
    <row r="54" ht="15.75" customHeight="1">
      <c r="A54" s="120" t="s">
        <v>114</v>
      </c>
      <c r="B54" s="105">
        <v>1.0</v>
      </c>
      <c r="C54" s="105">
        <v>1.61297578015836</v>
      </c>
      <c r="D54" s="105">
        <v>1.436170975718288</v>
      </c>
      <c r="E54" s="105">
        <v>1.339488116749803</v>
      </c>
      <c r="F54" s="105">
        <v>1.283368117763173</v>
      </c>
      <c r="G54" s="105">
        <v>1.246914492541524</v>
      </c>
      <c r="H54" s="105">
        <v>1.216468960333719</v>
      </c>
      <c r="I54" s="105">
        <v>1.1953604968766</v>
      </c>
      <c r="J54" s="105">
        <v>1.179456410963276</v>
      </c>
      <c r="K54" s="105">
        <v>1.163986643676404</v>
      </c>
      <c r="L54" s="105">
        <v>1.15186568467615</v>
      </c>
      <c r="M54" s="105">
        <v>1.142141118439143</v>
      </c>
      <c r="N54" s="105">
        <v>1.134189935872346</v>
      </c>
      <c r="O54" s="105">
        <v>1.127587422901389</v>
      </c>
      <c r="P54" s="105">
        <v>1.122034056293237</v>
      </c>
      <c r="Q54" s="105">
        <v>1.116189257605315</v>
      </c>
      <c r="R54" s="105">
        <v>1.111215681177215</v>
      </c>
      <c r="S54" s="105">
        <v>1.106942259858156</v>
      </c>
      <c r="T54" s="105">
        <v>1.102237515464189</v>
      </c>
      <c r="U54" s="105">
        <v>1.098166515666649</v>
      </c>
      <c r="V54" s="105">
        <v>1.094615742750912</v>
      </c>
      <c r="W54" s="105">
        <v>1.090596236692368</v>
      </c>
      <c r="X54" s="105">
        <v>1.087074996580063</v>
      </c>
      <c r="Y54" s="105">
        <v>1.083968858367559</v>
      </c>
      <c r="Z54" s="23"/>
      <c r="AA54" s="23"/>
    </row>
    <row r="55" ht="15.75" customHeight="1">
      <c r="A55" s="44" t="s">
        <v>214</v>
      </c>
      <c r="B55" s="105">
        <v>0.997</v>
      </c>
      <c r="C55" s="105">
        <v>0.997</v>
      </c>
      <c r="D55" s="105">
        <v>0.997</v>
      </c>
      <c r="E55" s="105">
        <v>0.997</v>
      </c>
      <c r="F55" s="105">
        <v>0.997</v>
      </c>
      <c r="G55" s="105">
        <v>0.997</v>
      </c>
      <c r="H55" s="105">
        <v>0.996</v>
      </c>
      <c r="I55" s="105">
        <v>0.996</v>
      </c>
      <c r="J55" s="105">
        <v>0.996</v>
      </c>
      <c r="K55" s="105">
        <v>0.996</v>
      </c>
      <c r="L55" s="105">
        <v>0.996</v>
      </c>
      <c r="M55" s="105">
        <v>0.996</v>
      </c>
      <c r="N55" s="105">
        <v>0.996</v>
      </c>
      <c r="O55" s="105">
        <v>0.996</v>
      </c>
      <c r="P55" s="105">
        <v>0.996</v>
      </c>
      <c r="Q55" s="105">
        <v>0.996</v>
      </c>
      <c r="R55" s="105">
        <v>0.996</v>
      </c>
      <c r="S55" s="105">
        <v>0.996</v>
      </c>
      <c r="T55" s="105">
        <v>0.996</v>
      </c>
      <c r="U55" s="105">
        <v>0.996</v>
      </c>
      <c r="V55" s="105">
        <v>0.996</v>
      </c>
      <c r="W55" s="105">
        <v>0.996</v>
      </c>
      <c r="X55" s="105">
        <v>0.996</v>
      </c>
      <c r="Y55" s="105">
        <v>0.996</v>
      </c>
      <c r="Z55" s="23"/>
      <c r="AA55" s="23"/>
    </row>
    <row r="56" ht="15.75" customHeight="1">
      <c r="A56" s="120" t="s">
        <v>115</v>
      </c>
      <c r="B56" s="105">
        <v>-5.865407545412204</v>
      </c>
      <c r="C56" s="105">
        <v>4.065145640635397</v>
      </c>
      <c r="D56" s="105">
        <v>3.219216300938245</v>
      </c>
      <c r="E56" s="105">
        <v>2.199890373187995</v>
      </c>
      <c r="F56" s="105">
        <v>2.141151253841368</v>
      </c>
      <c r="G56" s="105">
        <v>2.133266679335062</v>
      </c>
      <c r="H56" s="105">
        <v>2.077498776053702</v>
      </c>
      <c r="I56" s="105">
        <v>2.057926423059961</v>
      </c>
      <c r="J56" s="105">
        <v>2.049111730490018</v>
      </c>
      <c r="K56" s="105">
        <v>1.818434113649511</v>
      </c>
      <c r="L56" s="105">
        <v>1.812658056112381</v>
      </c>
      <c r="M56" s="105">
        <v>1.810425013405789</v>
      </c>
      <c r="N56" s="105">
        <v>1.81028491435339</v>
      </c>
      <c r="O56" s="105">
        <v>1.811391186040399</v>
      </c>
      <c r="P56" s="105">
        <v>1.813233294749738</v>
      </c>
      <c r="Q56" s="105">
        <v>1.801511028894906</v>
      </c>
      <c r="R56" s="105">
        <v>1.7921466986461</v>
      </c>
      <c r="S56" s="105">
        <v>1.784576245977159</v>
      </c>
      <c r="T56" s="105">
        <v>1.76603095052674</v>
      </c>
      <c r="U56" s="105">
        <v>1.750326960773904</v>
      </c>
      <c r="V56" s="105">
        <v>1.736905109939314</v>
      </c>
      <c r="W56" s="105">
        <v>1.714296901968908</v>
      </c>
      <c r="X56" s="105">
        <v>1.69469901677242</v>
      </c>
      <c r="Y56" s="105">
        <v>1.677581634754727</v>
      </c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118" t="s">
        <v>215</v>
      </c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</row>
    <row r="59" ht="15.75" customHeight="1">
      <c r="A59" s="44" t="s">
        <v>216</v>
      </c>
      <c r="B59" s="106">
        <v>31482.575</v>
      </c>
      <c r="C59" s="106">
        <v>28488.54077499999</v>
      </c>
      <c r="D59" s="106">
        <v>25052.185527675</v>
      </c>
      <c r="E59" s="106">
        <v>31210.94047109198</v>
      </c>
      <c r="F59" s="106">
        <v>26916.1964096787</v>
      </c>
      <c r="G59" s="106">
        <v>22113.51111164967</v>
      </c>
      <c r="H59" s="106">
        <v>16863.38358752307</v>
      </c>
      <c r="I59" s="106">
        <v>11099.54242552497</v>
      </c>
      <c r="J59" s="106">
        <v>4770.571065410069</v>
      </c>
      <c r="K59" s="106">
        <v>7949.312295502612</v>
      </c>
      <c r="L59" s="106">
        <v>596.3270018231124</v>
      </c>
      <c r="M59" s="106">
        <v>-7330.978834241476</v>
      </c>
      <c r="N59" s="106">
        <v>-15878.60652920639</v>
      </c>
      <c r="O59" s="106">
        <v>-25096.23728221559</v>
      </c>
      <c r="P59" s="106">
        <v>-35037.52656654284</v>
      </c>
      <c r="Q59" s="106">
        <v>-45657.75065007471</v>
      </c>
      <c r="R59" s="106">
        <v>-57004.50279055833</v>
      </c>
      <c r="S59" s="106">
        <v>-69128.70750249586</v>
      </c>
      <c r="T59" s="106">
        <v>-81959.07683897164</v>
      </c>
      <c r="U59" s="106">
        <v>-95538.06582809064</v>
      </c>
      <c r="V59" s="106">
        <v>-109910.6764590417</v>
      </c>
      <c r="W59" s="106">
        <v>-124974.8081921821</v>
      </c>
      <c r="X59" s="106">
        <v>-140765.1455203387</v>
      </c>
      <c r="Y59" s="106">
        <v>-157318.1067272291</v>
      </c>
      <c r="Z59" s="23"/>
      <c r="AA59" s="23"/>
    </row>
    <row r="60" ht="15.75" customHeight="1">
      <c r="A60" s="120" t="s">
        <v>217</v>
      </c>
      <c r="B60" s="106">
        <v>968517.425</v>
      </c>
      <c r="C60" s="106">
        <v>940028.884225</v>
      </c>
      <c r="D60" s="106">
        <v>914976.6986973251</v>
      </c>
      <c r="E60" s="106">
        <v>883765.7582262331</v>
      </c>
      <c r="F60" s="106">
        <v>856849.5618165544</v>
      </c>
      <c r="G60" s="106">
        <v>834736.0507049047</v>
      </c>
      <c r="H60" s="106">
        <v>817872.6671173817</v>
      </c>
      <c r="I60" s="106">
        <v>806773.1246918567</v>
      </c>
      <c r="J60" s="106">
        <v>802002.5536264466</v>
      </c>
      <c r="K60" s="106">
        <v>794053.241330944</v>
      </c>
      <c r="L60" s="106">
        <v>793456.9143291209</v>
      </c>
      <c r="M60" s="106">
        <v>800787.8931633624</v>
      </c>
      <c r="N60" s="106">
        <v>816666.4996925688</v>
      </c>
      <c r="O60" s="106">
        <v>841762.7369747844</v>
      </c>
      <c r="P60" s="106">
        <v>876800.2635413272</v>
      </c>
      <c r="Q60" s="106">
        <v>922458.0141914019</v>
      </c>
      <c r="R60" s="106">
        <v>979462.5169819603</v>
      </c>
      <c r="S60" s="106">
        <v>1048591.224484456</v>
      </c>
      <c r="T60" s="106">
        <v>1130550.301323428</v>
      </c>
      <c r="U60" s="106">
        <v>1226088.367151518</v>
      </c>
      <c r="V60" s="106">
        <v>1335999.04361056</v>
      </c>
      <c r="W60" s="106">
        <v>1460973.851802742</v>
      </c>
      <c r="X60" s="106">
        <v>1601738.997323081</v>
      </c>
      <c r="Y60" s="106">
        <v>1759057.10405031</v>
      </c>
      <c r="Z60" s="23"/>
      <c r="AA60" s="23"/>
    </row>
    <row r="61" ht="15.75" customHeight="1">
      <c r="A61" s="44" t="s">
        <v>218</v>
      </c>
      <c r="B61" s="44">
        <v>30.76360256427563</v>
      </c>
      <c r="C61" s="44">
        <v>32.99673688621913</v>
      </c>
      <c r="D61" s="44">
        <v>36.52282942286836</v>
      </c>
      <c r="E61" s="44">
        <v>28.31589644165928</v>
      </c>
      <c r="F61" s="44">
        <v>31.8339764198051</v>
      </c>
      <c r="G61" s="44">
        <v>37.74778444229761</v>
      </c>
      <c r="H61" s="44">
        <v>48.4999147930497</v>
      </c>
      <c r="I61" s="44">
        <v>72.68525978481485</v>
      </c>
      <c r="J61" s="44">
        <v>168.1145805460311</v>
      </c>
      <c r="K61" s="44">
        <v>99.88955167608475</v>
      </c>
      <c r="L61" s="44">
        <v>1330.573514033971</v>
      </c>
      <c r="M61" s="44">
        <v>99.0</v>
      </c>
      <c r="N61" s="44">
        <v>99.0</v>
      </c>
      <c r="O61" s="44">
        <v>99.0</v>
      </c>
      <c r="P61" s="44">
        <v>99.0</v>
      </c>
      <c r="Q61" s="44">
        <v>99.0</v>
      </c>
      <c r="R61" s="44">
        <v>99.0</v>
      </c>
      <c r="S61" s="44">
        <v>99.0</v>
      </c>
      <c r="T61" s="44">
        <v>99.0</v>
      </c>
      <c r="U61" s="44">
        <v>99.0</v>
      </c>
      <c r="V61" s="44">
        <v>99.0</v>
      </c>
      <c r="W61" s="44">
        <v>99.0</v>
      </c>
      <c r="X61" s="44">
        <v>99.0</v>
      </c>
      <c r="Y61" s="44">
        <v>99.0</v>
      </c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109" t="s">
        <v>219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</sheetData>
  <mergeCells count="3">
    <mergeCell ref="A1:F1"/>
    <mergeCell ref="B4:M4"/>
    <mergeCell ref="N4:Y4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5" width="12.0"/>
    <col customWidth="1" min="26" max="27" width="14.0"/>
  </cols>
  <sheetData>
    <row r="1">
      <c r="A1" s="96" t="s">
        <v>220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115" t="s">
        <v>157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98" t="s">
        <v>87</v>
      </c>
      <c r="B4" s="98" t="s">
        <v>0</v>
      </c>
      <c r="N4" s="98" t="s">
        <v>1</v>
      </c>
      <c r="Z4" s="98" t="s">
        <v>158</v>
      </c>
      <c r="AA4" s="98" t="s">
        <v>159</v>
      </c>
    </row>
    <row r="5">
      <c r="A5" s="98" t="s">
        <v>52</v>
      </c>
      <c r="B5" s="117" t="s">
        <v>160</v>
      </c>
      <c r="C5" s="117" t="s">
        <v>161</v>
      </c>
      <c r="D5" s="117" t="s">
        <v>162</v>
      </c>
      <c r="E5" s="117" t="s">
        <v>163</v>
      </c>
      <c r="F5" s="117" t="s">
        <v>164</v>
      </c>
      <c r="G5" s="117" t="s">
        <v>165</v>
      </c>
      <c r="H5" s="117" t="s">
        <v>166</v>
      </c>
      <c r="I5" s="117" t="s">
        <v>167</v>
      </c>
      <c r="J5" s="117" t="s">
        <v>168</v>
      </c>
      <c r="K5" s="117" t="s">
        <v>169</v>
      </c>
      <c r="L5" s="117" t="s">
        <v>170</v>
      </c>
      <c r="M5" s="117" t="s">
        <v>171</v>
      </c>
      <c r="N5" s="117" t="s">
        <v>172</v>
      </c>
      <c r="O5" s="117" t="s">
        <v>173</v>
      </c>
      <c r="P5" s="117" t="s">
        <v>174</v>
      </c>
      <c r="Q5" s="117" t="s">
        <v>175</v>
      </c>
      <c r="R5" s="117" t="s">
        <v>176</v>
      </c>
      <c r="S5" s="117" t="s">
        <v>177</v>
      </c>
      <c r="T5" s="117" t="s">
        <v>178</v>
      </c>
      <c r="U5" s="117" t="s">
        <v>179</v>
      </c>
      <c r="V5" s="117" t="s">
        <v>180</v>
      </c>
      <c r="W5" s="117" t="s">
        <v>181</v>
      </c>
      <c r="X5" s="117" t="s">
        <v>182</v>
      </c>
      <c r="Y5" s="117" t="s">
        <v>183</v>
      </c>
      <c r="Z5" s="23"/>
      <c r="AA5" s="23"/>
    </row>
    <row r="6">
      <c r="A6" s="44" t="s">
        <v>184</v>
      </c>
      <c r="B6" s="44">
        <v>1.0</v>
      </c>
      <c r="C6" s="44">
        <v>2.0</v>
      </c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44">
        <v>9.0</v>
      </c>
      <c r="K6" s="44">
        <v>10.0</v>
      </c>
      <c r="L6" s="44">
        <v>11.0</v>
      </c>
      <c r="M6" s="44">
        <v>12.0</v>
      </c>
      <c r="N6" s="44">
        <v>13.0</v>
      </c>
      <c r="O6" s="44">
        <v>14.0</v>
      </c>
      <c r="P6" s="44">
        <v>15.0</v>
      </c>
      <c r="Q6" s="44">
        <v>16.0</v>
      </c>
      <c r="R6" s="44">
        <v>17.0</v>
      </c>
      <c r="S6" s="44">
        <v>18.0</v>
      </c>
      <c r="T6" s="44">
        <v>19.0</v>
      </c>
      <c r="U6" s="44">
        <v>20.0</v>
      </c>
      <c r="V6" s="44">
        <v>21.0</v>
      </c>
      <c r="W6" s="44">
        <v>22.0</v>
      </c>
      <c r="X6" s="44">
        <v>23.0</v>
      </c>
      <c r="Y6" s="44">
        <v>24.0</v>
      </c>
      <c r="Z6" s="23"/>
      <c r="AA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118" t="s">
        <v>54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</row>
    <row r="9">
      <c r="A9" s="44" t="s">
        <v>185</v>
      </c>
      <c r="B9" s="106">
        <v>2000.0</v>
      </c>
      <c r="C9" s="106">
        <v>2000.0</v>
      </c>
      <c r="D9" s="106">
        <v>2000.0</v>
      </c>
      <c r="E9" s="106">
        <v>2000.0</v>
      </c>
      <c r="F9" s="106">
        <v>2000.0</v>
      </c>
      <c r="G9" s="106">
        <v>2000.0</v>
      </c>
      <c r="H9" s="106">
        <v>2000.0</v>
      </c>
      <c r="I9" s="106">
        <v>2000.0</v>
      </c>
      <c r="J9" s="106">
        <v>2000.0</v>
      </c>
      <c r="K9" s="106">
        <v>2000.0</v>
      </c>
      <c r="L9" s="106">
        <v>2000.0</v>
      </c>
      <c r="M9" s="106">
        <v>2000.0</v>
      </c>
      <c r="N9" s="106">
        <v>2200.0</v>
      </c>
      <c r="O9" s="106">
        <v>2200.0</v>
      </c>
      <c r="P9" s="106">
        <v>2200.0</v>
      </c>
      <c r="Q9" s="106">
        <v>2200.0</v>
      </c>
      <c r="R9" s="106">
        <v>2200.0</v>
      </c>
      <c r="S9" s="106">
        <v>2200.0</v>
      </c>
      <c r="T9" s="106">
        <v>2200.0</v>
      </c>
      <c r="U9" s="106">
        <v>2200.0</v>
      </c>
      <c r="V9" s="106">
        <v>2200.0</v>
      </c>
      <c r="W9" s="106">
        <v>2200.0</v>
      </c>
      <c r="X9" s="106">
        <v>2200.0</v>
      </c>
      <c r="Y9" s="106">
        <v>2200.0</v>
      </c>
      <c r="Z9" s="23"/>
      <c r="AA9" s="23"/>
    </row>
    <row r="10">
      <c r="A10" s="44" t="s">
        <v>186</v>
      </c>
      <c r="B10" s="106">
        <v>2.0</v>
      </c>
      <c r="C10" s="106">
        <v>3.0</v>
      </c>
      <c r="D10" s="106">
        <v>5.0</v>
      </c>
      <c r="E10" s="106">
        <v>6.0</v>
      </c>
      <c r="F10" s="106">
        <v>8.0</v>
      </c>
      <c r="G10" s="106">
        <v>9.0</v>
      </c>
      <c r="H10" s="106">
        <v>11.0</v>
      </c>
      <c r="I10" s="106">
        <v>13.0</v>
      </c>
      <c r="J10" s="106">
        <v>15.0</v>
      </c>
      <c r="K10" s="106">
        <v>17.0</v>
      </c>
      <c r="L10" s="106">
        <v>19.0</v>
      </c>
      <c r="M10" s="106">
        <v>21.0</v>
      </c>
      <c r="N10" s="106">
        <v>21.0</v>
      </c>
      <c r="O10" s="106">
        <v>23.0</v>
      </c>
      <c r="P10" s="106">
        <v>26.0</v>
      </c>
      <c r="Q10" s="106">
        <v>28.0</v>
      </c>
      <c r="R10" s="106">
        <v>30.0</v>
      </c>
      <c r="S10" s="106">
        <v>33.0</v>
      </c>
      <c r="T10" s="106">
        <v>36.0</v>
      </c>
      <c r="U10" s="106">
        <v>38.0</v>
      </c>
      <c r="V10" s="106">
        <v>41.0</v>
      </c>
      <c r="W10" s="106">
        <v>44.0</v>
      </c>
      <c r="X10" s="106">
        <v>47.0</v>
      </c>
      <c r="Y10" s="106">
        <v>50.0</v>
      </c>
      <c r="Z10" s="23"/>
      <c r="AA10" s="23"/>
    </row>
    <row r="11">
      <c r="A11" s="44" t="s">
        <v>187</v>
      </c>
      <c r="B11" s="106">
        <v>1.0</v>
      </c>
      <c r="C11" s="106">
        <v>1.0</v>
      </c>
      <c r="D11" s="106">
        <v>2.0</v>
      </c>
      <c r="E11" s="106">
        <v>1.0</v>
      </c>
      <c r="F11" s="106">
        <v>2.0</v>
      </c>
      <c r="G11" s="106">
        <v>1.0</v>
      </c>
      <c r="H11" s="106">
        <v>2.0</v>
      </c>
      <c r="I11" s="106">
        <v>2.0</v>
      </c>
      <c r="J11" s="106">
        <v>2.0</v>
      </c>
      <c r="K11" s="106">
        <v>2.0</v>
      </c>
      <c r="L11" s="106">
        <v>2.0</v>
      </c>
      <c r="M11" s="106">
        <v>2.0</v>
      </c>
      <c r="N11" s="106">
        <v>0.0</v>
      </c>
      <c r="O11" s="106">
        <v>2.0</v>
      </c>
      <c r="P11" s="106">
        <v>3.0</v>
      </c>
      <c r="Q11" s="106">
        <v>2.0</v>
      </c>
      <c r="R11" s="106">
        <v>2.0</v>
      </c>
      <c r="S11" s="106">
        <v>3.0</v>
      </c>
      <c r="T11" s="106">
        <v>3.0</v>
      </c>
      <c r="U11" s="106">
        <v>2.0</v>
      </c>
      <c r="V11" s="106">
        <v>3.0</v>
      </c>
      <c r="W11" s="106">
        <v>3.0</v>
      </c>
      <c r="X11" s="106">
        <v>3.0</v>
      </c>
      <c r="Y11" s="106">
        <v>3.0</v>
      </c>
      <c r="Z11" s="23"/>
      <c r="AA11" s="23"/>
    </row>
    <row r="12">
      <c r="A12" s="44" t="s">
        <v>63</v>
      </c>
      <c r="B12" s="106">
        <v>4190.0</v>
      </c>
      <c r="C12" s="106">
        <v>6589.05</v>
      </c>
      <c r="D12" s="106">
        <v>9218.104749999999</v>
      </c>
      <c r="E12" s="106">
        <v>12046.97422625</v>
      </c>
      <c r="F12" s="106">
        <v>15091.69615511875</v>
      </c>
      <c r="G12" s="106">
        <v>18369.59101834316</v>
      </c>
      <c r="H12" s="106">
        <v>21813.92801687309</v>
      </c>
      <c r="I12" s="106">
        <v>25450.87226609026</v>
      </c>
      <c r="J12" s="106">
        <v>29292.06451885122</v>
      </c>
      <c r="K12" s="106">
        <v>33309.90449241349</v>
      </c>
      <c r="L12" s="106">
        <v>37513.31704416817</v>
      </c>
      <c r="M12" s="106">
        <v>41911.67271954777</v>
      </c>
      <c r="N12" s="106">
        <v>46514.81003975731</v>
      </c>
      <c r="O12" s="106">
        <v>51333.05890387195</v>
      </c>
      <c r="P12" s="106">
        <v>56377.26516101956</v>
      </c>
      <c r="Q12" s="106">
        <v>61605.29436504711</v>
      </c>
      <c r="R12" s="106">
        <v>67024.60710565024</v>
      </c>
      <c r="S12" s="106">
        <v>72642.9617500815</v>
      </c>
      <c r="T12" s="106">
        <v>78468.42635812877</v>
      </c>
      <c r="U12" s="106">
        <v>84509.39107366967</v>
      </c>
      <c r="V12" s="106">
        <v>90774.58101186492</v>
      </c>
      <c r="W12" s="106">
        <v>97205.34719897012</v>
      </c>
      <c r="X12" s="106">
        <v>103806.791199148</v>
      </c>
      <c r="Y12" s="106">
        <v>110584.1668178259</v>
      </c>
      <c r="Z12" s="119">
        <v>254797.1752076559</v>
      </c>
      <c r="AA12" s="119">
        <v>920846.700985035</v>
      </c>
    </row>
    <row r="13">
      <c r="A13" s="44" t="s">
        <v>188</v>
      </c>
      <c r="B13" s="106">
        <v>10.0</v>
      </c>
      <c r="C13" s="106">
        <v>20.95</v>
      </c>
      <c r="D13" s="106">
        <v>32.94525</v>
      </c>
      <c r="E13" s="106">
        <v>46.09052375</v>
      </c>
      <c r="F13" s="106">
        <v>60.23487113125</v>
      </c>
      <c r="G13" s="106">
        <v>75.45848077559374</v>
      </c>
      <c r="H13" s="106">
        <v>110.2175461100589</v>
      </c>
      <c r="I13" s="106">
        <v>130.8835681012386</v>
      </c>
      <c r="J13" s="106">
        <v>152.7052335965415</v>
      </c>
      <c r="K13" s="106">
        <v>175.7523871131073</v>
      </c>
      <c r="L13" s="106">
        <v>199.859426954481</v>
      </c>
      <c r="M13" s="106">
        <v>225.079902265009</v>
      </c>
      <c r="N13" s="106">
        <v>251.4700363172866</v>
      </c>
      <c r="O13" s="106">
        <v>279.0888602385439</v>
      </c>
      <c r="P13" s="106">
        <v>307.9983534232317</v>
      </c>
      <c r="Q13" s="106">
        <v>338.2635909661174</v>
      </c>
      <c r="R13" s="106">
        <v>369.6317661902827</v>
      </c>
      <c r="S13" s="106">
        <v>402.1476426339015</v>
      </c>
      <c r="T13" s="106">
        <v>435.857770500489</v>
      </c>
      <c r="U13" s="106">
        <v>470.8105581487726</v>
      </c>
      <c r="V13" s="106">
        <v>507.056346442018</v>
      </c>
      <c r="W13" s="106">
        <v>544.6474860711895</v>
      </c>
      <c r="X13" s="106">
        <v>583.2320831938207</v>
      </c>
      <c r="Y13" s="106">
        <v>622.8407471948877</v>
      </c>
      <c r="Z13" s="23"/>
      <c r="AA13" s="23"/>
    </row>
    <row r="14">
      <c r="A14" s="44" t="s">
        <v>66</v>
      </c>
      <c r="B14" s="106">
        <v>4180.0</v>
      </c>
      <c r="C14" s="106">
        <v>6568.1</v>
      </c>
      <c r="D14" s="106">
        <v>9185.159499999998</v>
      </c>
      <c r="E14" s="106">
        <v>12000.8837025</v>
      </c>
      <c r="F14" s="106">
        <v>15031.4612839875</v>
      </c>
      <c r="G14" s="106">
        <v>18294.13253756756</v>
      </c>
      <c r="H14" s="106">
        <v>21703.71047076304</v>
      </c>
      <c r="I14" s="106">
        <v>25319.98869798902</v>
      </c>
      <c r="J14" s="106">
        <v>29139.35928525468</v>
      </c>
      <c r="K14" s="106">
        <v>33134.15210530039</v>
      </c>
      <c r="L14" s="106">
        <v>37313.45761721369</v>
      </c>
      <c r="M14" s="106">
        <v>41686.59281728276</v>
      </c>
      <c r="N14" s="106">
        <v>46263.34000344003</v>
      </c>
      <c r="O14" s="106">
        <v>51053.9700436334</v>
      </c>
      <c r="P14" s="106">
        <v>56069.26680759633</v>
      </c>
      <c r="Q14" s="106">
        <v>61267.03077408099</v>
      </c>
      <c r="R14" s="106">
        <v>66654.97533945995</v>
      </c>
      <c r="S14" s="106">
        <v>72240.81410744759</v>
      </c>
      <c r="T14" s="106">
        <v>78032.56858762828</v>
      </c>
      <c r="U14" s="106">
        <v>84038.5805155209</v>
      </c>
      <c r="V14" s="106">
        <v>90267.52466542291</v>
      </c>
      <c r="W14" s="106">
        <v>96660.69971289893</v>
      </c>
      <c r="X14" s="106">
        <v>103223.5591159541</v>
      </c>
      <c r="Y14" s="106">
        <v>109961.326070631</v>
      </c>
      <c r="Z14" s="23"/>
      <c r="AA14" s="23"/>
    </row>
    <row r="15">
      <c r="A15" s="120" t="s">
        <v>189</v>
      </c>
      <c r="B15" s="106">
        <v>50280.0</v>
      </c>
      <c r="C15" s="106">
        <v>79068.6</v>
      </c>
      <c r="D15" s="106">
        <v>110617.257</v>
      </c>
      <c r="E15" s="106">
        <v>144563.690715</v>
      </c>
      <c r="F15" s="106">
        <v>181100.353861425</v>
      </c>
      <c r="G15" s="106">
        <v>220435.0922201179</v>
      </c>
      <c r="H15" s="106">
        <v>261767.1362024772</v>
      </c>
      <c r="I15" s="106">
        <v>305410.4671930831</v>
      </c>
      <c r="J15" s="106">
        <v>351504.7742262146</v>
      </c>
      <c r="K15" s="106">
        <v>399718.8539089619</v>
      </c>
      <c r="L15" s="106">
        <v>450159.804530018</v>
      </c>
      <c r="M15" s="106">
        <v>502940.0726345732</v>
      </c>
      <c r="N15" s="106">
        <v>558177.7204770878</v>
      </c>
      <c r="O15" s="106">
        <v>615996.7068464634</v>
      </c>
      <c r="P15" s="106">
        <v>676527.1819322347</v>
      </c>
      <c r="Q15" s="106">
        <v>739263.5323805653</v>
      </c>
      <c r="R15" s="106">
        <v>804295.2852678029</v>
      </c>
      <c r="S15" s="106">
        <v>871715.5410009779</v>
      </c>
      <c r="T15" s="106">
        <v>941621.1162975451</v>
      </c>
      <c r="U15" s="106">
        <v>1014112.692884036</v>
      </c>
      <c r="V15" s="106">
        <v>1089294.972142379</v>
      </c>
      <c r="W15" s="106">
        <v>1166464.166387641</v>
      </c>
      <c r="X15" s="106">
        <v>1245681.494389776</v>
      </c>
      <c r="Y15" s="106">
        <v>1327010.001813911</v>
      </c>
      <c r="Z15" s="23"/>
      <c r="AA15" s="23"/>
    </row>
    <row r="16">
      <c r="A16" s="44" t="s">
        <v>190</v>
      </c>
      <c r="B16" s="105">
        <v>0.0</v>
      </c>
      <c r="C16" s="105">
        <v>0.5725656324582339</v>
      </c>
      <c r="D16" s="105">
        <v>0.3990036120533307</v>
      </c>
      <c r="E16" s="105">
        <v>0.3068818974149757</v>
      </c>
      <c r="F16" s="105">
        <v>0.252737481768193</v>
      </c>
      <c r="G16" s="105">
        <v>0.2171985726145581</v>
      </c>
      <c r="H16" s="105">
        <v>0.1875021057948737</v>
      </c>
      <c r="I16" s="105">
        <v>0.1667257839305228</v>
      </c>
      <c r="J16" s="105">
        <v>0.150925760524083</v>
      </c>
      <c r="K16" s="105">
        <v>0.1371647932489207</v>
      </c>
      <c r="L16" s="105">
        <v>0.1261910718690899</v>
      </c>
      <c r="M16" s="105">
        <v>0.1172478474830946</v>
      </c>
      <c r="N16" s="105">
        <v>0.1098294823738359</v>
      </c>
      <c r="O16" s="105">
        <v>0.1035852637041055</v>
      </c>
      <c r="P16" s="105">
        <v>0.09826428357977979</v>
      </c>
      <c r="Q16" s="105">
        <v>0.09273293390688137</v>
      </c>
      <c r="R16" s="105">
        <v>0.08796829552490334</v>
      </c>
      <c r="S16" s="105">
        <v>0.08382525294889225</v>
      </c>
      <c r="T16" s="105">
        <v>0.08019310429672478</v>
      </c>
      <c r="U16" s="105">
        <v>0.07698592919361003</v>
      </c>
      <c r="V16" s="105">
        <v>0.07413602037119967</v>
      </c>
      <c r="W16" s="105">
        <v>0.07084324835676903</v>
      </c>
      <c r="X16" s="105">
        <v>0.06791235451960594</v>
      </c>
      <c r="Y16" s="105">
        <v>0.06528836447391857</v>
      </c>
      <c r="Z16" s="23"/>
      <c r="AA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118" t="s">
        <v>191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</row>
    <row r="19">
      <c r="A19" s="44" t="s">
        <v>192</v>
      </c>
      <c r="B19" s="106">
        <v>125.7</v>
      </c>
      <c r="C19" s="106">
        <v>197.6715</v>
      </c>
      <c r="D19" s="106">
        <v>276.5431424999999</v>
      </c>
      <c r="E19" s="106">
        <v>361.4092267875</v>
      </c>
      <c r="F19" s="106">
        <v>452.7508846535624</v>
      </c>
      <c r="G19" s="106">
        <v>551.0877305502946</v>
      </c>
      <c r="H19" s="106">
        <v>654.4178405061929</v>
      </c>
      <c r="I19" s="106">
        <v>763.5261679827076</v>
      </c>
      <c r="J19" s="106">
        <v>878.7619355655366</v>
      </c>
      <c r="K19" s="106">
        <v>999.2971347724048</v>
      </c>
      <c r="L19" s="106">
        <v>1125.399511325045</v>
      </c>
      <c r="M19" s="106">
        <v>1257.350181586433</v>
      </c>
      <c r="N19" s="106">
        <v>1395.444301192719</v>
      </c>
      <c r="O19" s="106">
        <v>1539.991767116158</v>
      </c>
      <c r="P19" s="106">
        <v>1691.317954830587</v>
      </c>
      <c r="Q19" s="106">
        <v>1848.158830951413</v>
      </c>
      <c r="R19" s="106">
        <v>2010.738213169507</v>
      </c>
      <c r="S19" s="106">
        <v>2179.288852502445</v>
      </c>
      <c r="T19" s="106">
        <v>2354.052790743863</v>
      </c>
      <c r="U19" s="106">
        <v>2535.28173221009</v>
      </c>
      <c r="V19" s="106">
        <v>2723.237430355948</v>
      </c>
      <c r="W19" s="106">
        <v>2916.160415969104</v>
      </c>
      <c r="X19" s="106">
        <v>3114.203735974439</v>
      </c>
      <c r="Y19" s="106">
        <v>3317.525004534777</v>
      </c>
      <c r="Z19" s="23"/>
      <c r="AA19" s="23"/>
    </row>
    <row r="20">
      <c r="A20" s="44" t="s">
        <v>41</v>
      </c>
      <c r="B20" s="106">
        <v>1500.0</v>
      </c>
      <c r="C20" s="106">
        <v>1500.0</v>
      </c>
      <c r="D20" s="106">
        <v>1500.0</v>
      </c>
      <c r="E20" s="106">
        <v>1500.0</v>
      </c>
      <c r="F20" s="106">
        <v>1500.0</v>
      </c>
      <c r="G20" s="106">
        <v>1500.0</v>
      </c>
      <c r="H20" s="106">
        <v>1500.0</v>
      </c>
      <c r="I20" s="106">
        <v>1500.0</v>
      </c>
      <c r="J20" s="106">
        <v>1500.0</v>
      </c>
      <c r="K20" s="106">
        <v>1500.0</v>
      </c>
      <c r="L20" s="106">
        <v>1500.0</v>
      </c>
      <c r="M20" s="106">
        <v>1500.0</v>
      </c>
      <c r="N20" s="106">
        <v>1500.0</v>
      </c>
      <c r="O20" s="106">
        <v>1500.0</v>
      </c>
      <c r="P20" s="106">
        <v>1500.0</v>
      </c>
      <c r="Q20" s="106">
        <v>1500.0</v>
      </c>
      <c r="R20" s="106">
        <v>1500.0</v>
      </c>
      <c r="S20" s="106">
        <v>1500.0</v>
      </c>
      <c r="T20" s="106">
        <v>1500.0</v>
      </c>
      <c r="U20" s="106">
        <v>1500.0</v>
      </c>
      <c r="V20" s="106">
        <v>1500.0</v>
      </c>
      <c r="W20" s="106">
        <v>1500.0</v>
      </c>
      <c r="X20" s="106">
        <v>1500.0</v>
      </c>
      <c r="Y20" s="106">
        <v>1500.0</v>
      </c>
      <c r="Z20" s="23"/>
      <c r="AA20" s="23"/>
    </row>
    <row r="21" ht="15.75" customHeight="1">
      <c r="A21" s="120" t="s">
        <v>193</v>
      </c>
      <c r="B21" s="106">
        <v>1625.7</v>
      </c>
      <c r="C21" s="106">
        <v>1697.6715</v>
      </c>
      <c r="D21" s="106">
        <v>1776.5431425</v>
      </c>
      <c r="E21" s="106">
        <v>1861.4092267875</v>
      </c>
      <c r="F21" s="106">
        <v>1952.750884653562</v>
      </c>
      <c r="G21" s="106">
        <v>2051.087730550295</v>
      </c>
      <c r="H21" s="106">
        <v>2154.417840506193</v>
      </c>
      <c r="I21" s="106">
        <v>2263.526167982708</v>
      </c>
      <c r="J21" s="106">
        <v>2378.761935565537</v>
      </c>
      <c r="K21" s="106">
        <v>2499.297134772405</v>
      </c>
      <c r="L21" s="106">
        <v>2625.399511325045</v>
      </c>
      <c r="M21" s="106">
        <v>2757.350181586433</v>
      </c>
      <c r="N21" s="106">
        <v>2895.44430119272</v>
      </c>
      <c r="O21" s="106">
        <v>3039.991767116158</v>
      </c>
      <c r="P21" s="106">
        <v>3191.317954830587</v>
      </c>
      <c r="Q21" s="106">
        <v>3348.158830951414</v>
      </c>
      <c r="R21" s="106">
        <v>3510.738213169507</v>
      </c>
      <c r="S21" s="106">
        <v>3679.288852502445</v>
      </c>
      <c r="T21" s="106">
        <v>3854.052790743863</v>
      </c>
      <c r="U21" s="106">
        <v>4035.28173221009</v>
      </c>
      <c r="V21" s="106">
        <v>4223.237430355948</v>
      </c>
      <c r="W21" s="106">
        <v>4416.160415969103</v>
      </c>
      <c r="X21" s="106">
        <v>4614.203735974439</v>
      </c>
      <c r="Y21" s="106">
        <v>4817.525004534777</v>
      </c>
      <c r="Z21" s="119">
        <v>25643.91525622968</v>
      </c>
      <c r="AA21" s="119">
        <v>45625.40102955105</v>
      </c>
    </row>
    <row r="22" ht="15.75" customHeight="1">
      <c r="A22" s="44" t="s">
        <v>194</v>
      </c>
      <c r="B22" s="105">
        <v>0.3879952267303103</v>
      </c>
      <c r="C22" s="105">
        <v>0.2576504200150249</v>
      </c>
      <c r="D22" s="105">
        <v>0.1927232539313464</v>
      </c>
      <c r="E22" s="105">
        <v>0.1545125931067026</v>
      </c>
      <c r="F22" s="105">
        <v>0.129392406564668</v>
      </c>
      <c r="G22" s="105">
        <v>0.111656690042917</v>
      </c>
      <c r="H22" s="105">
        <v>0.09876340651897947</v>
      </c>
      <c r="I22" s="105">
        <v>0.08893707627453465</v>
      </c>
      <c r="J22" s="105">
        <v>0.08120840830576004</v>
      </c>
      <c r="K22" s="105">
        <v>0.07503165118175685</v>
      </c>
      <c r="L22" s="105">
        <v>0.06998580019553857</v>
      </c>
      <c r="M22" s="105">
        <v>0.06578955223374786</v>
      </c>
      <c r="N22" s="105">
        <v>0.06224779373962647</v>
      </c>
      <c r="O22" s="105">
        <v>0.05922093543673194</v>
      </c>
      <c r="P22" s="105">
        <v>0.05660646974832564</v>
      </c>
      <c r="Q22" s="105">
        <v>0.05434855665345303</v>
      </c>
      <c r="R22" s="105">
        <v>0.05237984025233545</v>
      </c>
      <c r="S22" s="105">
        <v>0.05064893781672272</v>
      </c>
      <c r="T22" s="105">
        <v>0.04911596892683971</v>
      </c>
      <c r="U22" s="105">
        <v>0.04774950666361327</v>
      </c>
      <c r="V22" s="105">
        <v>0.0465244497223726</v>
      </c>
      <c r="W22" s="105">
        <v>0.04543124985634424</v>
      </c>
      <c r="X22" s="105">
        <v>0.04444992165418472</v>
      </c>
      <c r="Y22" s="105">
        <v>0.04356432881093248</v>
      </c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118" t="s">
        <v>195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ht="15.75" customHeight="1">
      <c r="A25" s="120" t="s">
        <v>78</v>
      </c>
      <c r="B25" s="106">
        <v>2564.3</v>
      </c>
      <c r="C25" s="106">
        <v>4891.378500000001</v>
      </c>
      <c r="D25" s="106">
        <v>7441.561607499999</v>
      </c>
      <c r="E25" s="106">
        <v>10185.5649994625</v>
      </c>
      <c r="F25" s="106">
        <v>13138.94527046519</v>
      </c>
      <c r="G25" s="106">
        <v>16318.50328779286</v>
      </c>
      <c r="H25" s="106">
        <v>19659.5101763669</v>
      </c>
      <c r="I25" s="106">
        <v>23187.34609810755</v>
      </c>
      <c r="J25" s="106">
        <v>26913.30258328568</v>
      </c>
      <c r="K25" s="106">
        <v>30810.60735764109</v>
      </c>
      <c r="L25" s="106">
        <v>34887.91753284312</v>
      </c>
      <c r="M25" s="106">
        <v>39154.32253796133</v>
      </c>
      <c r="N25" s="106">
        <v>43619.36573856459</v>
      </c>
      <c r="O25" s="106">
        <v>48293.06713675579</v>
      </c>
      <c r="P25" s="106">
        <v>53185.94720618898</v>
      </c>
      <c r="Q25" s="106">
        <v>58257.1355340957</v>
      </c>
      <c r="R25" s="106">
        <v>63513.86889248074</v>
      </c>
      <c r="S25" s="106">
        <v>68963.67289757905</v>
      </c>
      <c r="T25" s="106">
        <v>74614.3735673849</v>
      </c>
      <c r="U25" s="106">
        <v>80474.10934145958</v>
      </c>
      <c r="V25" s="106">
        <v>86551.34358150898</v>
      </c>
      <c r="W25" s="106">
        <v>92789.18678300102</v>
      </c>
      <c r="X25" s="106">
        <v>99192.58746317352</v>
      </c>
      <c r="Y25" s="106">
        <v>105766.6418132911</v>
      </c>
      <c r="Z25" s="23"/>
      <c r="AA25" s="23"/>
    </row>
    <row r="26" ht="15.75" customHeight="1">
      <c r="A26" s="120" t="s">
        <v>196</v>
      </c>
      <c r="B26" s="105">
        <v>0.6120047732696898</v>
      </c>
      <c r="C26" s="105">
        <v>0.7423495799849752</v>
      </c>
      <c r="D26" s="105">
        <v>0.8072767460686536</v>
      </c>
      <c r="E26" s="105">
        <v>0.8454874068932974</v>
      </c>
      <c r="F26" s="105">
        <v>0.870607593435332</v>
      </c>
      <c r="G26" s="105">
        <v>0.888343309957083</v>
      </c>
      <c r="H26" s="105">
        <v>0.9012365934810205</v>
      </c>
      <c r="I26" s="105">
        <v>0.9110629237254653</v>
      </c>
      <c r="J26" s="105">
        <v>0.91879159169424</v>
      </c>
      <c r="K26" s="105">
        <v>0.9249683488182432</v>
      </c>
      <c r="L26" s="105">
        <v>0.9300141998044615</v>
      </c>
      <c r="M26" s="105">
        <v>0.9342104477662521</v>
      </c>
      <c r="N26" s="105">
        <v>0.9377522062603735</v>
      </c>
      <c r="O26" s="105">
        <v>0.940779064563268</v>
      </c>
      <c r="P26" s="105">
        <v>0.9433935302516744</v>
      </c>
      <c r="Q26" s="105">
        <v>0.945651443346547</v>
      </c>
      <c r="R26" s="105">
        <v>0.9476201597476646</v>
      </c>
      <c r="S26" s="105">
        <v>0.9493510621832773</v>
      </c>
      <c r="T26" s="105">
        <v>0.9508840310731602</v>
      </c>
      <c r="U26" s="105">
        <v>0.9522504933363868</v>
      </c>
      <c r="V26" s="105">
        <v>0.9534755502776274</v>
      </c>
      <c r="W26" s="105">
        <v>0.9545687501436557</v>
      </c>
      <c r="X26" s="105">
        <v>0.9555500783458153</v>
      </c>
      <c r="Y26" s="105">
        <v>0.9564356711890675</v>
      </c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118" t="s">
        <v>197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ht="15.75" customHeight="1">
      <c r="A29" s="44" t="s">
        <v>198</v>
      </c>
      <c r="B29" s="106">
        <v>10000.0</v>
      </c>
      <c r="C29" s="106">
        <v>10000.0</v>
      </c>
      <c r="D29" s="106">
        <v>10000.0</v>
      </c>
      <c r="E29" s="106">
        <v>10000.0</v>
      </c>
      <c r="F29" s="106">
        <v>10000.0</v>
      </c>
      <c r="G29" s="106">
        <v>10000.0</v>
      </c>
      <c r="H29" s="106">
        <v>10000.0</v>
      </c>
      <c r="I29" s="106">
        <v>10000.0</v>
      </c>
      <c r="J29" s="106">
        <v>10000.0</v>
      </c>
      <c r="K29" s="106">
        <v>10000.0</v>
      </c>
      <c r="L29" s="106">
        <v>10000.0</v>
      </c>
      <c r="M29" s="106">
        <v>10000.0</v>
      </c>
      <c r="N29" s="106">
        <v>10000.0</v>
      </c>
      <c r="O29" s="106">
        <v>10000.0</v>
      </c>
      <c r="P29" s="106">
        <v>10000.0</v>
      </c>
      <c r="Q29" s="106">
        <v>10000.0</v>
      </c>
      <c r="R29" s="106">
        <v>10000.0</v>
      </c>
      <c r="S29" s="106">
        <v>10000.0</v>
      </c>
      <c r="T29" s="106">
        <v>10000.0</v>
      </c>
      <c r="U29" s="106">
        <v>10000.0</v>
      </c>
      <c r="V29" s="106">
        <v>10000.0</v>
      </c>
      <c r="W29" s="106">
        <v>10000.0</v>
      </c>
      <c r="X29" s="106">
        <v>10000.0</v>
      </c>
      <c r="Y29" s="106">
        <v>10000.0</v>
      </c>
      <c r="Z29" s="23"/>
      <c r="AA29" s="23"/>
    </row>
    <row r="30" ht="15.75" customHeight="1">
      <c r="A30" s="44" t="s">
        <v>199</v>
      </c>
      <c r="B30" s="106">
        <v>10000.0</v>
      </c>
      <c r="C30" s="106">
        <v>10000.0</v>
      </c>
      <c r="D30" s="106">
        <v>10000.0</v>
      </c>
      <c r="E30" s="106">
        <v>10000.0</v>
      </c>
      <c r="F30" s="106">
        <v>10000.0</v>
      </c>
      <c r="G30" s="106">
        <v>10000.0</v>
      </c>
      <c r="H30" s="106">
        <v>10000.0</v>
      </c>
      <c r="I30" s="106">
        <v>10000.0</v>
      </c>
      <c r="J30" s="106">
        <v>10000.0</v>
      </c>
      <c r="K30" s="106">
        <v>10000.0</v>
      </c>
      <c r="L30" s="106">
        <v>10000.0</v>
      </c>
      <c r="M30" s="106">
        <v>10000.0</v>
      </c>
      <c r="N30" s="106">
        <v>10000.0</v>
      </c>
      <c r="O30" s="106">
        <v>10000.0</v>
      </c>
      <c r="P30" s="106">
        <v>10000.0</v>
      </c>
      <c r="Q30" s="106">
        <v>10000.0</v>
      </c>
      <c r="R30" s="106">
        <v>10000.0</v>
      </c>
      <c r="S30" s="106">
        <v>10000.0</v>
      </c>
      <c r="T30" s="106">
        <v>10000.0</v>
      </c>
      <c r="U30" s="106">
        <v>10000.0</v>
      </c>
      <c r="V30" s="106">
        <v>10000.0</v>
      </c>
      <c r="W30" s="106">
        <v>10000.0</v>
      </c>
      <c r="X30" s="106">
        <v>10000.0</v>
      </c>
      <c r="Y30" s="106">
        <v>10000.0</v>
      </c>
      <c r="Z30" s="23"/>
      <c r="AA30" s="23"/>
    </row>
    <row r="31" ht="15.75" customHeight="1">
      <c r="A31" s="44" t="s">
        <v>200</v>
      </c>
      <c r="B31" s="106">
        <v>7000.0</v>
      </c>
      <c r="C31" s="106">
        <v>7000.0</v>
      </c>
      <c r="D31" s="106">
        <v>7000.0</v>
      </c>
      <c r="E31" s="106">
        <v>7000.0</v>
      </c>
      <c r="F31" s="106">
        <v>7000.0</v>
      </c>
      <c r="G31" s="106">
        <v>7000.0</v>
      </c>
      <c r="H31" s="106">
        <v>7000.0</v>
      </c>
      <c r="I31" s="106">
        <v>7000.0</v>
      </c>
      <c r="J31" s="106">
        <v>7000.0</v>
      </c>
      <c r="K31" s="106">
        <v>7000.0</v>
      </c>
      <c r="L31" s="106">
        <v>7000.0</v>
      </c>
      <c r="M31" s="106">
        <v>7000.0</v>
      </c>
      <c r="N31" s="106">
        <v>7000.0</v>
      </c>
      <c r="O31" s="106">
        <v>7000.0</v>
      </c>
      <c r="P31" s="106">
        <v>7000.0</v>
      </c>
      <c r="Q31" s="106">
        <v>7000.0</v>
      </c>
      <c r="R31" s="106">
        <v>7000.0</v>
      </c>
      <c r="S31" s="106">
        <v>7000.0</v>
      </c>
      <c r="T31" s="106">
        <v>7000.0</v>
      </c>
      <c r="U31" s="106">
        <v>7000.0</v>
      </c>
      <c r="V31" s="106">
        <v>7000.0</v>
      </c>
      <c r="W31" s="106">
        <v>7000.0</v>
      </c>
      <c r="X31" s="106">
        <v>7000.0</v>
      </c>
      <c r="Y31" s="106">
        <v>7000.0</v>
      </c>
      <c r="Z31" s="23"/>
      <c r="AA31" s="23"/>
    </row>
    <row r="32" ht="15.75" customHeight="1">
      <c r="A32" s="44" t="s">
        <v>201</v>
      </c>
      <c r="B32" s="106">
        <v>0.0</v>
      </c>
      <c r="C32" s="106">
        <v>0.0</v>
      </c>
      <c r="D32" s="106">
        <v>0.0</v>
      </c>
      <c r="E32" s="106">
        <v>0.0</v>
      </c>
      <c r="F32" s="106">
        <v>0.0</v>
      </c>
      <c r="G32" s="106">
        <v>10000.0</v>
      </c>
      <c r="H32" s="106">
        <v>10000.0</v>
      </c>
      <c r="I32" s="106">
        <v>10000.0</v>
      </c>
      <c r="J32" s="106">
        <v>10000.0</v>
      </c>
      <c r="K32" s="106">
        <v>10000.0</v>
      </c>
      <c r="L32" s="106">
        <v>10000.0</v>
      </c>
      <c r="M32" s="106">
        <v>10000.0</v>
      </c>
      <c r="N32" s="106">
        <v>10000.0</v>
      </c>
      <c r="O32" s="106">
        <v>10000.0</v>
      </c>
      <c r="P32" s="106">
        <v>10000.0</v>
      </c>
      <c r="Q32" s="106">
        <v>10000.0</v>
      </c>
      <c r="R32" s="106">
        <v>10000.0</v>
      </c>
      <c r="S32" s="106">
        <v>10000.0</v>
      </c>
      <c r="T32" s="106">
        <v>10000.0</v>
      </c>
      <c r="U32" s="106">
        <v>10000.0</v>
      </c>
      <c r="V32" s="106">
        <v>10000.0</v>
      </c>
      <c r="W32" s="106">
        <v>10000.0</v>
      </c>
      <c r="X32" s="106">
        <v>10000.0</v>
      </c>
      <c r="Y32" s="106">
        <v>10000.0</v>
      </c>
      <c r="Z32" s="23"/>
      <c r="AA32" s="23"/>
    </row>
    <row r="33" ht="15.75" customHeight="1">
      <c r="A33" s="120" t="s">
        <v>68</v>
      </c>
      <c r="B33" s="106">
        <v>27000.0</v>
      </c>
      <c r="C33" s="106">
        <v>27000.0</v>
      </c>
      <c r="D33" s="106">
        <v>27000.0</v>
      </c>
      <c r="E33" s="106">
        <v>27000.0</v>
      </c>
      <c r="F33" s="106">
        <v>27000.0</v>
      </c>
      <c r="G33" s="106">
        <v>37000.0</v>
      </c>
      <c r="H33" s="106">
        <v>37000.0</v>
      </c>
      <c r="I33" s="106">
        <v>37000.0</v>
      </c>
      <c r="J33" s="106">
        <v>37000.0</v>
      </c>
      <c r="K33" s="106">
        <v>37000.0</v>
      </c>
      <c r="L33" s="106">
        <v>37000.0</v>
      </c>
      <c r="M33" s="106">
        <v>37000.0</v>
      </c>
      <c r="N33" s="106">
        <v>37000.0</v>
      </c>
      <c r="O33" s="106">
        <v>37000.0</v>
      </c>
      <c r="P33" s="106">
        <v>37000.0</v>
      </c>
      <c r="Q33" s="106">
        <v>37000.0</v>
      </c>
      <c r="R33" s="106">
        <v>37000.0</v>
      </c>
      <c r="S33" s="106">
        <v>37000.0</v>
      </c>
      <c r="T33" s="106">
        <v>37000.0</v>
      </c>
      <c r="U33" s="106">
        <v>37000.0</v>
      </c>
      <c r="V33" s="106">
        <v>37000.0</v>
      </c>
      <c r="W33" s="106">
        <v>37000.0</v>
      </c>
      <c r="X33" s="106">
        <v>37000.0</v>
      </c>
      <c r="Y33" s="106">
        <v>37000.0</v>
      </c>
      <c r="Z33" s="119">
        <v>394000.0</v>
      </c>
      <c r="AA33" s="119">
        <v>444000.0</v>
      </c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118" t="s">
        <v>203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ht="15.75" customHeight="1">
      <c r="A36" s="44" t="s">
        <v>8</v>
      </c>
      <c r="B36" s="106">
        <v>7251.4</v>
      </c>
      <c r="C36" s="106">
        <v>7395.343000000001</v>
      </c>
      <c r="D36" s="106">
        <v>7553.086284999999</v>
      </c>
      <c r="E36" s="106">
        <v>7722.818453575001</v>
      </c>
      <c r="F36" s="106">
        <v>7905.501769307124</v>
      </c>
      <c r="G36" s="106">
        <v>8102.175461100589</v>
      </c>
      <c r="H36" s="106">
        <v>8308.835681012386</v>
      </c>
      <c r="I36" s="106">
        <v>8527.052335965416</v>
      </c>
      <c r="J36" s="106">
        <v>8757.523871131074</v>
      </c>
      <c r="K36" s="106">
        <v>8998.59426954481</v>
      </c>
      <c r="L36" s="106">
        <v>9250.79902265009</v>
      </c>
      <c r="M36" s="106">
        <v>9514.700363172866</v>
      </c>
      <c r="N36" s="106">
        <v>9790.88860238544</v>
      </c>
      <c r="O36" s="106">
        <v>10079.98353423232</v>
      </c>
      <c r="P36" s="106">
        <v>10382.63590966117</v>
      </c>
      <c r="Q36" s="106">
        <v>10696.31766190283</v>
      </c>
      <c r="R36" s="106">
        <v>11021.47642633901</v>
      </c>
      <c r="S36" s="106">
        <v>11358.57770500489</v>
      </c>
      <c r="T36" s="106">
        <v>11708.10558148773</v>
      </c>
      <c r="U36" s="106">
        <v>12070.56346442018</v>
      </c>
      <c r="V36" s="106">
        <v>12446.4748607119</v>
      </c>
      <c r="W36" s="106">
        <v>12832.32083193821</v>
      </c>
      <c r="X36" s="106">
        <v>13228.40747194888</v>
      </c>
      <c r="Y36" s="106">
        <v>13635.05000906955</v>
      </c>
      <c r="Z36" s="119">
        <v>99287.83051245936</v>
      </c>
      <c r="AA36" s="119">
        <v>139250.8020591021</v>
      </c>
    </row>
    <row r="37" ht="15.75" customHeight="1">
      <c r="A37" s="44" t="s">
        <v>204</v>
      </c>
      <c r="B37" s="105">
        <v>1.730644391408114</v>
      </c>
      <c r="C37" s="105">
        <v>1.122368626736783</v>
      </c>
      <c r="D37" s="105">
        <v>0.8193751850129497</v>
      </c>
      <c r="E37" s="105">
        <v>0.641058767831279</v>
      </c>
      <c r="F37" s="105">
        <v>0.5238312306351174</v>
      </c>
      <c r="G37" s="105">
        <v>0.4410645535336129</v>
      </c>
      <c r="H37" s="105">
        <v>0.3808958970885708</v>
      </c>
      <c r="I37" s="105">
        <v>0.3350396892811617</v>
      </c>
      <c r="J37" s="105">
        <v>0.2989725720935469</v>
      </c>
      <c r="K37" s="105">
        <v>0.2701477055148653</v>
      </c>
      <c r="L37" s="105">
        <v>0.2466004009125133</v>
      </c>
      <c r="M37" s="105">
        <v>0.2270179104241567</v>
      </c>
      <c r="N37" s="105">
        <v>0.2104897041182568</v>
      </c>
      <c r="O37" s="105">
        <v>0.1963643653714157</v>
      </c>
      <c r="P37" s="105">
        <v>0.1841635254921863</v>
      </c>
      <c r="Q37" s="105">
        <v>0.1736265977161141</v>
      </c>
      <c r="R37" s="105">
        <v>0.1644392545108987</v>
      </c>
      <c r="S37" s="105">
        <v>0.1563617098113727</v>
      </c>
      <c r="T37" s="105">
        <v>0.1492078549919187</v>
      </c>
      <c r="U37" s="105">
        <v>0.1428310310968619</v>
      </c>
      <c r="V37" s="105">
        <v>0.1371140987044054</v>
      </c>
      <c r="W37" s="105">
        <v>0.1320124993296065</v>
      </c>
      <c r="X37" s="105">
        <v>0.1274329677195287</v>
      </c>
      <c r="Y37" s="105">
        <v>0.1233002011176849</v>
      </c>
      <c r="Z37" s="23"/>
      <c r="AA37" s="23"/>
    </row>
    <row r="38" ht="15.75" customHeight="1">
      <c r="A38" s="44" t="s">
        <v>9</v>
      </c>
      <c r="B38" s="106">
        <v>13000.0</v>
      </c>
      <c r="C38" s="106">
        <v>13000.0</v>
      </c>
      <c r="D38" s="106">
        <v>13000.0</v>
      </c>
      <c r="E38" s="106">
        <v>13000.0</v>
      </c>
      <c r="F38" s="106">
        <v>13000.0</v>
      </c>
      <c r="G38" s="106">
        <v>23000.0</v>
      </c>
      <c r="H38" s="106">
        <v>23000.0</v>
      </c>
      <c r="I38" s="106">
        <v>23000.0</v>
      </c>
      <c r="J38" s="106">
        <v>23000.0</v>
      </c>
      <c r="K38" s="106">
        <v>23000.0</v>
      </c>
      <c r="L38" s="106">
        <v>23000.0</v>
      </c>
      <c r="M38" s="106">
        <v>23000.0</v>
      </c>
      <c r="N38" s="106">
        <v>23000.0</v>
      </c>
      <c r="O38" s="106">
        <v>23000.0</v>
      </c>
      <c r="P38" s="106">
        <v>23000.0</v>
      </c>
      <c r="Q38" s="106">
        <v>23000.0</v>
      </c>
      <c r="R38" s="106">
        <v>23000.0</v>
      </c>
      <c r="S38" s="106">
        <v>23000.0</v>
      </c>
      <c r="T38" s="106">
        <v>23000.0</v>
      </c>
      <c r="U38" s="106">
        <v>23000.0</v>
      </c>
      <c r="V38" s="106">
        <v>23000.0</v>
      </c>
      <c r="W38" s="106">
        <v>23000.0</v>
      </c>
      <c r="X38" s="106">
        <v>23000.0</v>
      </c>
      <c r="Y38" s="106">
        <v>23000.0</v>
      </c>
      <c r="Z38" s="119">
        <v>226000.0</v>
      </c>
      <c r="AA38" s="119">
        <v>276000.0</v>
      </c>
    </row>
    <row r="39" ht="15.75" customHeight="1">
      <c r="A39" s="44" t="s">
        <v>205</v>
      </c>
      <c r="B39" s="105">
        <v>3.102625298329356</v>
      </c>
      <c r="C39" s="105">
        <v>1.972970306796883</v>
      </c>
      <c r="D39" s="105">
        <v>1.410268200738335</v>
      </c>
      <c r="E39" s="105">
        <v>1.07910914025809</v>
      </c>
      <c r="F39" s="105">
        <v>0.8614008568937896</v>
      </c>
      <c r="G39" s="105">
        <v>1.252069247324728</v>
      </c>
      <c r="H39" s="105">
        <v>1.054372233291018</v>
      </c>
      <c r="I39" s="105">
        <v>0.9037018362095313</v>
      </c>
      <c r="J39" s="105">
        <v>0.7851955940216541</v>
      </c>
      <c r="K39" s="105">
        <v>0.6904853181202717</v>
      </c>
      <c r="L39" s="105">
        <v>0.6131156029982582</v>
      </c>
      <c r="M39" s="105">
        <v>0.5487731342508005</v>
      </c>
      <c r="N39" s="105">
        <v>0.4944661706742724</v>
      </c>
      <c r="O39" s="105">
        <v>0.4480543433632231</v>
      </c>
      <c r="P39" s="105">
        <v>0.4079658694743265</v>
      </c>
      <c r="Q39" s="105">
        <v>0.3733445353529464</v>
      </c>
      <c r="R39" s="105">
        <v>0.3431575505358103</v>
      </c>
      <c r="S39" s="105">
        <v>0.3166170465230818</v>
      </c>
      <c r="T39" s="105">
        <v>0.2931115235448756</v>
      </c>
      <c r="U39" s="105">
        <v>0.2721591021754036</v>
      </c>
      <c r="V39" s="105">
        <v>0.2533748957430464</v>
      </c>
      <c r="W39" s="105">
        <v>0.2366124977972784</v>
      </c>
      <c r="X39" s="105">
        <v>0.2215654653641657</v>
      </c>
      <c r="Y39" s="105">
        <v>0.2079863751009648</v>
      </c>
      <c r="Z39" s="23"/>
      <c r="AA39" s="23"/>
    </row>
    <row r="40" ht="15.75" customHeight="1">
      <c r="A40" s="44" t="s">
        <v>10</v>
      </c>
      <c r="B40" s="106">
        <v>14867.0</v>
      </c>
      <c r="C40" s="106">
        <v>14867.0</v>
      </c>
      <c r="D40" s="106">
        <v>14867.0</v>
      </c>
      <c r="E40" s="106">
        <v>14867.0</v>
      </c>
      <c r="F40" s="106">
        <v>14867.0</v>
      </c>
      <c r="G40" s="106">
        <v>14867.0</v>
      </c>
      <c r="H40" s="106">
        <v>14867.0</v>
      </c>
      <c r="I40" s="106">
        <v>14867.0</v>
      </c>
      <c r="J40" s="106">
        <v>14867.0</v>
      </c>
      <c r="K40" s="106">
        <v>14867.0</v>
      </c>
      <c r="L40" s="106">
        <v>14867.0</v>
      </c>
      <c r="M40" s="106">
        <v>14867.0</v>
      </c>
      <c r="N40" s="106">
        <v>14867.0</v>
      </c>
      <c r="O40" s="106">
        <v>14867.0</v>
      </c>
      <c r="P40" s="106">
        <v>14867.0</v>
      </c>
      <c r="Q40" s="106">
        <v>14867.0</v>
      </c>
      <c r="R40" s="106">
        <v>14867.0</v>
      </c>
      <c r="S40" s="106">
        <v>14867.0</v>
      </c>
      <c r="T40" s="106">
        <v>14867.0</v>
      </c>
      <c r="U40" s="106">
        <v>14867.0</v>
      </c>
      <c r="V40" s="106">
        <v>14867.0</v>
      </c>
      <c r="W40" s="106">
        <v>14867.0</v>
      </c>
      <c r="X40" s="106">
        <v>14867.0</v>
      </c>
      <c r="Y40" s="106">
        <v>14867.0</v>
      </c>
      <c r="Z40" s="119">
        <v>178404.0</v>
      </c>
      <c r="AA40" s="119">
        <v>178404.0</v>
      </c>
    </row>
    <row r="41" ht="15.75" customHeight="1">
      <c r="A41" s="44" t="s">
        <v>206</v>
      </c>
      <c r="B41" s="105">
        <v>3.548210023866349</v>
      </c>
      <c r="C41" s="105">
        <v>2.25631919624225</v>
      </c>
      <c r="D41" s="105">
        <v>1.612804410798218</v>
      </c>
      <c r="E41" s="105">
        <v>1.234085814478232</v>
      </c>
      <c r="F41" s="105">
        <v>0.985111272264613</v>
      </c>
      <c r="G41" s="105">
        <v>0.8093266739120318</v>
      </c>
      <c r="H41" s="105">
        <v>0.6815370431451118</v>
      </c>
      <c r="I41" s="105">
        <v>0.5841450086490044</v>
      </c>
      <c r="J41" s="105">
        <v>0.5075436041878231</v>
      </c>
      <c r="K41" s="105">
        <v>0.4463237054127861</v>
      </c>
      <c r="L41" s="105">
        <v>0.396312594338048</v>
      </c>
      <c r="M41" s="105">
        <v>0.3547221820394196</v>
      </c>
      <c r="N41" s="105">
        <v>0.3196186330180177</v>
      </c>
      <c r="O41" s="105">
        <v>0.2896184314252626</v>
      </c>
      <c r="P41" s="105">
        <v>0.2637055904989049</v>
      </c>
      <c r="Q41" s="105">
        <v>0.2413266611779241</v>
      </c>
      <c r="R41" s="105">
        <v>0.2218140566876474</v>
      </c>
      <c r="S41" s="105">
        <v>0.2046585056808111</v>
      </c>
      <c r="T41" s="105">
        <v>0.1894647400235507</v>
      </c>
      <c r="U41" s="105">
        <v>0.1759212770452924</v>
      </c>
      <c r="V41" s="105">
        <v>0.1637793293483422</v>
      </c>
      <c r="W41" s="105">
        <v>0.1529442610761799</v>
      </c>
      <c r="X41" s="105">
        <v>0.1432179901551762</v>
      </c>
      <c r="Y41" s="105">
        <v>0.1344405842880888</v>
      </c>
      <c r="Z41" s="23"/>
      <c r="AA41" s="23"/>
    </row>
    <row r="42" ht="15.75" customHeight="1">
      <c r="A42" s="120" t="s">
        <v>207</v>
      </c>
      <c r="B42" s="106">
        <v>35118.4</v>
      </c>
      <c r="C42" s="106">
        <v>35262.343</v>
      </c>
      <c r="D42" s="106">
        <v>35420.086285</v>
      </c>
      <c r="E42" s="106">
        <v>35589.818453575</v>
      </c>
      <c r="F42" s="106">
        <v>35772.50176930713</v>
      </c>
      <c r="G42" s="106">
        <v>45969.17546110059</v>
      </c>
      <c r="H42" s="106">
        <v>46175.83568101239</v>
      </c>
      <c r="I42" s="106">
        <v>46394.05233596542</v>
      </c>
      <c r="J42" s="106">
        <v>46624.52387113107</v>
      </c>
      <c r="K42" s="106">
        <v>46865.59426954481</v>
      </c>
      <c r="L42" s="106">
        <v>47117.79902265009</v>
      </c>
      <c r="M42" s="106">
        <v>47381.70036317287</v>
      </c>
      <c r="N42" s="106">
        <v>47657.88860238544</v>
      </c>
      <c r="O42" s="106">
        <v>47946.98353423232</v>
      </c>
      <c r="P42" s="106">
        <v>48249.63590966117</v>
      </c>
      <c r="Q42" s="106">
        <v>48563.31766190282</v>
      </c>
      <c r="R42" s="106">
        <v>48888.47642633901</v>
      </c>
      <c r="S42" s="106">
        <v>49225.57770500489</v>
      </c>
      <c r="T42" s="106">
        <v>49575.10558148773</v>
      </c>
      <c r="U42" s="106">
        <v>49937.56346442018</v>
      </c>
      <c r="V42" s="106">
        <v>50313.4748607119</v>
      </c>
      <c r="W42" s="106">
        <v>50699.32083193821</v>
      </c>
      <c r="X42" s="106">
        <v>51095.40747194888</v>
      </c>
      <c r="Y42" s="106">
        <v>51502.05000906956</v>
      </c>
      <c r="Z42" s="119">
        <v>503691.8305124594</v>
      </c>
      <c r="AA42" s="119">
        <v>593654.8020591021</v>
      </c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118" t="s">
        <v>208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</row>
    <row r="45" ht="15.75" customHeight="1">
      <c r="A45" s="120" t="s">
        <v>209</v>
      </c>
      <c r="B45" s="106">
        <v>-32554.1</v>
      </c>
      <c r="C45" s="106">
        <v>-30370.9645</v>
      </c>
      <c r="D45" s="106">
        <v>-27978.5246775</v>
      </c>
      <c r="E45" s="106">
        <v>-25404.25345411251</v>
      </c>
      <c r="F45" s="106">
        <v>-22633.55649884194</v>
      </c>
      <c r="G45" s="106">
        <v>-29650.67217330773</v>
      </c>
      <c r="H45" s="106">
        <v>-26516.32550464549</v>
      </c>
      <c r="I45" s="106">
        <v>-23206.70623785787</v>
      </c>
      <c r="J45" s="106">
        <v>-19711.22128784539</v>
      </c>
      <c r="K45" s="106">
        <v>-16054.98691190372</v>
      </c>
      <c r="L45" s="106">
        <v>-12229.88148980697</v>
      </c>
      <c r="M45" s="106">
        <v>-8227.377825211537</v>
      </c>
      <c r="N45" s="106">
        <v>-4038.52286382085</v>
      </c>
      <c r="O45" s="106">
        <v>346.0836025234676</v>
      </c>
      <c r="P45" s="106">
        <v>4936.311296527805</v>
      </c>
      <c r="Q45" s="106">
        <v>9693.817872192878</v>
      </c>
      <c r="R45" s="106">
        <v>14625.39246614173</v>
      </c>
      <c r="S45" s="106">
        <v>19738.09519257415</v>
      </c>
      <c r="T45" s="106">
        <v>25039.26798589718</v>
      </c>
      <c r="U45" s="106">
        <v>30536.5458770394</v>
      </c>
      <c r="V45" s="106">
        <v>36237.86872079708</v>
      </c>
      <c r="W45" s="106">
        <v>42089.86595106281</v>
      </c>
      <c r="X45" s="106">
        <v>48097.17999122464</v>
      </c>
      <c r="Y45" s="106">
        <v>54264.59180422156</v>
      </c>
      <c r="Z45" s="119">
        <v>-274538.5705610331</v>
      </c>
      <c r="AA45" s="119">
        <v>281566.4978963818</v>
      </c>
    </row>
    <row r="46" ht="15.75" customHeight="1">
      <c r="A46" s="120" t="s">
        <v>210</v>
      </c>
      <c r="B46" s="105">
        <v>-7.769474940334129</v>
      </c>
      <c r="C46" s="105">
        <v>-4.609308549790941</v>
      </c>
      <c r="D46" s="105">
        <v>-3.035171050480849</v>
      </c>
      <c r="E46" s="105">
        <v>-2.108766315674304</v>
      </c>
      <c r="F46" s="105">
        <v>-1.499735766358189</v>
      </c>
      <c r="G46" s="105">
        <v>-1.61411716481329</v>
      </c>
      <c r="H46" s="105">
        <v>-1.21556858004368</v>
      </c>
      <c r="I46" s="105">
        <v>-0.9118236104142322</v>
      </c>
      <c r="J46" s="105">
        <v>-0.6729201786087841</v>
      </c>
      <c r="K46" s="105">
        <v>-0.48198838022968</v>
      </c>
      <c r="L46" s="105">
        <v>-0.3260143984443581</v>
      </c>
      <c r="M46" s="105">
        <v>-0.1963027789481248</v>
      </c>
      <c r="N46" s="105">
        <v>-0.08682230155017356</v>
      </c>
      <c r="O46" s="105">
        <v>0.006741924403366564</v>
      </c>
      <c r="P46" s="105">
        <v>0.08755854478625678</v>
      </c>
      <c r="Q46" s="105">
        <v>0.1573536490995625</v>
      </c>
      <c r="R46" s="105">
        <v>0.2182092980133082</v>
      </c>
      <c r="S46" s="105">
        <v>0.2717138001680116</v>
      </c>
      <c r="T46" s="105">
        <v>0.3190999125128152</v>
      </c>
      <c r="U46" s="105">
        <v>0.3613390830188289</v>
      </c>
      <c r="V46" s="105">
        <v>0.3992072264818332</v>
      </c>
      <c r="W46" s="105">
        <v>0.432999491940591</v>
      </c>
      <c r="X46" s="105">
        <v>0.4633336551069447</v>
      </c>
      <c r="Y46" s="105">
        <v>0.4907085106823289</v>
      </c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118" t="s">
        <v>211</v>
      </c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</row>
    <row r="49" ht="15.75" customHeight="1">
      <c r="A49" s="44" t="s">
        <v>212</v>
      </c>
      <c r="B49" s="106">
        <v>7251.4</v>
      </c>
      <c r="C49" s="106">
        <v>7395.343000000001</v>
      </c>
      <c r="D49" s="106">
        <v>3776.5431425</v>
      </c>
      <c r="E49" s="106">
        <v>7722.818453575001</v>
      </c>
      <c r="F49" s="106">
        <v>3952.750884653562</v>
      </c>
      <c r="G49" s="106">
        <v>8102.175461100589</v>
      </c>
      <c r="H49" s="106">
        <v>4154.417840506193</v>
      </c>
      <c r="I49" s="106">
        <v>4263.526167982708</v>
      </c>
      <c r="J49" s="106">
        <v>4378.761935565537</v>
      </c>
      <c r="K49" s="106">
        <v>4499.297134772405</v>
      </c>
      <c r="L49" s="106">
        <v>4625.399511325045</v>
      </c>
      <c r="M49" s="106">
        <v>4757.350181586433</v>
      </c>
      <c r="N49" s="106">
        <v>0.0</v>
      </c>
      <c r="O49" s="106">
        <v>5039.991767116158</v>
      </c>
      <c r="P49" s="106">
        <v>3460.878636553725</v>
      </c>
      <c r="Q49" s="106">
        <v>5348.158830951414</v>
      </c>
      <c r="R49" s="106">
        <v>5510.738213169507</v>
      </c>
      <c r="S49" s="106">
        <v>3786.192568334963</v>
      </c>
      <c r="T49" s="106">
        <v>3902.701860495908</v>
      </c>
      <c r="U49" s="106">
        <v>6035.281732210089</v>
      </c>
      <c r="V49" s="106">
        <v>4148.824953570632</v>
      </c>
      <c r="W49" s="106">
        <v>4277.440277312736</v>
      </c>
      <c r="X49" s="106">
        <v>4409.469157316293</v>
      </c>
      <c r="Y49" s="106">
        <v>4545.016669689851</v>
      </c>
      <c r="Z49" s="23"/>
      <c r="AA49" s="23"/>
    </row>
    <row r="50" ht="15.75" customHeight="1">
      <c r="A50" s="44" t="s">
        <v>113</v>
      </c>
      <c r="B50" s="44">
        <v>5.924300198884684</v>
      </c>
      <c r="C50" s="44">
        <v>4.981038044198583</v>
      </c>
      <c r="D50" s="44">
        <v>2.339063500151179</v>
      </c>
      <c r="E50" s="44">
        <v>4.567080710256894</v>
      </c>
      <c r="F50" s="44">
        <v>2.270110503548674</v>
      </c>
      <c r="G50" s="44">
        <v>4.560272684156318</v>
      </c>
      <c r="H50" s="44">
        <v>2.304843073703755</v>
      </c>
      <c r="I50" s="44">
        <v>2.339863722336843</v>
      </c>
      <c r="J50" s="44">
        <v>2.38289181961883</v>
      </c>
      <c r="K50" s="44">
        <v>2.432135726871515</v>
      </c>
      <c r="L50" s="44">
        <v>2.486735961825932</v>
      </c>
      <c r="M50" s="44">
        <v>2.546187635217266</v>
      </c>
      <c r="N50" s="44">
        <v>0.0</v>
      </c>
      <c r="O50" s="44">
        <v>2.435115145501942</v>
      </c>
      <c r="P50" s="44">
        <v>1.667519017815708</v>
      </c>
      <c r="Q50" s="44">
        <v>2.570694841000978</v>
      </c>
      <c r="R50" s="44">
        <v>2.64333866288065</v>
      </c>
      <c r="S50" s="44">
        <v>1.812813710886427</v>
      </c>
      <c r="T50" s="44">
        <v>1.865585426997267</v>
      </c>
      <c r="U50" s="44">
        <v>2.880869999516216</v>
      </c>
      <c r="V50" s="44">
        <v>1.977847805118005</v>
      </c>
      <c r="W50" s="44">
        <v>2.036826613954784</v>
      </c>
      <c r="X50" s="44">
        <v>2.097539634852226</v>
      </c>
      <c r="Y50" s="44">
        <v>2.160016329663276</v>
      </c>
      <c r="Z50" s="23"/>
      <c r="AA50" s="23"/>
    </row>
    <row r="51" ht="15.75" customHeight="1">
      <c r="A51" s="44" t="s">
        <v>213</v>
      </c>
      <c r="B51" s="106">
        <v>244801.9093078759</v>
      </c>
      <c r="C51" s="106">
        <v>296939.8319939901</v>
      </c>
      <c r="D51" s="106">
        <v>322910.6984274614</v>
      </c>
      <c r="E51" s="106">
        <v>338194.9627573189</v>
      </c>
      <c r="F51" s="106">
        <v>348243.0373741328</v>
      </c>
      <c r="G51" s="106">
        <v>355337.3239828332</v>
      </c>
      <c r="H51" s="106">
        <v>300412.1978270068</v>
      </c>
      <c r="I51" s="106">
        <v>303687.6412418218</v>
      </c>
      <c r="J51" s="106">
        <v>306263.86389808</v>
      </c>
      <c r="K51" s="106">
        <v>308322.7829394144</v>
      </c>
      <c r="L51" s="106">
        <v>310004.7332681539</v>
      </c>
      <c r="M51" s="106">
        <v>311403.4825887507</v>
      </c>
      <c r="N51" s="106">
        <v>343842.4756288037</v>
      </c>
      <c r="O51" s="106">
        <v>344952.3236731982</v>
      </c>
      <c r="P51" s="106">
        <v>345910.9610922806</v>
      </c>
      <c r="Q51" s="106">
        <v>346738.8625604006</v>
      </c>
      <c r="R51" s="106">
        <v>347460.7252408103</v>
      </c>
      <c r="S51" s="106">
        <v>348095.3894672017</v>
      </c>
      <c r="T51" s="106">
        <v>348657.4780601587</v>
      </c>
      <c r="U51" s="106">
        <v>349158.5142233418</v>
      </c>
      <c r="V51" s="106">
        <v>349607.7017684634</v>
      </c>
      <c r="W51" s="106">
        <v>350008.5417193404</v>
      </c>
      <c r="X51" s="106">
        <v>350368.3620601322</v>
      </c>
      <c r="Y51" s="106">
        <v>350693.0794359914</v>
      </c>
      <c r="Z51" s="23"/>
      <c r="AA51" s="23"/>
    </row>
    <row r="52" ht="15.75" customHeight="1">
      <c r="A52" s="120" t="s">
        <v>112</v>
      </c>
      <c r="B52" s="44">
        <v>33.75926156437046</v>
      </c>
      <c r="C52" s="44">
        <v>40.15227312566706</v>
      </c>
      <c r="D52" s="44">
        <v>85.50430545689483</v>
      </c>
      <c r="E52" s="44">
        <v>43.79165000321402</v>
      </c>
      <c r="F52" s="44">
        <v>88.10143809623217</v>
      </c>
      <c r="G52" s="44">
        <v>43.85702650958939</v>
      </c>
      <c r="H52" s="44">
        <v>72.31150292537816</v>
      </c>
      <c r="I52" s="44">
        <v>71.22921949497777</v>
      </c>
      <c r="J52" s="44">
        <v>69.94302691144696</v>
      </c>
      <c r="K52" s="44">
        <v>68.52687735525845</v>
      </c>
      <c r="L52" s="44">
        <v>67.02226099802272</v>
      </c>
      <c r="M52" s="44">
        <v>65.4573387920977</v>
      </c>
      <c r="N52" s="44">
        <v>0.0</v>
      </c>
      <c r="O52" s="44">
        <v>68.44303316601986</v>
      </c>
      <c r="P52" s="44">
        <v>99.9488850717782</v>
      </c>
      <c r="Q52" s="44">
        <v>64.8333143274874</v>
      </c>
      <c r="R52" s="44">
        <v>63.05157526997965</v>
      </c>
      <c r="S52" s="44">
        <v>91.93811016862304</v>
      </c>
      <c r="T52" s="44">
        <v>89.33746171834287</v>
      </c>
      <c r="U52" s="44">
        <v>57.85289398503055</v>
      </c>
      <c r="V52" s="44">
        <v>84.26667928411347</v>
      </c>
      <c r="W52" s="44">
        <v>81.8266343952861</v>
      </c>
      <c r="X52" s="44">
        <v>79.45817275505668</v>
      </c>
      <c r="Y52" s="44">
        <v>77.15991049597679</v>
      </c>
      <c r="Z52" s="23"/>
      <c r="AA52" s="23"/>
    </row>
    <row r="53" ht="15.75" customHeight="1">
      <c r="A53" s="120" t="s">
        <v>114</v>
      </c>
      <c r="B53" s="105">
        <v>1.0</v>
      </c>
      <c r="C53" s="105">
        <v>1.572565632458234</v>
      </c>
      <c r="D53" s="105">
        <v>1.399003612053331</v>
      </c>
      <c r="E53" s="105">
        <v>1.306881897414976</v>
      </c>
      <c r="F53" s="105">
        <v>1.252737481768193</v>
      </c>
      <c r="G53" s="105">
        <v>1.217198572614558</v>
      </c>
      <c r="H53" s="105">
        <v>1.187502105794874</v>
      </c>
      <c r="I53" s="105">
        <v>1.166725783930523</v>
      </c>
      <c r="J53" s="105">
        <v>1.150925760524083</v>
      </c>
      <c r="K53" s="105">
        <v>1.137164793248921</v>
      </c>
      <c r="L53" s="105">
        <v>1.12619107186909</v>
      </c>
      <c r="M53" s="105">
        <v>1.117247847483094</v>
      </c>
      <c r="N53" s="105">
        <v>1.109829482373836</v>
      </c>
      <c r="O53" s="105">
        <v>1.103585263704105</v>
      </c>
      <c r="P53" s="105">
        <v>1.09826428357978</v>
      </c>
      <c r="Q53" s="105">
        <v>1.092732933906881</v>
      </c>
      <c r="R53" s="105">
        <v>1.087968295524903</v>
      </c>
      <c r="S53" s="105">
        <v>1.083825252948892</v>
      </c>
      <c r="T53" s="105">
        <v>1.080193104296725</v>
      </c>
      <c r="U53" s="105">
        <v>1.07698592919361</v>
      </c>
      <c r="V53" s="105">
        <v>1.0741360203712</v>
      </c>
      <c r="W53" s="105">
        <v>1.070843248356769</v>
      </c>
      <c r="X53" s="105">
        <v>1.067912354519606</v>
      </c>
      <c r="Y53" s="105">
        <v>1.065288364473919</v>
      </c>
      <c r="Z53" s="23"/>
      <c r="AA53" s="23"/>
    </row>
    <row r="54" ht="15.75" customHeight="1">
      <c r="A54" s="44" t="s">
        <v>214</v>
      </c>
      <c r="B54" s="105">
        <v>0.995</v>
      </c>
      <c r="C54" s="105">
        <v>0.995</v>
      </c>
      <c r="D54" s="105">
        <v>0.995</v>
      </c>
      <c r="E54" s="105">
        <v>0.995</v>
      </c>
      <c r="F54" s="105">
        <v>0.995</v>
      </c>
      <c r="G54" s="105">
        <v>0.995</v>
      </c>
      <c r="H54" s="105">
        <v>0.994</v>
      </c>
      <c r="I54" s="105">
        <v>0.994</v>
      </c>
      <c r="J54" s="105">
        <v>0.994</v>
      </c>
      <c r="K54" s="105">
        <v>0.994</v>
      </c>
      <c r="L54" s="105">
        <v>0.994</v>
      </c>
      <c r="M54" s="105">
        <v>0.994</v>
      </c>
      <c r="N54" s="105">
        <v>0.994</v>
      </c>
      <c r="O54" s="105">
        <v>0.994</v>
      </c>
      <c r="P54" s="105">
        <v>0.994</v>
      </c>
      <c r="Q54" s="105">
        <v>0.994</v>
      </c>
      <c r="R54" s="105">
        <v>0.994</v>
      </c>
      <c r="S54" s="105">
        <v>0.994</v>
      </c>
      <c r="T54" s="105">
        <v>0.994</v>
      </c>
      <c r="U54" s="105">
        <v>0.994</v>
      </c>
      <c r="V54" s="105">
        <v>0.994</v>
      </c>
      <c r="W54" s="105">
        <v>0.994</v>
      </c>
      <c r="X54" s="105">
        <v>0.994</v>
      </c>
      <c r="Y54" s="105">
        <v>0.994</v>
      </c>
      <c r="Z54" s="23"/>
      <c r="AA54" s="23"/>
    </row>
    <row r="55" ht="15.75" customHeight="1">
      <c r="A55" s="120" t="s">
        <v>115</v>
      </c>
      <c r="B55" s="105">
        <v>-7.769474940334129</v>
      </c>
      <c r="C55" s="105">
        <v>2.261479039707866</v>
      </c>
      <c r="D55" s="105">
        <v>1.752872294159119</v>
      </c>
      <c r="E55" s="105">
        <v>1.573816453305405</v>
      </c>
      <c r="F55" s="105">
        <v>1.533114014860127</v>
      </c>
      <c r="G55" s="105">
        <v>0.9922657065614069</v>
      </c>
      <c r="H55" s="105">
        <v>1.034456689494804</v>
      </c>
      <c r="I55" s="105">
        <v>1.088885796752042</v>
      </c>
      <c r="J55" s="105">
        <v>1.138188947680212</v>
      </c>
      <c r="K55" s="105">
        <v>1.163989138757368</v>
      </c>
      <c r="L55" s="105">
        <v>1.18827846398472</v>
      </c>
      <c r="M55" s="105">
        <v>1.21067139084901</v>
      </c>
      <c r="N55" s="105">
        <v>1.231131486935857</v>
      </c>
      <c r="O55" s="105">
        <v>1.249765088852632</v>
      </c>
      <c r="P55" s="105">
        <v>1.266729947743614</v>
      </c>
      <c r="Q55" s="105">
        <v>1.270148855982139</v>
      </c>
      <c r="R55" s="105">
        <v>1.273828844312148</v>
      </c>
      <c r="S55" s="105">
        <v>1.277616835554718</v>
      </c>
      <c r="T55" s="105">
        <v>1.281417164073513</v>
      </c>
      <c r="U55" s="105">
        <v>1.285170233342149</v>
      </c>
      <c r="V55" s="105">
        <v>1.288839470936229</v>
      </c>
      <c r="W55" s="105">
        <v>1.283118472221819</v>
      </c>
      <c r="X55" s="105">
        <v>1.278281909342216</v>
      </c>
      <c r="Y55" s="105">
        <v>1.274168884369352</v>
      </c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118" t="s">
        <v>215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</row>
    <row r="58" ht="15.75" customHeight="1">
      <c r="A58" s="44" t="s">
        <v>216</v>
      </c>
      <c r="B58" s="106">
        <v>32554.1</v>
      </c>
      <c r="C58" s="106">
        <v>30370.9645</v>
      </c>
      <c r="D58" s="106">
        <v>27978.5246775</v>
      </c>
      <c r="E58" s="106">
        <v>25404.25345411251</v>
      </c>
      <c r="F58" s="106">
        <v>22633.55649884194</v>
      </c>
      <c r="G58" s="106">
        <v>29650.67217330773</v>
      </c>
      <c r="H58" s="106">
        <v>26516.32550464548</v>
      </c>
      <c r="I58" s="106">
        <v>23206.70623785787</v>
      </c>
      <c r="J58" s="106">
        <v>19711.22128784539</v>
      </c>
      <c r="K58" s="106">
        <v>16054.98691190372</v>
      </c>
      <c r="L58" s="106">
        <v>12229.88148980697</v>
      </c>
      <c r="M58" s="106">
        <v>8227.377825211537</v>
      </c>
      <c r="N58" s="106">
        <v>4038.52286382085</v>
      </c>
      <c r="O58" s="106">
        <v>-346.0836025234676</v>
      </c>
      <c r="P58" s="106">
        <v>-4936.311296527805</v>
      </c>
      <c r="Q58" s="106">
        <v>-9693.817872192878</v>
      </c>
      <c r="R58" s="106">
        <v>-14625.39246614173</v>
      </c>
      <c r="S58" s="106">
        <v>-19738.09519257415</v>
      </c>
      <c r="T58" s="106">
        <v>-25039.26798589718</v>
      </c>
      <c r="U58" s="106">
        <v>-30536.5458770394</v>
      </c>
      <c r="V58" s="106">
        <v>-36237.86872079708</v>
      </c>
      <c r="W58" s="106">
        <v>-42089.86595106281</v>
      </c>
      <c r="X58" s="106">
        <v>-48097.17999122465</v>
      </c>
      <c r="Y58" s="106">
        <v>-54264.59180422156</v>
      </c>
      <c r="Z58" s="23"/>
      <c r="AA58" s="23"/>
    </row>
    <row r="59" ht="15.75" customHeight="1">
      <c r="A59" s="120" t="s">
        <v>217</v>
      </c>
      <c r="B59" s="106">
        <v>967445.9</v>
      </c>
      <c r="C59" s="106">
        <v>937074.9355</v>
      </c>
      <c r="D59" s="106">
        <v>909096.4108225</v>
      </c>
      <c r="E59" s="106">
        <v>883692.1573683876</v>
      </c>
      <c r="F59" s="106">
        <v>861058.6008695456</v>
      </c>
      <c r="G59" s="106">
        <v>831407.9286962379</v>
      </c>
      <c r="H59" s="106">
        <v>804891.6031915924</v>
      </c>
      <c r="I59" s="106">
        <v>781684.8969537346</v>
      </c>
      <c r="J59" s="106">
        <v>761973.6756658892</v>
      </c>
      <c r="K59" s="106">
        <v>745918.6887539855</v>
      </c>
      <c r="L59" s="106">
        <v>733688.8072641785</v>
      </c>
      <c r="M59" s="106">
        <v>725461.429438967</v>
      </c>
      <c r="N59" s="106">
        <v>721422.9065751461</v>
      </c>
      <c r="O59" s="106">
        <v>721768.9901776696</v>
      </c>
      <c r="P59" s="106">
        <v>726705.3014741974</v>
      </c>
      <c r="Q59" s="106">
        <v>736399.1193463902</v>
      </c>
      <c r="R59" s="106">
        <v>751024.511812532</v>
      </c>
      <c r="S59" s="106">
        <v>770762.6070051062</v>
      </c>
      <c r="T59" s="106">
        <v>795801.8749910033</v>
      </c>
      <c r="U59" s="106">
        <v>826338.4208680427</v>
      </c>
      <c r="V59" s="106">
        <v>862576.2895888399</v>
      </c>
      <c r="W59" s="106">
        <v>904666.1555399026</v>
      </c>
      <c r="X59" s="106">
        <v>952763.3355311273</v>
      </c>
      <c r="Y59" s="106">
        <v>1007027.927335349</v>
      </c>
      <c r="Z59" s="23"/>
      <c r="AA59" s="23"/>
    </row>
    <row r="60" ht="15.75" customHeight="1">
      <c r="A60" s="44" t="s">
        <v>218</v>
      </c>
      <c r="B60" s="44">
        <v>29.7180969524576</v>
      </c>
      <c r="C60" s="44">
        <v>30.85430281609924</v>
      </c>
      <c r="D60" s="44">
        <v>32.49265003431667</v>
      </c>
      <c r="E60" s="44">
        <v>34.78520472820008</v>
      </c>
      <c r="F60" s="44">
        <v>38.04345114359743</v>
      </c>
      <c r="G60" s="44">
        <v>28.04010390849392</v>
      </c>
      <c r="H60" s="44">
        <v>30.35456790763037</v>
      </c>
      <c r="I60" s="44">
        <v>33.68357788226517</v>
      </c>
      <c r="J60" s="44">
        <v>38.6568475153667</v>
      </c>
      <c r="K60" s="44">
        <v>46.46024894613497</v>
      </c>
      <c r="L60" s="44">
        <v>59.99148952307295</v>
      </c>
      <c r="M60" s="44">
        <v>88.17650591126394</v>
      </c>
      <c r="N60" s="44">
        <v>178.6353404206327</v>
      </c>
      <c r="O60" s="44">
        <v>99.0</v>
      </c>
      <c r="P60" s="44">
        <v>99.0</v>
      </c>
      <c r="Q60" s="44">
        <v>99.0</v>
      </c>
      <c r="R60" s="44">
        <v>99.0</v>
      </c>
      <c r="S60" s="44">
        <v>99.0</v>
      </c>
      <c r="T60" s="44">
        <v>99.0</v>
      </c>
      <c r="U60" s="44">
        <v>99.0</v>
      </c>
      <c r="V60" s="44">
        <v>99.0</v>
      </c>
      <c r="W60" s="44">
        <v>99.0</v>
      </c>
      <c r="X60" s="44">
        <v>99.0</v>
      </c>
      <c r="Y60" s="44">
        <v>99.0</v>
      </c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109" t="s">
        <v>221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</sheetData>
  <mergeCells count="3">
    <mergeCell ref="A1:F1"/>
    <mergeCell ref="B4:M4"/>
    <mergeCell ref="N4:Y4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5" width="12.0"/>
    <col customWidth="1" min="26" max="27" width="14.0"/>
  </cols>
  <sheetData>
    <row r="1">
      <c r="A1" s="96" t="s">
        <v>222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115" t="s">
        <v>157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98" t="s">
        <v>87</v>
      </c>
      <c r="B4" s="98" t="s">
        <v>0</v>
      </c>
      <c r="N4" s="98" t="s">
        <v>1</v>
      </c>
      <c r="Z4" s="98" t="s">
        <v>158</v>
      </c>
      <c r="AA4" s="98" t="s">
        <v>159</v>
      </c>
    </row>
    <row r="5">
      <c r="A5" s="98" t="s">
        <v>52</v>
      </c>
      <c r="B5" s="117" t="s">
        <v>160</v>
      </c>
      <c r="C5" s="117" t="s">
        <v>161</v>
      </c>
      <c r="D5" s="117" t="s">
        <v>162</v>
      </c>
      <c r="E5" s="117" t="s">
        <v>163</v>
      </c>
      <c r="F5" s="117" t="s">
        <v>164</v>
      </c>
      <c r="G5" s="117" t="s">
        <v>165</v>
      </c>
      <c r="H5" s="117" t="s">
        <v>166</v>
      </c>
      <c r="I5" s="117" t="s">
        <v>167</v>
      </c>
      <c r="J5" s="117" t="s">
        <v>168</v>
      </c>
      <c r="K5" s="117" t="s">
        <v>169</v>
      </c>
      <c r="L5" s="117" t="s">
        <v>170</v>
      </c>
      <c r="M5" s="117" t="s">
        <v>171</v>
      </c>
      <c r="N5" s="117" t="s">
        <v>172</v>
      </c>
      <c r="O5" s="117" t="s">
        <v>173</v>
      </c>
      <c r="P5" s="117" t="s">
        <v>174</v>
      </c>
      <c r="Q5" s="117" t="s">
        <v>175</v>
      </c>
      <c r="R5" s="117" t="s">
        <v>176</v>
      </c>
      <c r="S5" s="117" t="s">
        <v>177</v>
      </c>
      <c r="T5" s="117" t="s">
        <v>178</v>
      </c>
      <c r="U5" s="117" t="s">
        <v>179</v>
      </c>
      <c r="V5" s="117" t="s">
        <v>180</v>
      </c>
      <c r="W5" s="117" t="s">
        <v>181</v>
      </c>
      <c r="X5" s="117" t="s">
        <v>182</v>
      </c>
      <c r="Y5" s="117" t="s">
        <v>183</v>
      </c>
      <c r="Z5" s="23"/>
      <c r="AA5" s="23"/>
    </row>
    <row r="6">
      <c r="A6" s="44" t="s">
        <v>184</v>
      </c>
      <c r="B6" s="44">
        <v>1.0</v>
      </c>
      <c r="C6" s="44">
        <v>2.0</v>
      </c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44">
        <v>9.0</v>
      </c>
      <c r="K6" s="44">
        <v>10.0</v>
      </c>
      <c r="L6" s="44">
        <v>11.0</v>
      </c>
      <c r="M6" s="44">
        <v>12.0</v>
      </c>
      <c r="N6" s="44">
        <v>13.0</v>
      </c>
      <c r="O6" s="44">
        <v>14.0</v>
      </c>
      <c r="P6" s="44">
        <v>15.0</v>
      </c>
      <c r="Q6" s="44">
        <v>16.0</v>
      </c>
      <c r="R6" s="44">
        <v>17.0</v>
      </c>
      <c r="S6" s="44">
        <v>18.0</v>
      </c>
      <c r="T6" s="44">
        <v>19.0</v>
      </c>
      <c r="U6" s="44">
        <v>20.0</v>
      </c>
      <c r="V6" s="44">
        <v>21.0</v>
      </c>
      <c r="W6" s="44">
        <v>22.0</v>
      </c>
      <c r="X6" s="44">
        <v>23.0</v>
      </c>
      <c r="Y6" s="44">
        <v>24.0</v>
      </c>
      <c r="Z6" s="23"/>
      <c r="AA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118" t="s">
        <v>54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</row>
    <row r="9">
      <c r="A9" s="44" t="s">
        <v>185</v>
      </c>
      <c r="B9" s="106">
        <v>3500.0</v>
      </c>
      <c r="C9" s="106">
        <v>3500.0</v>
      </c>
      <c r="D9" s="106">
        <v>3500.0</v>
      </c>
      <c r="E9" s="106">
        <v>3500.0</v>
      </c>
      <c r="F9" s="106">
        <v>3500.0</v>
      </c>
      <c r="G9" s="106">
        <v>3500.0</v>
      </c>
      <c r="H9" s="106">
        <v>3500.0</v>
      </c>
      <c r="I9" s="106">
        <v>3500.0</v>
      </c>
      <c r="J9" s="106">
        <v>3500.0</v>
      </c>
      <c r="K9" s="106">
        <v>3500.0</v>
      </c>
      <c r="L9" s="106">
        <v>3500.0</v>
      </c>
      <c r="M9" s="106">
        <v>3500.0</v>
      </c>
      <c r="N9" s="106">
        <v>4200.0</v>
      </c>
      <c r="O9" s="106">
        <v>4200.0</v>
      </c>
      <c r="P9" s="106">
        <v>4200.0</v>
      </c>
      <c r="Q9" s="106">
        <v>4200.0</v>
      </c>
      <c r="R9" s="106">
        <v>4200.0</v>
      </c>
      <c r="S9" s="106">
        <v>4200.0</v>
      </c>
      <c r="T9" s="106">
        <v>4200.0</v>
      </c>
      <c r="U9" s="106">
        <v>4200.0</v>
      </c>
      <c r="V9" s="106">
        <v>4200.0</v>
      </c>
      <c r="W9" s="106">
        <v>4200.0</v>
      </c>
      <c r="X9" s="106">
        <v>4200.0</v>
      </c>
      <c r="Y9" s="106">
        <v>4200.0</v>
      </c>
      <c r="Z9" s="23"/>
      <c r="AA9" s="23"/>
    </row>
    <row r="10">
      <c r="A10" s="44" t="s">
        <v>186</v>
      </c>
      <c r="B10" s="106">
        <v>4.0</v>
      </c>
      <c r="C10" s="106">
        <v>7.0</v>
      </c>
      <c r="D10" s="106">
        <v>10.0</v>
      </c>
      <c r="E10" s="106">
        <v>14.0</v>
      </c>
      <c r="F10" s="106">
        <v>18.0</v>
      </c>
      <c r="G10" s="106">
        <v>23.0</v>
      </c>
      <c r="H10" s="106">
        <v>29.0</v>
      </c>
      <c r="I10" s="106">
        <v>35.0</v>
      </c>
      <c r="J10" s="106">
        <v>42.0</v>
      </c>
      <c r="K10" s="106">
        <v>50.0</v>
      </c>
      <c r="L10" s="106">
        <v>59.0</v>
      </c>
      <c r="M10" s="106">
        <v>69.0</v>
      </c>
      <c r="N10" s="106">
        <v>66.0</v>
      </c>
      <c r="O10" s="106">
        <v>76.0</v>
      </c>
      <c r="P10" s="106">
        <v>87.0</v>
      </c>
      <c r="Q10" s="106">
        <v>98.0</v>
      </c>
      <c r="R10" s="106">
        <v>111.0</v>
      </c>
      <c r="S10" s="106">
        <v>125.0</v>
      </c>
      <c r="T10" s="106">
        <v>140.0</v>
      </c>
      <c r="U10" s="106">
        <v>156.0</v>
      </c>
      <c r="V10" s="106">
        <v>173.0</v>
      </c>
      <c r="W10" s="106">
        <v>192.0</v>
      </c>
      <c r="X10" s="106">
        <v>212.0</v>
      </c>
      <c r="Y10" s="106">
        <v>233.0</v>
      </c>
      <c r="Z10" s="23"/>
      <c r="AA10" s="23"/>
    </row>
    <row r="11">
      <c r="A11" s="44" t="s">
        <v>187</v>
      </c>
      <c r="B11" s="106">
        <v>2.0</v>
      </c>
      <c r="C11" s="106">
        <v>3.0</v>
      </c>
      <c r="D11" s="106">
        <v>3.0</v>
      </c>
      <c r="E11" s="106">
        <v>4.0</v>
      </c>
      <c r="F11" s="106">
        <v>4.0</v>
      </c>
      <c r="G11" s="106">
        <v>5.0</v>
      </c>
      <c r="H11" s="106">
        <v>6.0</v>
      </c>
      <c r="I11" s="106">
        <v>6.0</v>
      </c>
      <c r="J11" s="106">
        <v>7.0</v>
      </c>
      <c r="K11" s="106">
        <v>8.0</v>
      </c>
      <c r="L11" s="106">
        <v>9.0</v>
      </c>
      <c r="M11" s="106">
        <v>10.0</v>
      </c>
      <c r="N11" s="106">
        <v>0.0</v>
      </c>
      <c r="O11" s="106">
        <v>10.0</v>
      </c>
      <c r="P11" s="106">
        <v>11.0</v>
      </c>
      <c r="Q11" s="106">
        <v>11.0</v>
      </c>
      <c r="R11" s="106">
        <v>13.0</v>
      </c>
      <c r="S11" s="106">
        <v>14.0</v>
      </c>
      <c r="T11" s="106">
        <v>15.0</v>
      </c>
      <c r="U11" s="106">
        <v>16.0</v>
      </c>
      <c r="V11" s="106">
        <v>17.0</v>
      </c>
      <c r="W11" s="106">
        <v>19.0</v>
      </c>
      <c r="X11" s="106">
        <v>20.0</v>
      </c>
      <c r="Y11" s="106">
        <v>21.0</v>
      </c>
      <c r="Z11" s="23"/>
      <c r="AA11" s="23"/>
    </row>
    <row r="12">
      <c r="A12" s="44" t="s">
        <v>63</v>
      </c>
      <c r="B12" s="106">
        <v>15246.0</v>
      </c>
      <c r="C12" s="106">
        <v>24962.308</v>
      </c>
      <c r="D12" s="106">
        <v>36413.607384</v>
      </c>
      <c r="E12" s="106">
        <v>49567.187769232</v>
      </c>
      <c r="F12" s="106">
        <v>64678.42213369352</v>
      </c>
      <c r="G12" s="106">
        <v>82040.98934042612</v>
      </c>
      <c r="H12" s="106">
        <v>101560.7405500348</v>
      </c>
      <c r="I12" s="106">
        <v>123591.4961491066</v>
      </c>
      <c r="J12" s="106">
        <v>148459.766398075</v>
      </c>
      <c r="K12" s="106">
        <v>176029.7267574122</v>
      </c>
      <c r="L12" s="106">
        <v>206598.6645981099</v>
      </c>
      <c r="M12" s="106">
        <v>240496.5685975922</v>
      </c>
      <c r="N12" s="106">
        <v>277744.5488844037</v>
      </c>
      <c r="O12" s="106">
        <v>318677.7322296152</v>
      </c>
      <c r="P12" s="106">
        <v>363664.7577239775</v>
      </c>
      <c r="Q12" s="106">
        <v>412651.6974240514</v>
      </c>
      <c r="R12" s="106">
        <v>465998.6903626171</v>
      </c>
      <c r="S12" s="106">
        <v>524098.2876451426</v>
      </c>
      <c r="T12" s="106">
        <v>586783.3936041095</v>
      </c>
      <c r="U12" s="106">
        <v>654421.0363109518</v>
      </c>
      <c r="V12" s="106">
        <v>727407.6055206859</v>
      </c>
      <c r="W12" s="106">
        <v>805421.7032850975</v>
      </c>
      <c r="X12" s="106">
        <v>888815.501196884</v>
      </c>
      <c r="Y12" s="106">
        <v>977965.82212645</v>
      </c>
      <c r="Z12" s="119">
        <v>1269645.477677682</v>
      </c>
      <c r="AA12" s="119">
        <v>7003650.776313986</v>
      </c>
    </row>
    <row r="13">
      <c r="A13" s="44" t="s">
        <v>188</v>
      </c>
      <c r="B13" s="106">
        <v>14.0</v>
      </c>
      <c r="C13" s="106">
        <v>30.492</v>
      </c>
      <c r="D13" s="106">
        <v>49.924616</v>
      </c>
      <c r="E13" s="106">
        <v>72.827214768</v>
      </c>
      <c r="F13" s="106">
        <v>99.134375538464</v>
      </c>
      <c r="G13" s="106">
        <v>129.3568442673871</v>
      </c>
      <c r="H13" s="106">
        <v>246.1229680212784</v>
      </c>
      <c r="I13" s="106">
        <v>304.6822216501045</v>
      </c>
      <c r="J13" s="106">
        <v>370.7744884473198</v>
      </c>
      <c r="K13" s="106">
        <v>445.379299194225</v>
      </c>
      <c r="L13" s="106">
        <v>528.0891802722367</v>
      </c>
      <c r="M13" s="106">
        <v>619.7959937943297</v>
      </c>
      <c r="N13" s="106">
        <v>721.4897057927766</v>
      </c>
      <c r="O13" s="106">
        <v>833.2336466532109</v>
      </c>
      <c r="P13" s="106">
        <v>956.0331966888455</v>
      </c>
      <c r="Q13" s="106">
        <v>1090.994273171932</v>
      </c>
      <c r="R13" s="106">
        <v>1237.955092272154</v>
      </c>
      <c r="S13" s="106">
        <v>1397.996071087852</v>
      </c>
      <c r="T13" s="106">
        <v>1572.294862935428</v>
      </c>
      <c r="U13" s="106">
        <v>1760.350180812329</v>
      </c>
      <c r="V13" s="106">
        <v>1963.263108932855</v>
      </c>
      <c r="W13" s="106">
        <v>2182.222816562058</v>
      </c>
      <c r="X13" s="106">
        <v>2416.265109855292</v>
      </c>
      <c r="Y13" s="106">
        <v>2666.446503590652</v>
      </c>
      <c r="Z13" s="23"/>
      <c r="AA13" s="23"/>
    </row>
    <row r="14">
      <c r="A14" s="44" t="s">
        <v>66</v>
      </c>
      <c r="B14" s="106">
        <v>15232.0</v>
      </c>
      <c r="C14" s="106">
        <v>24931.816</v>
      </c>
      <c r="D14" s="106">
        <v>36363.68276800001</v>
      </c>
      <c r="E14" s="106">
        <v>49494.36055446399</v>
      </c>
      <c r="F14" s="106">
        <v>64579.28775815506</v>
      </c>
      <c r="G14" s="106">
        <v>81911.63249615874</v>
      </c>
      <c r="H14" s="106">
        <v>101314.6175820135</v>
      </c>
      <c r="I14" s="106">
        <v>123286.8139274565</v>
      </c>
      <c r="J14" s="106">
        <v>148088.9919096277</v>
      </c>
      <c r="K14" s="106">
        <v>175584.347458218</v>
      </c>
      <c r="L14" s="106">
        <v>206070.5754178377</v>
      </c>
      <c r="M14" s="106">
        <v>239876.7726037978</v>
      </c>
      <c r="N14" s="106">
        <v>277023.0591786109</v>
      </c>
      <c r="O14" s="106">
        <v>317844.498582962</v>
      </c>
      <c r="P14" s="106">
        <v>362708.7245272886</v>
      </c>
      <c r="Q14" s="106">
        <v>411560.7031508794</v>
      </c>
      <c r="R14" s="106">
        <v>464760.735270345</v>
      </c>
      <c r="S14" s="106">
        <v>522700.2915740547</v>
      </c>
      <c r="T14" s="106">
        <v>585211.0987411741</v>
      </c>
      <c r="U14" s="106">
        <v>652660.6861301395</v>
      </c>
      <c r="V14" s="106">
        <v>725444.342411753</v>
      </c>
      <c r="W14" s="106">
        <v>803239.4804685354</v>
      </c>
      <c r="X14" s="106">
        <v>886399.2360870286</v>
      </c>
      <c r="Y14" s="106">
        <v>975299.3756228593</v>
      </c>
      <c r="Z14" s="23"/>
      <c r="AA14" s="23"/>
    </row>
    <row r="15">
      <c r="A15" s="120" t="s">
        <v>189</v>
      </c>
      <c r="B15" s="106">
        <v>182952.0</v>
      </c>
      <c r="C15" s="106">
        <v>299547.696</v>
      </c>
      <c r="D15" s="106">
        <v>436963.288608</v>
      </c>
      <c r="E15" s="106">
        <v>594806.253230784</v>
      </c>
      <c r="F15" s="106">
        <v>776141.0656043222</v>
      </c>
      <c r="G15" s="106">
        <v>984491.8720851135</v>
      </c>
      <c r="H15" s="106">
        <v>1218728.886600418</v>
      </c>
      <c r="I15" s="106">
        <v>1483097.953789279</v>
      </c>
      <c r="J15" s="106">
        <v>1781517.1967769</v>
      </c>
      <c r="K15" s="106">
        <v>2112356.721088947</v>
      </c>
      <c r="L15" s="106">
        <v>2479183.975177319</v>
      </c>
      <c r="M15" s="106">
        <v>2885958.823171106</v>
      </c>
      <c r="N15" s="106">
        <v>3332934.586612844</v>
      </c>
      <c r="O15" s="106">
        <v>3824132.786755382</v>
      </c>
      <c r="P15" s="106">
        <v>4363977.09268773</v>
      </c>
      <c r="Q15" s="106">
        <v>4951820.369088616</v>
      </c>
      <c r="R15" s="106">
        <v>5591984.284351406</v>
      </c>
      <c r="S15" s="106">
        <v>6289179.451741711</v>
      </c>
      <c r="T15" s="106">
        <v>7041400.723249314</v>
      </c>
      <c r="U15" s="106">
        <v>7853052.435731422</v>
      </c>
      <c r="V15" s="106">
        <v>8728891.26624823</v>
      </c>
      <c r="W15" s="106">
        <v>9665060.43942117</v>
      </c>
      <c r="X15" s="106">
        <v>1.066578601436261E7</v>
      </c>
      <c r="Y15" s="106">
        <v>1.17355898655174E7</v>
      </c>
      <c r="Z15" s="23"/>
      <c r="AA15" s="23"/>
    </row>
    <row r="16">
      <c r="A16" s="44" t="s">
        <v>190</v>
      </c>
      <c r="B16" s="105">
        <v>0.0</v>
      </c>
      <c r="C16" s="105">
        <v>0.6373021120293848</v>
      </c>
      <c r="D16" s="105">
        <v>0.4587436139318528</v>
      </c>
      <c r="E16" s="105">
        <v>0.3612270612609402</v>
      </c>
      <c r="F16" s="105">
        <v>0.3048636617194081</v>
      </c>
      <c r="G16" s="105">
        <v>0.2684445079820177</v>
      </c>
      <c r="H16" s="105">
        <v>0.2379268139809017</v>
      </c>
      <c r="I16" s="105">
        <v>0.2169219668915089</v>
      </c>
      <c r="J16" s="105">
        <v>0.2012134412465252</v>
      </c>
      <c r="K16" s="105">
        <v>0.1857066128301189</v>
      </c>
      <c r="L16" s="105">
        <v>0.1736578156644243</v>
      </c>
      <c r="M16" s="105">
        <v>0.1640761040998152</v>
      </c>
      <c r="N16" s="105">
        <v>0.154879466696825</v>
      </c>
      <c r="O16" s="105">
        <v>0.1473770898821411</v>
      </c>
      <c r="P16" s="105">
        <v>0.1411677721553136</v>
      </c>
      <c r="Q16" s="105">
        <v>0.1347035660168508</v>
      </c>
      <c r="R16" s="105">
        <v>0.1292785011465615</v>
      </c>
      <c r="S16" s="105">
        <v>0.1246775977789019</v>
      </c>
      <c r="T16" s="105">
        <v>0.1196056301588413</v>
      </c>
      <c r="U16" s="105">
        <v>0.1152685018766499</v>
      </c>
      <c r="V16" s="105">
        <v>0.1115284582249494</v>
      </c>
      <c r="W16" s="105">
        <v>0.107249494193243</v>
      </c>
      <c r="X16" s="105">
        <v>0.1035405397838743</v>
      </c>
      <c r="Y16" s="105">
        <v>0.1003023921269552</v>
      </c>
      <c r="Z16" s="23"/>
      <c r="AA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118" t="s">
        <v>191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</row>
    <row r="19">
      <c r="A19" s="44" t="s">
        <v>192</v>
      </c>
      <c r="B19" s="106">
        <v>457.38</v>
      </c>
      <c r="C19" s="106">
        <v>748.86924</v>
      </c>
      <c r="D19" s="106">
        <v>1092.40822152</v>
      </c>
      <c r="E19" s="106">
        <v>1487.01563307696</v>
      </c>
      <c r="F19" s="106">
        <v>1940.352664010806</v>
      </c>
      <c r="G19" s="106">
        <v>2461.229680212783</v>
      </c>
      <c r="H19" s="106">
        <v>3046.822216501045</v>
      </c>
      <c r="I19" s="106">
        <v>3707.744884473198</v>
      </c>
      <c r="J19" s="106">
        <v>4453.79299194225</v>
      </c>
      <c r="K19" s="106">
        <v>5280.891802722366</v>
      </c>
      <c r="L19" s="106">
        <v>6197.959937943297</v>
      </c>
      <c r="M19" s="106">
        <v>7214.897057927765</v>
      </c>
      <c r="N19" s="106">
        <v>8332.33646653211</v>
      </c>
      <c r="O19" s="106">
        <v>9560.331966888454</v>
      </c>
      <c r="P19" s="106">
        <v>10909.94273171932</v>
      </c>
      <c r="Q19" s="106">
        <v>12379.55092272154</v>
      </c>
      <c r="R19" s="106">
        <v>13979.96071087851</v>
      </c>
      <c r="S19" s="106">
        <v>15722.94862935428</v>
      </c>
      <c r="T19" s="106">
        <v>17603.50180812328</v>
      </c>
      <c r="U19" s="106">
        <v>19632.63108932855</v>
      </c>
      <c r="V19" s="106">
        <v>21822.22816562058</v>
      </c>
      <c r="W19" s="106">
        <v>24162.65109855292</v>
      </c>
      <c r="X19" s="106">
        <v>26664.46503590652</v>
      </c>
      <c r="Y19" s="106">
        <v>29338.9746637935</v>
      </c>
      <c r="Z19" s="23"/>
      <c r="AA19" s="23"/>
    </row>
    <row r="20">
      <c r="A20" s="44" t="s">
        <v>41</v>
      </c>
      <c r="B20" s="106">
        <v>1500.0</v>
      </c>
      <c r="C20" s="106">
        <v>1500.0</v>
      </c>
      <c r="D20" s="106">
        <v>1500.0</v>
      </c>
      <c r="E20" s="106">
        <v>1500.0</v>
      </c>
      <c r="F20" s="106">
        <v>1500.0</v>
      </c>
      <c r="G20" s="106">
        <v>1500.0</v>
      </c>
      <c r="H20" s="106">
        <v>1500.0</v>
      </c>
      <c r="I20" s="106">
        <v>1500.0</v>
      </c>
      <c r="J20" s="106">
        <v>1500.0</v>
      </c>
      <c r="K20" s="106">
        <v>1500.0</v>
      </c>
      <c r="L20" s="106">
        <v>1500.0</v>
      </c>
      <c r="M20" s="106">
        <v>1500.0</v>
      </c>
      <c r="N20" s="106">
        <v>1500.0</v>
      </c>
      <c r="O20" s="106">
        <v>1500.0</v>
      </c>
      <c r="P20" s="106">
        <v>1500.0</v>
      </c>
      <c r="Q20" s="106">
        <v>1500.0</v>
      </c>
      <c r="R20" s="106">
        <v>1500.0</v>
      </c>
      <c r="S20" s="106">
        <v>1500.0</v>
      </c>
      <c r="T20" s="106">
        <v>1500.0</v>
      </c>
      <c r="U20" s="106">
        <v>1500.0</v>
      </c>
      <c r="V20" s="106">
        <v>1500.0</v>
      </c>
      <c r="W20" s="106">
        <v>1500.0</v>
      </c>
      <c r="X20" s="106">
        <v>1500.0</v>
      </c>
      <c r="Y20" s="106">
        <v>1500.0</v>
      </c>
      <c r="Z20" s="23"/>
      <c r="AA20" s="23"/>
    </row>
    <row r="21" ht="15.75" customHeight="1">
      <c r="A21" s="120" t="s">
        <v>193</v>
      </c>
      <c r="B21" s="106">
        <v>1957.38</v>
      </c>
      <c r="C21" s="106">
        <v>2248.86924</v>
      </c>
      <c r="D21" s="106">
        <v>2592.40822152</v>
      </c>
      <c r="E21" s="106">
        <v>2987.01563307696</v>
      </c>
      <c r="F21" s="106">
        <v>3440.352664010806</v>
      </c>
      <c r="G21" s="106">
        <v>3961.229680212783</v>
      </c>
      <c r="H21" s="106">
        <v>4546.822216501045</v>
      </c>
      <c r="I21" s="106">
        <v>5207.744884473198</v>
      </c>
      <c r="J21" s="106">
        <v>5953.79299194225</v>
      </c>
      <c r="K21" s="106">
        <v>6780.891802722366</v>
      </c>
      <c r="L21" s="106">
        <v>7697.959937943297</v>
      </c>
      <c r="M21" s="106">
        <v>8714.897057927765</v>
      </c>
      <c r="N21" s="106">
        <v>9832.33646653211</v>
      </c>
      <c r="O21" s="106">
        <v>11060.33196688845</v>
      </c>
      <c r="P21" s="106">
        <v>12409.94273171932</v>
      </c>
      <c r="Q21" s="106">
        <v>13879.55092272154</v>
      </c>
      <c r="R21" s="106">
        <v>15479.96071087851</v>
      </c>
      <c r="S21" s="106">
        <v>17222.94862935428</v>
      </c>
      <c r="T21" s="106">
        <v>19103.50180812328</v>
      </c>
      <c r="U21" s="106">
        <v>21132.63108932855</v>
      </c>
      <c r="V21" s="106">
        <v>23322.22816562058</v>
      </c>
      <c r="W21" s="106">
        <v>25662.65109855292</v>
      </c>
      <c r="X21" s="106">
        <v>28164.46503590652</v>
      </c>
      <c r="Y21" s="106">
        <v>30838.9746637935</v>
      </c>
      <c r="Z21" s="119">
        <v>56089.36433033047</v>
      </c>
      <c r="AA21" s="119">
        <v>228109.5232894196</v>
      </c>
    </row>
    <row r="22" ht="15.75" customHeight="1">
      <c r="A22" s="44" t="s">
        <v>194</v>
      </c>
      <c r="B22" s="105">
        <v>0.1283864620228257</v>
      </c>
      <c r="C22" s="105">
        <v>0.09009059739187578</v>
      </c>
      <c r="D22" s="105">
        <v>0.07119339191477893</v>
      </c>
      <c r="E22" s="105">
        <v>0.06026195488401502</v>
      </c>
      <c r="F22" s="105">
        <v>0.05319166037939864</v>
      </c>
      <c r="G22" s="105">
        <v>0.048283543531829</v>
      </c>
      <c r="H22" s="105">
        <v>0.04476948663308546</v>
      </c>
      <c r="I22" s="105">
        <v>0.04213675735578384</v>
      </c>
      <c r="J22" s="105">
        <v>0.0401037475431421</v>
      </c>
      <c r="K22" s="105">
        <v>0.03852128800987779</v>
      </c>
      <c r="L22" s="105">
        <v>0.03726045351221367</v>
      </c>
      <c r="M22" s="105">
        <v>0.03623709522654294</v>
      </c>
      <c r="N22" s="105">
        <v>0.03540064604696993</v>
      </c>
      <c r="O22" s="105">
        <v>0.03470694952391343</v>
      </c>
      <c r="P22" s="105">
        <v>0.03412467792971708</v>
      </c>
      <c r="Q22" s="105">
        <v>0.03363502685040106</v>
      </c>
      <c r="R22" s="105">
        <v>0.03321889316648674</v>
      </c>
      <c r="S22" s="105">
        <v>0.03286205857824825</v>
      </c>
      <c r="T22" s="105">
        <v>0.03255630956218235</v>
      </c>
      <c r="U22" s="105">
        <v>0.03229210235730758</v>
      </c>
      <c r="V22" s="105">
        <v>0.03206211756464422</v>
      </c>
      <c r="W22" s="105">
        <v>0.03186237842099598</v>
      </c>
      <c r="X22" s="105">
        <v>0.03168763933345007</v>
      </c>
      <c r="Y22" s="105">
        <v>0.03153379593239614</v>
      </c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118" t="s">
        <v>195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ht="15.75" customHeight="1">
      <c r="A25" s="120" t="s">
        <v>78</v>
      </c>
      <c r="B25" s="106">
        <v>13288.62</v>
      </c>
      <c r="C25" s="106">
        <v>22713.43876</v>
      </c>
      <c r="D25" s="106">
        <v>33821.19916248</v>
      </c>
      <c r="E25" s="106">
        <v>46580.17213615504</v>
      </c>
      <c r="F25" s="106">
        <v>61238.06946968272</v>
      </c>
      <c r="G25" s="106">
        <v>78079.75966021334</v>
      </c>
      <c r="H25" s="106">
        <v>97013.91833353377</v>
      </c>
      <c r="I25" s="106">
        <v>118383.7512646334</v>
      </c>
      <c r="J25" s="106">
        <v>142505.9734061327</v>
      </c>
      <c r="K25" s="106">
        <v>169248.8349546899</v>
      </c>
      <c r="L25" s="106">
        <v>198900.7046601666</v>
      </c>
      <c r="M25" s="106">
        <v>231781.6715396644</v>
      </c>
      <c r="N25" s="106">
        <v>267912.2124178716</v>
      </c>
      <c r="O25" s="106">
        <v>307617.4002627267</v>
      </c>
      <c r="P25" s="106">
        <v>351254.8149922582</v>
      </c>
      <c r="Q25" s="106">
        <v>398772.1465013298</v>
      </c>
      <c r="R25" s="106">
        <v>450518.7296517387</v>
      </c>
      <c r="S25" s="106">
        <v>506875.3390157883</v>
      </c>
      <c r="T25" s="106">
        <v>567679.8917959862</v>
      </c>
      <c r="U25" s="106">
        <v>633288.4052216233</v>
      </c>
      <c r="V25" s="106">
        <v>704085.3773550653</v>
      </c>
      <c r="W25" s="106">
        <v>779759.0521865445</v>
      </c>
      <c r="X25" s="106">
        <v>860651.0361609774</v>
      </c>
      <c r="Y25" s="106">
        <v>947126.8474626566</v>
      </c>
      <c r="Z25" s="23"/>
      <c r="AA25" s="23"/>
    </row>
    <row r="26" ht="15.75" customHeight="1">
      <c r="A26" s="120" t="s">
        <v>196</v>
      </c>
      <c r="B26" s="105">
        <v>0.8716135379771742</v>
      </c>
      <c r="C26" s="105">
        <v>0.9099094026081243</v>
      </c>
      <c r="D26" s="105">
        <v>0.928806608085221</v>
      </c>
      <c r="E26" s="105">
        <v>0.9397380451159849</v>
      </c>
      <c r="F26" s="105">
        <v>0.9468083396206014</v>
      </c>
      <c r="G26" s="105">
        <v>0.951716456468171</v>
      </c>
      <c r="H26" s="105">
        <v>0.9552305133669144</v>
      </c>
      <c r="I26" s="105">
        <v>0.9578632426442162</v>
      </c>
      <c r="J26" s="105">
        <v>0.9598962524568578</v>
      </c>
      <c r="K26" s="105">
        <v>0.9614787119901222</v>
      </c>
      <c r="L26" s="105">
        <v>0.9627395464877864</v>
      </c>
      <c r="M26" s="105">
        <v>0.963762904773457</v>
      </c>
      <c r="N26" s="105">
        <v>0.9645993539530302</v>
      </c>
      <c r="O26" s="105">
        <v>0.9652930504760866</v>
      </c>
      <c r="P26" s="105">
        <v>0.9658753220702828</v>
      </c>
      <c r="Q26" s="105">
        <v>0.9663649731495989</v>
      </c>
      <c r="R26" s="105">
        <v>0.9667811068335134</v>
      </c>
      <c r="S26" s="105">
        <v>0.9671379414217517</v>
      </c>
      <c r="T26" s="105">
        <v>0.9674436904378176</v>
      </c>
      <c r="U26" s="105">
        <v>0.9677078976426924</v>
      </c>
      <c r="V26" s="105">
        <v>0.9679378824353557</v>
      </c>
      <c r="W26" s="105">
        <v>0.968137621579004</v>
      </c>
      <c r="X26" s="105">
        <v>0.9683123606665499</v>
      </c>
      <c r="Y26" s="105">
        <v>0.9684662040676039</v>
      </c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118" t="s">
        <v>197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ht="15.75" customHeight="1">
      <c r="A29" s="44" t="s">
        <v>198</v>
      </c>
      <c r="B29" s="106">
        <v>10000.0</v>
      </c>
      <c r="C29" s="106">
        <v>10000.0</v>
      </c>
      <c r="D29" s="106">
        <v>10000.0</v>
      </c>
      <c r="E29" s="106">
        <v>10000.0</v>
      </c>
      <c r="F29" s="106">
        <v>10000.0</v>
      </c>
      <c r="G29" s="106">
        <v>10000.0</v>
      </c>
      <c r="H29" s="106">
        <v>10000.0</v>
      </c>
      <c r="I29" s="106">
        <v>10000.0</v>
      </c>
      <c r="J29" s="106">
        <v>10000.0</v>
      </c>
      <c r="K29" s="106">
        <v>10000.0</v>
      </c>
      <c r="L29" s="106">
        <v>10000.0</v>
      </c>
      <c r="M29" s="106">
        <v>10000.0</v>
      </c>
      <c r="N29" s="106">
        <v>10000.0</v>
      </c>
      <c r="O29" s="106">
        <v>10000.0</v>
      </c>
      <c r="P29" s="106">
        <v>10000.0</v>
      </c>
      <c r="Q29" s="106">
        <v>10000.0</v>
      </c>
      <c r="R29" s="106">
        <v>10000.0</v>
      </c>
      <c r="S29" s="106">
        <v>10000.0</v>
      </c>
      <c r="T29" s="106">
        <v>10000.0</v>
      </c>
      <c r="U29" s="106">
        <v>10000.0</v>
      </c>
      <c r="V29" s="106">
        <v>10000.0</v>
      </c>
      <c r="W29" s="106">
        <v>10000.0</v>
      </c>
      <c r="X29" s="106">
        <v>10000.0</v>
      </c>
      <c r="Y29" s="106">
        <v>10000.0</v>
      </c>
      <c r="Z29" s="23"/>
      <c r="AA29" s="23"/>
    </row>
    <row r="30" ht="15.75" customHeight="1">
      <c r="A30" s="44" t="s">
        <v>199</v>
      </c>
      <c r="B30" s="106">
        <v>10000.0</v>
      </c>
      <c r="C30" s="106">
        <v>10000.0</v>
      </c>
      <c r="D30" s="106">
        <v>10000.0</v>
      </c>
      <c r="E30" s="106">
        <v>10000.0</v>
      </c>
      <c r="F30" s="106">
        <v>10000.0</v>
      </c>
      <c r="G30" s="106">
        <v>10000.0</v>
      </c>
      <c r="H30" s="106">
        <v>10000.0</v>
      </c>
      <c r="I30" s="106">
        <v>10000.0</v>
      </c>
      <c r="J30" s="106">
        <v>10000.0</v>
      </c>
      <c r="K30" s="106">
        <v>10000.0</v>
      </c>
      <c r="L30" s="106">
        <v>10000.0</v>
      </c>
      <c r="M30" s="106">
        <v>10000.0</v>
      </c>
      <c r="N30" s="106">
        <v>10000.0</v>
      </c>
      <c r="O30" s="106">
        <v>10000.0</v>
      </c>
      <c r="P30" s="106">
        <v>10000.0</v>
      </c>
      <c r="Q30" s="106">
        <v>10000.0</v>
      </c>
      <c r="R30" s="106">
        <v>10000.0</v>
      </c>
      <c r="S30" s="106">
        <v>10000.0</v>
      </c>
      <c r="T30" s="106">
        <v>10000.0</v>
      </c>
      <c r="U30" s="106">
        <v>10000.0</v>
      </c>
      <c r="V30" s="106">
        <v>10000.0</v>
      </c>
      <c r="W30" s="106">
        <v>10000.0</v>
      </c>
      <c r="X30" s="106">
        <v>10000.0</v>
      </c>
      <c r="Y30" s="106">
        <v>10000.0</v>
      </c>
      <c r="Z30" s="23"/>
      <c r="AA30" s="23"/>
    </row>
    <row r="31" ht="15.75" customHeight="1">
      <c r="A31" s="44" t="s">
        <v>200</v>
      </c>
      <c r="B31" s="106">
        <v>7000.0</v>
      </c>
      <c r="C31" s="106">
        <v>7000.0</v>
      </c>
      <c r="D31" s="106">
        <v>7000.0</v>
      </c>
      <c r="E31" s="106">
        <v>7000.0</v>
      </c>
      <c r="F31" s="106">
        <v>7000.0</v>
      </c>
      <c r="G31" s="106">
        <v>7000.0</v>
      </c>
      <c r="H31" s="106">
        <v>7000.0</v>
      </c>
      <c r="I31" s="106">
        <v>7000.0</v>
      </c>
      <c r="J31" s="106">
        <v>7000.0</v>
      </c>
      <c r="K31" s="106">
        <v>7000.0</v>
      </c>
      <c r="L31" s="106">
        <v>7000.0</v>
      </c>
      <c r="M31" s="106">
        <v>7000.0</v>
      </c>
      <c r="N31" s="106">
        <v>7000.0</v>
      </c>
      <c r="O31" s="106">
        <v>7000.0</v>
      </c>
      <c r="P31" s="106">
        <v>7000.0</v>
      </c>
      <c r="Q31" s="106">
        <v>7000.0</v>
      </c>
      <c r="R31" s="106">
        <v>7000.0</v>
      </c>
      <c r="S31" s="106">
        <v>7000.0</v>
      </c>
      <c r="T31" s="106">
        <v>7000.0</v>
      </c>
      <c r="U31" s="106">
        <v>7000.0</v>
      </c>
      <c r="V31" s="106">
        <v>7000.0</v>
      </c>
      <c r="W31" s="106">
        <v>7000.0</v>
      </c>
      <c r="X31" s="106">
        <v>7000.0</v>
      </c>
      <c r="Y31" s="106">
        <v>7000.0</v>
      </c>
      <c r="Z31" s="23"/>
      <c r="AA31" s="23"/>
    </row>
    <row r="32" ht="15.75" customHeight="1">
      <c r="A32" s="44" t="s">
        <v>201</v>
      </c>
      <c r="B32" s="106">
        <v>0.0</v>
      </c>
      <c r="C32" s="106">
        <v>0.0</v>
      </c>
      <c r="D32" s="106">
        <v>10000.0</v>
      </c>
      <c r="E32" s="106">
        <v>10000.0</v>
      </c>
      <c r="F32" s="106">
        <v>10000.0</v>
      </c>
      <c r="G32" s="106">
        <v>10000.0</v>
      </c>
      <c r="H32" s="106">
        <v>10000.0</v>
      </c>
      <c r="I32" s="106">
        <v>10000.0</v>
      </c>
      <c r="J32" s="106">
        <v>10000.0</v>
      </c>
      <c r="K32" s="106">
        <v>10000.0</v>
      </c>
      <c r="L32" s="106">
        <v>10000.0</v>
      </c>
      <c r="M32" s="106">
        <v>10000.0</v>
      </c>
      <c r="N32" s="106">
        <v>10000.0</v>
      </c>
      <c r="O32" s="106">
        <v>10000.0</v>
      </c>
      <c r="P32" s="106">
        <v>10000.0</v>
      </c>
      <c r="Q32" s="106">
        <v>10000.0</v>
      </c>
      <c r="R32" s="106">
        <v>10000.0</v>
      </c>
      <c r="S32" s="106">
        <v>10000.0</v>
      </c>
      <c r="T32" s="106">
        <v>10000.0</v>
      </c>
      <c r="U32" s="106">
        <v>10000.0</v>
      </c>
      <c r="V32" s="106">
        <v>10000.0</v>
      </c>
      <c r="W32" s="106">
        <v>10000.0</v>
      </c>
      <c r="X32" s="106">
        <v>10000.0</v>
      </c>
      <c r="Y32" s="106">
        <v>10000.0</v>
      </c>
      <c r="Z32" s="23"/>
      <c r="AA32" s="23"/>
    </row>
    <row r="33" ht="15.75" customHeight="1">
      <c r="A33" s="44" t="s">
        <v>202</v>
      </c>
      <c r="B33" s="106">
        <v>0.0</v>
      </c>
      <c r="C33" s="106">
        <v>0.0</v>
      </c>
      <c r="D33" s="106">
        <v>0.0</v>
      </c>
      <c r="E33" s="106">
        <v>0.0</v>
      </c>
      <c r="F33" s="106">
        <v>0.0</v>
      </c>
      <c r="G33" s="106">
        <v>0.0</v>
      </c>
      <c r="H33" s="106">
        <v>10000.0</v>
      </c>
      <c r="I33" s="106">
        <v>10000.0</v>
      </c>
      <c r="J33" s="106">
        <v>10000.0</v>
      </c>
      <c r="K33" s="106">
        <v>10000.0</v>
      </c>
      <c r="L33" s="106">
        <v>10000.0</v>
      </c>
      <c r="M33" s="106">
        <v>10000.0</v>
      </c>
      <c r="N33" s="106">
        <v>10000.0</v>
      </c>
      <c r="O33" s="106">
        <v>10000.0</v>
      </c>
      <c r="P33" s="106">
        <v>10000.0</v>
      </c>
      <c r="Q33" s="106">
        <v>10000.0</v>
      </c>
      <c r="R33" s="106">
        <v>10000.0</v>
      </c>
      <c r="S33" s="106">
        <v>10000.0</v>
      </c>
      <c r="T33" s="106">
        <v>10000.0</v>
      </c>
      <c r="U33" s="106">
        <v>10000.0</v>
      </c>
      <c r="V33" s="106">
        <v>10000.0</v>
      </c>
      <c r="W33" s="106">
        <v>10000.0</v>
      </c>
      <c r="X33" s="106">
        <v>10000.0</v>
      </c>
      <c r="Y33" s="106">
        <v>10000.0</v>
      </c>
      <c r="Z33" s="23"/>
      <c r="AA33" s="23"/>
    </row>
    <row r="34" ht="15.75" customHeight="1">
      <c r="A34" s="44" t="s">
        <v>223</v>
      </c>
      <c r="B34" s="106">
        <v>0.0</v>
      </c>
      <c r="C34" s="106">
        <v>0.0</v>
      </c>
      <c r="D34" s="106">
        <v>0.0</v>
      </c>
      <c r="E34" s="106">
        <v>0.0</v>
      </c>
      <c r="F34" s="106">
        <v>0.0</v>
      </c>
      <c r="G34" s="106">
        <v>0.0</v>
      </c>
      <c r="H34" s="106">
        <v>0.0</v>
      </c>
      <c r="I34" s="106">
        <v>0.0</v>
      </c>
      <c r="J34" s="106">
        <v>6000.0</v>
      </c>
      <c r="K34" s="106">
        <v>6000.0</v>
      </c>
      <c r="L34" s="106">
        <v>6000.0</v>
      </c>
      <c r="M34" s="106">
        <v>6000.0</v>
      </c>
      <c r="N34" s="106">
        <v>6000.0</v>
      </c>
      <c r="O34" s="106">
        <v>6000.0</v>
      </c>
      <c r="P34" s="106">
        <v>6000.0</v>
      </c>
      <c r="Q34" s="106">
        <v>6000.0</v>
      </c>
      <c r="R34" s="106">
        <v>6000.0</v>
      </c>
      <c r="S34" s="106">
        <v>6000.0</v>
      </c>
      <c r="T34" s="106">
        <v>6000.0</v>
      </c>
      <c r="U34" s="106">
        <v>6000.0</v>
      </c>
      <c r="V34" s="106">
        <v>6000.0</v>
      </c>
      <c r="W34" s="106">
        <v>6000.0</v>
      </c>
      <c r="X34" s="106">
        <v>6000.0</v>
      </c>
      <c r="Y34" s="106">
        <v>6000.0</v>
      </c>
      <c r="Z34" s="23"/>
      <c r="AA34" s="23"/>
    </row>
    <row r="35" ht="15.75" customHeight="1">
      <c r="A35" s="120" t="s">
        <v>68</v>
      </c>
      <c r="B35" s="106">
        <v>27000.0</v>
      </c>
      <c r="C35" s="106">
        <v>27000.0</v>
      </c>
      <c r="D35" s="106">
        <v>37000.0</v>
      </c>
      <c r="E35" s="106">
        <v>37000.0</v>
      </c>
      <c r="F35" s="106">
        <v>37000.0</v>
      </c>
      <c r="G35" s="106">
        <v>37000.0</v>
      </c>
      <c r="H35" s="106">
        <v>47000.0</v>
      </c>
      <c r="I35" s="106">
        <v>47000.0</v>
      </c>
      <c r="J35" s="106">
        <v>53000.0</v>
      </c>
      <c r="K35" s="106">
        <v>53000.0</v>
      </c>
      <c r="L35" s="106">
        <v>53000.0</v>
      </c>
      <c r="M35" s="106">
        <v>53000.0</v>
      </c>
      <c r="N35" s="106">
        <v>53000.0</v>
      </c>
      <c r="O35" s="106">
        <v>53000.0</v>
      </c>
      <c r="P35" s="106">
        <v>53000.0</v>
      </c>
      <c r="Q35" s="106">
        <v>53000.0</v>
      </c>
      <c r="R35" s="106">
        <v>53000.0</v>
      </c>
      <c r="S35" s="106">
        <v>53000.0</v>
      </c>
      <c r="T35" s="106">
        <v>53000.0</v>
      </c>
      <c r="U35" s="106">
        <v>53000.0</v>
      </c>
      <c r="V35" s="106">
        <v>53000.0</v>
      </c>
      <c r="W35" s="106">
        <v>53000.0</v>
      </c>
      <c r="X35" s="106">
        <v>53000.0</v>
      </c>
      <c r="Y35" s="106">
        <v>53000.0</v>
      </c>
      <c r="Z35" s="119">
        <v>508000.0</v>
      </c>
      <c r="AA35" s="119">
        <v>636000.0</v>
      </c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118" t="s">
        <v>203</v>
      </c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ht="15.75" customHeight="1">
      <c r="A38" s="44" t="s">
        <v>8</v>
      </c>
      <c r="B38" s="106">
        <v>7914.76</v>
      </c>
      <c r="C38" s="106">
        <v>8497.73848</v>
      </c>
      <c r="D38" s="106">
        <v>9184.81644304</v>
      </c>
      <c r="E38" s="106">
        <v>9974.031266153921</v>
      </c>
      <c r="F38" s="106">
        <v>10880.70532802161</v>
      </c>
      <c r="G38" s="106">
        <v>11922.45936042557</v>
      </c>
      <c r="H38" s="106">
        <v>13093.64443300209</v>
      </c>
      <c r="I38" s="106">
        <v>14415.4897689464</v>
      </c>
      <c r="J38" s="106">
        <v>21907.5859838845</v>
      </c>
      <c r="K38" s="106">
        <v>23561.78360544473</v>
      </c>
      <c r="L38" s="106">
        <v>25395.9198758866</v>
      </c>
      <c r="M38" s="106">
        <v>27429.79411585553</v>
      </c>
      <c r="N38" s="106">
        <v>29664.67293306422</v>
      </c>
      <c r="O38" s="106">
        <v>32120.66393377691</v>
      </c>
      <c r="P38" s="106">
        <v>34819.88546343865</v>
      </c>
      <c r="Q38" s="106">
        <v>37759.10184544308</v>
      </c>
      <c r="R38" s="106">
        <v>40959.92142175703</v>
      </c>
      <c r="S38" s="106">
        <v>44445.89725870856</v>
      </c>
      <c r="T38" s="106">
        <v>48207.00361624657</v>
      </c>
      <c r="U38" s="106">
        <v>52265.26217865711</v>
      </c>
      <c r="V38" s="106">
        <v>56644.45633124115</v>
      </c>
      <c r="W38" s="106">
        <v>61325.30219710586</v>
      </c>
      <c r="X38" s="106">
        <v>66328.93007181304</v>
      </c>
      <c r="Y38" s="106">
        <v>71677.949327587</v>
      </c>
      <c r="Z38" s="119">
        <v>184178.7286606609</v>
      </c>
      <c r="AA38" s="119">
        <v>576219.0465788392</v>
      </c>
    </row>
    <row r="39" ht="15.75" customHeight="1">
      <c r="A39" s="44" t="s">
        <v>204</v>
      </c>
      <c r="B39" s="105">
        <v>0.5191368227731864</v>
      </c>
      <c r="C39" s="105">
        <v>0.3404227878287536</v>
      </c>
      <c r="D39" s="105">
        <v>0.252235828935635</v>
      </c>
      <c r="E39" s="105">
        <v>0.2012224561254035</v>
      </c>
      <c r="F39" s="105">
        <v>0.1682277484371937</v>
      </c>
      <c r="G39" s="105">
        <v>0.1453232031485353</v>
      </c>
      <c r="H39" s="105">
        <v>0.1289242709543988</v>
      </c>
      <c r="I39" s="105">
        <v>0.1166382009936579</v>
      </c>
      <c r="J39" s="105">
        <v>0.1475658120405648</v>
      </c>
      <c r="K39" s="105">
        <v>0.1338511627522742</v>
      </c>
      <c r="L39" s="105">
        <v>0.1229239304391851</v>
      </c>
      <c r="M39" s="105">
        <v>0.1140548252967055</v>
      </c>
      <c r="N39" s="105">
        <v>0.1068055990737394</v>
      </c>
      <c r="O39" s="105">
        <v>0.1007935625405831</v>
      </c>
      <c r="P39" s="105">
        <v>0.09574720872421472</v>
      </c>
      <c r="Q39" s="105">
        <v>0.09150356603680918</v>
      </c>
      <c r="R39" s="105">
        <v>0.08789707410955176</v>
      </c>
      <c r="S39" s="105">
        <v>0.08480450767815152</v>
      </c>
      <c r="T39" s="105">
        <v>0.0821546828722471</v>
      </c>
      <c r="U39" s="105">
        <v>0.07986488709666567</v>
      </c>
      <c r="V39" s="105">
        <v>0.0778716855602499</v>
      </c>
      <c r="W39" s="105">
        <v>0.07614061298196524</v>
      </c>
      <c r="X39" s="105">
        <v>0.07462620755656728</v>
      </c>
      <c r="Y39" s="105">
        <v>0.07329289808076658</v>
      </c>
      <c r="Z39" s="23"/>
      <c r="AA39" s="23"/>
    </row>
    <row r="40" ht="15.75" customHeight="1">
      <c r="A40" s="44" t="s">
        <v>9</v>
      </c>
      <c r="B40" s="106">
        <v>13000.0</v>
      </c>
      <c r="C40" s="106">
        <v>13000.0</v>
      </c>
      <c r="D40" s="106">
        <v>23000.0</v>
      </c>
      <c r="E40" s="106">
        <v>23000.0</v>
      </c>
      <c r="F40" s="106">
        <v>23000.0</v>
      </c>
      <c r="G40" s="106">
        <v>23000.0</v>
      </c>
      <c r="H40" s="106">
        <v>33000.0</v>
      </c>
      <c r="I40" s="106">
        <v>33000.0</v>
      </c>
      <c r="J40" s="106">
        <v>33000.0</v>
      </c>
      <c r="K40" s="106">
        <v>33000.0</v>
      </c>
      <c r="L40" s="106">
        <v>33000.0</v>
      </c>
      <c r="M40" s="106">
        <v>33000.0</v>
      </c>
      <c r="N40" s="106">
        <v>33000.0</v>
      </c>
      <c r="O40" s="106">
        <v>33000.0</v>
      </c>
      <c r="P40" s="106">
        <v>33000.0</v>
      </c>
      <c r="Q40" s="106">
        <v>33000.0</v>
      </c>
      <c r="R40" s="106">
        <v>33000.0</v>
      </c>
      <c r="S40" s="106">
        <v>33000.0</v>
      </c>
      <c r="T40" s="106">
        <v>33000.0</v>
      </c>
      <c r="U40" s="106">
        <v>33000.0</v>
      </c>
      <c r="V40" s="106">
        <v>33000.0</v>
      </c>
      <c r="W40" s="106">
        <v>33000.0</v>
      </c>
      <c r="X40" s="106">
        <v>33000.0</v>
      </c>
      <c r="Y40" s="106">
        <v>33000.0</v>
      </c>
      <c r="Z40" s="119">
        <v>316000.0</v>
      </c>
      <c r="AA40" s="119">
        <v>396000.0</v>
      </c>
    </row>
    <row r="41" ht="15.75" customHeight="1">
      <c r="A41" s="44" t="s">
        <v>205</v>
      </c>
      <c r="B41" s="105">
        <v>0.852682670864489</v>
      </c>
      <c r="C41" s="105">
        <v>0.5207851773962567</v>
      </c>
      <c r="D41" s="105">
        <v>0.6316320093599436</v>
      </c>
      <c r="E41" s="105">
        <v>0.464016641554897</v>
      </c>
      <c r="F41" s="105">
        <v>0.3556054591507791</v>
      </c>
      <c r="G41" s="105">
        <v>0.2803476674880447</v>
      </c>
      <c r="H41" s="105">
        <v>0.3249287059278801</v>
      </c>
      <c r="I41" s="105">
        <v>0.2670086618272445</v>
      </c>
      <c r="J41" s="105">
        <v>0.2222824459491261</v>
      </c>
      <c r="K41" s="105">
        <v>0.1874683362173113</v>
      </c>
      <c r="L41" s="105">
        <v>0.1597299772687006</v>
      </c>
      <c r="M41" s="105">
        <v>0.1372160949839448</v>
      </c>
      <c r="N41" s="105">
        <v>0.1188142130333384</v>
      </c>
      <c r="O41" s="105">
        <v>0.1035528895260956</v>
      </c>
      <c r="P41" s="105">
        <v>0.09074291445377582</v>
      </c>
      <c r="Q41" s="105">
        <v>0.07997059070882329</v>
      </c>
      <c r="R41" s="105">
        <v>0.07081564966270834</v>
      </c>
      <c r="S41" s="105">
        <v>0.06296528872146154</v>
      </c>
      <c r="T41" s="105">
        <v>0.0562388103680119</v>
      </c>
      <c r="U41" s="105">
        <v>0.05042625186076669</v>
      </c>
      <c r="V41" s="105">
        <v>0.04536658642217283</v>
      </c>
      <c r="W41" s="105">
        <v>0.04097232526191176</v>
      </c>
      <c r="X41" s="105">
        <v>0.03712806533590156</v>
      </c>
      <c r="Y41" s="105">
        <v>0.03374351051271517</v>
      </c>
      <c r="Z41" s="23"/>
      <c r="AA41" s="23"/>
    </row>
    <row r="42" ht="15.75" customHeight="1">
      <c r="A42" s="44" t="s">
        <v>10</v>
      </c>
      <c r="B42" s="106">
        <v>14867.0</v>
      </c>
      <c r="C42" s="106">
        <v>14867.0</v>
      </c>
      <c r="D42" s="106">
        <v>14867.0</v>
      </c>
      <c r="E42" s="106">
        <v>14867.0</v>
      </c>
      <c r="F42" s="106">
        <v>14867.0</v>
      </c>
      <c r="G42" s="106">
        <v>14867.0</v>
      </c>
      <c r="H42" s="106">
        <v>14867.0</v>
      </c>
      <c r="I42" s="106">
        <v>14867.0</v>
      </c>
      <c r="J42" s="106">
        <v>14867.0</v>
      </c>
      <c r="K42" s="106">
        <v>14867.0</v>
      </c>
      <c r="L42" s="106">
        <v>14867.0</v>
      </c>
      <c r="M42" s="106">
        <v>14867.0</v>
      </c>
      <c r="N42" s="106">
        <v>14867.0</v>
      </c>
      <c r="O42" s="106">
        <v>14867.0</v>
      </c>
      <c r="P42" s="106">
        <v>14867.0</v>
      </c>
      <c r="Q42" s="106">
        <v>14867.0</v>
      </c>
      <c r="R42" s="106">
        <v>14867.0</v>
      </c>
      <c r="S42" s="106">
        <v>14867.0</v>
      </c>
      <c r="T42" s="106">
        <v>14867.0</v>
      </c>
      <c r="U42" s="106">
        <v>14867.0</v>
      </c>
      <c r="V42" s="106">
        <v>14867.0</v>
      </c>
      <c r="W42" s="106">
        <v>14867.0</v>
      </c>
      <c r="X42" s="106">
        <v>14867.0</v>
      </c>
      <c r="Y42" s="106">
        <v>14867.0</v>
      </c>
      <c r="Z42" s="119">
        <v>178404.0</v>
      </c>
      <c r="AA42" s="119">
        <v>178404.0</v>
      </c>
    </row>
    <row r="43" ht="15.75" customHeight="1">
      <c r="A43" s="44" t="s">
        <v>206</v>
      </c>
      <c r="B43" s="105">
        <v>0.9751410205955661</v>
      </c>
      <c r="C43" s="105">
        <v>0.5955779409500115</v>
      </c>
      <c r="D43" s="105">
        <v>0.4082814383980122</v>
      </c>
      <c r="E43" s="105">
        <v>0.2999363221737676</v>
      </c>
      <c r="F43" s="105">
        <v>0.2298602765736797</v>
      </c>
      <c r="G43" s="105">
        <v>0.1812142944584678</v>
      </c>
      <c r="H43" s="105">
        <v>0.1463853051827211</v>
      </c>
      <c r="I43" s="105">
        <v>0.1202914477389589</v>
      </c>
      <c r="J43" s="105">
        <v>0.100141609815929</v>
      </c>
      <c r="K43" s="105">
        <v>0.08445732589523539</v>
      </c>
      <c r="L43" s="105">
        <v>0.07196077491072037</v>
      </c>
      <c r="M43" s="105">
        <v>0.0618179298220093</v>
      </c>
      <c r="N43" s="105">
        <v>0.05352760318686792</v>
      </c>
      <c r="O43" s="105">
        <v>0.04665214571468069</v>
      </c>
      <c r="P43" s="105">
        <v>0.04088105785406924</v>
      </c>
      <c r="Q43" s="105">
        <v>0.03602796278994169</v>
      </c>
      <c r="R43" s="105">
        <v>0.03190352313743894</v>
      </c>
      <c r="S43" s="105">
        <v>0.0283668165885445</v>
      </c>
      <c r="T43" s="105">
        <v>0.02533643617397675</v>
      </c>
      <c r="U43" s="105">
        <v>0.0227177904973945</v>
      </c>
      <c r="V43" s="105">
        <v>0.02043833455571041</v>
      </c>
      <c r="W43" s="105">
        <v>0.01845865332329825</v>
      </c>
      <c r="X43" s="105">
        <v>0.01672675598026814</v>
      </c>
      <c r="Y43" s="105">
        <v>0.01520196275128898</v>
      </c>
      <c r="Z43" s="23"/>
      <c r="AA43" s="23"/>
    </row>
    <row r="44" ht="15.75" customHeight="1">
      <c r="A44" s="120" t="s">
        <v>207</v>
      </c>
      <c r="B44" s="106">
        <v>35781.76</v>
      </c>
      <c r="C44" s="106">
        <v>36364.73848</v>
      </c>
      <c r="D44" s="106">
        <v>47051.81644304</v>
      </c>
      <c r="E44" s="106">
        <v>47841.03126615392</v>
      </c>
      <c r="F44" s="106">
        <v>48747.70532802161</v>
      </c>
      <c r="G44" s="106">
        <v>49789.45936042556</v>
      </c>
      <c r="H44" s="106">
        <v>60960.64443300209</v>
      </c>
      <c r="I44" s="106">
        <v>62282.4897689464</v>
      </c>
      <c r="J44" s="106">
        <v>69774.58598388449</v>
      </c>
      <c r="K44" s="106">
        <v>71428.78360544474</v>
      </c>
      <c r="L44" s="106">
        <v>73262.9198758866</v>
      </c>
      <c r="M44" s="106">
        <v>75296.79411585553</v>
      </c>
      <c r="N44" s="106">
        <v>77531.67293306423</v>
      </c>
      <c r="O44" s="106">
        <v>79987.6639337769</v>
      </c>
      <c r="P44" s="106">
        <v>82686.88546343865</v>
      </c>
      <c r="Q44" s="106">
        <v>85626.10184544307</v>
      </c>
      <c r="R44" s="106">
        <v>88826.92142175703</v>
      </c>
      <c r="S44" s="106">
        <v>92312.89725870856</v>
      </c>
      <c r="T44" s="106">
        <v>96074.00361624657</v>
      </c>
      <c r="U44" s="106">
        <v>100132.2621786571</v>
      </c>
      <c r="V44" s="106">
        <v>104511.4563312411</v>
      </c>
      <c r="W44" s="106">
        <v>109192.3021971059</v>
      </c>
      <c r="X44" s="106">
        <v>114195.930071813</v>
      </c>
      <c r="Y44" s="106">
        <v>119544.949327587</v>
      </c>
      <c r="Z44" s="119">
        <v>678582.7286606609</v>
      </c>
      <c r="AA44" s="119">
        <v>1150623.046578839</v>
      </c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118" t="s">
        <v>208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</row>
    <row r="47" ht="15.75" customHeight="1">
      <c r="A47" s="120" t="s">
        <v>209</v>
      </c>
      <c r="B47" s="106">
        <v>-22493.14</v>
      </c>
      <c r="C47" s="106">
        <v>-13651.29972</v>
      </c>
      <c r="D47" s="106">
        <v>-13230.61728056</v>
      </c>
      <c r="E47" s="106">
        <v>-1260.859129998884</v>
      </c>
      <c r="F47" s="106">
        <v>12490.36414166111</v>
      </c>
      <c r="G47" s="106">
        <v>28290.30029978778</v>
      </c>
      <c r="H47" s="106">
        <v>36053.27390053168</v>
      </c>
      <c r="I47" s="106">
        <v>56101.26149568701</v>
      </c>
      <c r="J47" s="106">
        <v>72731.38742224826</v>
      </c>
      <c r="K47" s="106">
        <v>97820.05134924513</v>
      </c>
      <c r="L47" s="106">
        <v>125637.78478428</v>
      </c>
      <c r="M47" s="106">
        <v>156484.8774238089</v>
      </c>
      <c r="N47" s="106">
        <v>190380.5394848073</v>
      </c>
      <c r="O47" s="106">
        <v>227629.7363289498</v>
      </c>
      <c r="P47" s="106">
        <v>268567.9295288195</v>
      </c>
      <c r="Q47" s="106">
        <v>313146.0446558867</v>
      </c>
      <c r="R47" s="106">
        <v>361691.8082299816</v>
      </c>
      <c r="S47" s="106">
        <v>414562.4417570797</v>
      </c>
      <c r="T47" s="106">
        <v>471605.8881797396</v>
      </c>
      <c r="U47" s="106">
        <v>533156.1430429661</v>
      </c>
      <c r="V47" s="106">
        <v>599573.9210238241</v>
      </c>
      <c r="W47" s="106">
        <v>670566.7499894387</v>
      </c>
      <c r="X47" s="106">
        <v>746455.1060891644</v>
      </c>
      <c r="Y47" s="106">
        <v>827581.8981350695</v>
      </c>
      <c r="Z47" s="119">
        <v>534973.384686691</v>
      </c>
      <c r="AA47" s="119">
        <v>5624918.206445727</v>
      </c>
    </row>
    <row r="48" ht="15.75" customHeight="1">
      <c r="A48" s="120" t="s">
        <v>210</v>
      </c>
      <c r="B48" s="105">
        <v>-1.475346976256067</v>
      </c>
      <c r="C48" s="105">
        <v>-0.5468765035668977</v>
      </c>
      <c r="D48" s="105">
        <v>-0.3633426686083698</v>
      </c>
      <c r="E48" s="105">
        <v>-0.0254373747380831</v>
      </c>
      <c r="F48" s="105">
        <v>0.1931148554589489</v>
      </c>
      <c r="G48" s="105">
        <v>0.3448312913731232</v>
      </c>
      <c r="H48" s="105">
        <v>0.3549922313019144</v>
      </c>
      <c r="I48" s="105">
        <v>0.4539249320843547</v>
      </c>
      <c r="J48" s="105">
        <v>0.4899063846512379</v>
      </c>
      <c r="K48" s="105">
        <v>0.5557018871253013</v>
      </c>
      <c r="L48" s="105">
        <v>0.6081248638691803</v>
      </c>
      <c r="M48" s="105">
        <v>0.6506740546707974</v>
      </c>
      <c r="N48" s="105">
        <v>0.6854519386590845</v>
      </c>
      <c r="O48" s="105">
        <v>0.7142944526947272</v>
      </c>
      <c r="P48" s="105">
        <v>0.7385041410382231</v>
      </c>
      <c r="Q48" s="105">
        <v>0.7588628536140247</v>
      </c>
      <c r="R48" s="105">
        <v>0.7761648599238142</v>
      </c>
      <c r="S48" s="105">
        <v>0.7910013284335942</v>
      </c>
      <c r="T48" s="105">
        <v>0.8037137610235818</v>
      </c>
      <c r="U48" s="105">
        <v>0.8146989681878656</v>
      </c>
      <c r="V48" s="105">
        <v>0.8242612758972225</v>
      </c>
      <c r="W48" s="105">
        <v>0.8325660300118287</v>
      </c>
      <c r="X48" s="105">
        <v>0.839831331793813</v>
      </c>
      <c r="Y48" s="105">
        <v>0.8462278327228331</v>
      </c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118" t="s">
        <v>211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</row>
    <row r="51" ht="15.75" customHeight="1">
      <c r="A51" s="44" t="s">
        <v>212</v>
      </c>
      <c r="B51" s="106">
        <v>3957.38</v>
      </c>
      <c r="C51" s="106">
        <v>2832.579493333333</v>
      </c>
      <c r="D51" s="106">
        <v>3061.605481013333</v>
      </c>
      <c r="E51" s="106">
        <v>2493.50781653848</v>
      </c>
      <c r="F51" s="106">
        <v>2720.176332005403</v>
      </c>
      <c r="G51" s="106">
        <v>2384.491872085114</v>
      </c>
      <c r="H51" s="106">
        <v>2182.274072167015</v>
      </c>
      <c r="I51" s="106">
        <v>2402.581628157733</v>
      </c>
      <c r="J51" s="106">
        <v>3129.655140554928</v>
      </c>
      <c r="K51" s="106">
        <v>2945.222950680592</v>
      </c>
      <c r="L51" s="106">
        <v>2821.768875098511</v>
      </c>
      <c r="M51" s="106">
        <v>2742.979411585553</v>
      </c>
      <c r="N51" s="106">
        <v>0.0</v>
      </c>
      <c r="O51" s="106">
        <v>3212.066393377691</v>
      </c>
      <c r="P51" s="106">
        <v>3165.444133039877</v>
      </c>
      <c r="Q51" s="106">
        <v>3432.645622313008</v>
      </c>
      <c r="R51" s="106">
        <v>3150.763186289002</v>
      </c>
      <c r="S51" s="106">
        <v>3174.706947050611</v>
      </c>
      <c r="T51" s="106">
        <v>3213.800241083105</v>
      </c>
      <c r="U51" s="106">
        <v>3266.578886166069</v>
      </c>
      <c r="V51" s="106">
        <v>3332.026843014185</v>
      </c>
      <c r="W51" s="106">
        <v>3227.647484058203</v>
      </c>
      <c r="X51" s="106">
        <v>3316.446503590652</v>
      </c>
      <c r="Y51" s="106">
        <v>3413.235682266048</v>
      </c>
      <c r="Z51" s="23"/>
      <c r="AA51" s="23"/>
    </row>
    <row r="52" ht="15.75" customHeight="1">
      <c r="A52" s="44" t="s">
        <v>113</v>
      </c>
      <c r="B52" s="44">
        <v>1.297226294378197</v>
      </c>
      <c r="C52" s="44">
        <v>0.8894384697497362</v>
      </c>
      <c r="D52" s="44">
        <v>0.9417939273171128</v>
      </c>
      <c r="E52" s="44">
        <v>0.7581163798017244</v>
      </c>
      <c r="F52" s="44">
        <v>0.8208559274279957</v>
      </c>
      <c r="G52" s="44">
        <v>0.7158470229174847</v>
      </c>
      <c r="H52" s="44">
        <v>0.6527292303135509</v>
      </c>
      <c r="I52" s="44">
        <v>0.7166491657664793</v>
      </c>
      <c r="J52" s="44">
        <v>0.9315456547798979</v>
      </c>
      <c r="K52" s="44">
        <v>0.8752063473992665</v>
      </c>
      <c r="L52" s="44">
        <v>0.837422417662992</v>
      </c>
      <c r="M52" s="44">
        <v>0.8131755221419082</v>
      </c>
      <c r="N52" s="44">
        <v>0.0</v>
      </c>
      <c r="O52" s="44">
        <v>0.7922751669369033</v>
      </c>
      <c r="P52" s="44">
        <v>0.7803048253866269</v>
      </c>
      <c r="Q52" s="44">
        <v>0.8457431710065406</v>
      </c>
      <c r="R52" s="44">
        <v>0.775958183004064</v>
      </c>
      <c r="S52" s="44">
        <v>0.7815664902251982</v>
      </c>
      <c r="T52" s="44">
        <v>0.7909406419767208</v>
      </c>
      <c r="U52" s="44">
        <v>0.8037103753655215</v>
      </c>
      <c r="V52" s="44">
        <v>0.8196184268882261</v>
      </c>
      <c r="W52" s="44">
        <v>0.7937791891104836</v>
      </c>
      <c r="X52" s="44">
        <v>0.8154704535207878</v>
      </c>
      <c r="Y52" s="44">
        <v>0.8391363157857475</v>
      </c>
      <c r="Z52" s="23"/>
      <c r="AA52" s="23"/>
    </row>
    <row r="53" ht="15.75" customHeight="1">
      <c r="A53" s="44" t="s">
        <v>213</v>
      </c>
      <c r="B53" s="106">
        <v>1525323.691460055</v>
      </c>
      <c r="C53" s="106">
        <v>1592341.454564217</v>
      </c>
      <c r="D53" s="106">
        <v>1625411.564149137</v>
      </c>
      <c r="E53" s="106">
        <v>1644541.578952973</v>
      </c>
      <c r="F53" s="106">
        <v>1656914.594336052</v>
      </c>
      <c r="G53" s="106">
        <v>1665503.798819299</v>
      </c>
      <c r="H53" s="106">
        <v>1114435.598928067</v>
      </c>
      <c r="I53" s="106">
        <v>1117507.116418252</v>
      </c>
      <c r="J53" s="106">
        <v>1119878.961199668</v>
      </c>
      <c r="K53" s="106">
        <v>1121725.163988476</v>
      </c>
      <c r="L53" s="106">
        <v>1123196.137569084</v>
      </c>
      <c r="M53" s="106">
        <v>1124390.055569033</v>
      </c>
      <c r="N53" s="106">
        <v>1350439.095534242</v>
      </c>
      <c r="O53" s="106">
        <v>1351410.270666521</v>
      </c>
      <c r="P53" s="106">
        <v>1352225.450898396</v>
      </c>
      <c r="Q53" s="106">
        <v>1352910.962409439</v>
      </c>
      <c r="R53" s="106">
        <v>1353493.549566919</v>
      </c>
      <c r="S53" s="106">
        <v>1353993.117990452</v>
      </c>
      <c r="T53" s="106">
        <v>1354421.166612945</v>
      </c>
      <c r="U53" s="106">
        <v>1354791.056699769</v>
      </c>
      <c r="V53" s="106">
        <v>1355113.035409498</v>
      </c>
      <c r="W53" s="106">
        <v>1355392.670210605</v>
      </c>
      <c r="X53" s="106">
        <v>1355637.30493317</v>
      </c>
      <c r="Y53" s="106">
        <v>1355852.685694645</v>
      </c>
      <c r="Z53" s="23"/>
      <c r="AA53" s="23"/>
    </row>
    <row r="54" ht="15.75" customHeight="1">
      <c r="A54" s="120" t="s">
        <v>112</v>
      </c>
      <c r="B54" s="44">
        <v>385.4377622214836</v>
      </c>
      <c r="C54" s="44">
        <v>562.1524332545301</v>
      </c>
      <c r="D54" s="44">
        <v>530.9017031192263</v>
      </c>
      <c r="E54" s="44">
        <v>659.5293457856279</v>
      </c>
      <c r="F54" s="44">
        <v>609.1202893139359</v>
      </c>
      <c r="G54" s="44">
        <v>698.473254749618</v>
      </c>
      <c r="H54" s="44">
        <v>510.676277165051</v>
      </c>
      <c r="I54" s="44">
        <v>465.1276374218933</v>
      </c>
      <c r="J54" s="44">
        <v>357.8282305574085</v>
      </c>
      <c r="K54" s="44">
        <v>380.8625638100722</v>
      </c>
      <c r="L54" s="44">
        <v>398.0468235655453</v>
      </c>
      <c r="M54" s="44">
        <v>409.9156015608189</v>
      </c>
      <c r="N54" s="44">
        <v>0.0</v>
      </c>
      <c r="O54" s="44">
        <v>420.7292456509368</v>
      </c>
      <c r="P54" s="44">
        <v>427.1834832857437</v>
      </c>
      <c r="Q54" s="44">
        <v>394.1306826475758</v>
      </c>
      <c r="R54" s="44">
        <v>429.5764135676207</v>
      </c>
      <c r="S54" s="44">
        <v>426.4938907978101</v>
      </c>
      <c r="T54" s="44">
        <v>421.4391265825788</v>
      </c>
      <c r="U54" s="44">
        <v>414.7431009357517</v>
      </c>
      <c r="V54" s="44">
        <v>406.6933128856937</v>
      </c>
      <c r="W54" s="44">
        <v>419.9320641132829</v>
      </c>
      <c r="X54" s="44">
        <v>408.7619997685619</v>
      </c>
      <c r="Y54" s="44">
        <v>397.2338308600168</v>
      </c>
      <c r="Z54" s="23"/>
      <c r="AA54" s="23"/>
    </row>
    <row r="55" ht="15.75" customHeight="1">
      <c r="A55" s="120" t="s">
        <v>114</v>
      </c>
      <c r="B55" s="105">
        <v>1.0</v>
      </c>
      <c r="C55" s="105">
        <v>1.637302112029385</v>
      </c>
      <c r="D55" s="105">
        <v>1.458743613931853</v>
      </c>
      <c r="E55" s="105">
        <v>1.36122706126094</v>
      </c>
      <c r="F55" s="105">
        <v>1.304863661719408</v>
      </c>
      <c r="G55" s="105">
        <v>1.268444507982018</v>
      </c>
      <c r="H55" s="105">
        <v>1.237926813980902</v>
      </c>
      <c r="I55" s="105">
        <v>1.216921966891509</v>
      </c>
      <c r="J55" s="105">
        <v>1.201213441246525</v>
      </c>
      <c r="K55" s="105">
        <v>1.185706612830119</v>
      </c>
      <c r="L55" s="105">
        <v>1.173657815664424</v>
      </c>
      <c r="M55" s="105">
        <v>1.164076104099815</v>
      </c>
      <c r="N55" s="105">
        <v>1.154879466696825</v>
      </c>
      <c r="O55" s="105">
        <v>1.147377089882141</v>
      </c>
      <c r="P55" s="105">
        <v>1.141167772155314</v>
      </c>
      <c r="Q55" s="105">
        <v>1.134703566016851</v>
      </c>
      <c r="R55" s="105">
        <v>1.129278501146562</v>
      </c>
      <c r="S55" s="105">
        <v>1.124677597778902</v>
      </c>
      <c r="T55" s="105">
        <v>1.119605630158841</v>
      </c>
      <c r="U55" s="105">
        <v>1.11526850187665</v>
      </c>
      <c r="V55" s="105">
        <v>1.111528458224949</v>
      </c>
      <c r="W55" s="105">
        <v>1.107249494193243</v>
      </c>
      <c r="X55" s="105">
        <v>1.103540539783874</v>
      </c>
      <c r="Y55" s="105">
        <v>1.100302392126955</v>
      </c>
      <c r="Z55" s="23"/>
      <c r="AA55" s="23"/>
    </row>
    <row r="56" ht="15.75" customHeight="1">
      <c r="A56" s="44" t="s">
        <v>214</v>
      </c>
      <c r="B56" s="105">
        <v>0.998</v>
      </c>
      <c r="C56" s="105">
        <v>0.998</v>
      </c>
      <c r="D56" s="105">
        <v>0.998</v>
      </c>
      <c r="E56" s="105">
        <v>0.998</v>
      </c>
      <c r="F56" s="105">
        <v>0.998</v>
      </c>
      <c r="G56" s="105">
        <v>0.998</v>
      </c>
      <c r="H56" s="105">
        <v>0.997</v>
      </c>
      <c r="I56" s="105">
        <v>0.997</v>
      </c>
      <c r="J56" s="105">
        <v>0.997</v>
      </c>
      <c r="K56" s="105">
        <v>0.997</v>
      </c>
      <c r="L56" s="105">
        <v>0.997</v>
      </c>
      <c r="M56" s="105">
        <v>0.997</v>
      </c>
      <c r="N56" s="105">
        <v>0.997</v>
      </c>
      <c r="O56" s="105">
        <v>0.997</v>
      </c>
      <c r="P56" s="105">
        <v>0.997</v>
      </c>
      <c r="Q56" s="105">
        <v>0.997</v>
      </c>
      <c r="R56" s="105">
        <v>0.997</v>
      </c>
      <c r="S56" s="105">
        <v>0.997</v>
      </c>
      <c r="T56" s="105">
        <v>0.997</v>
      </c>
      <c r="U56" s="105">
        <v>0.997</v>
      </c>
      <c r="V56" s="105">
        <v>0.997</v>
      </c>
      <c r="W56" s="105">
        <v>0.997</v>
      </c>
      <c r="X56" s="105">
        <v>0.997</v>
      </c>
      <c r="Y56" s="105">
        <v>0.997</v>
      </c>
      <c r="Z56" s="23"/>
      <c r="AA56" s="23"/>
    </row>
    <row r="57" ht="15.75" customHeight="1">
      <c r="A57" s="120" t="s">
        <v>115</v>
      </c>
      <c r="B57" s="105">
        <v>-1.475346976256067</v>
      </c>
      <c r="C57" s="105">
        <v>7.10074884078572</v>
      </c>
      <c r="D57" s="105">
        <v>5.141580698573864</v>
      </c>
      <c r="E57" s="105">
        <v>4.309287360393199</v>
      </c>
      <c r="F57" s="105">
        <v>3.851478796091846</v>
      </c>
      <c r="G57" s="105">
        <v>3.566165387157335</v>
      </c>
      <c r="H57" s="105">
        <v>3.210113999072734</v>
      </c>
      <c r="I57" s="105">
        <v>3.056988534782462</v>
      </c>
      <c r="J57" s="105">
        <v>2.90446767960954</v>
      </c>
      <c r="K57" s="105">
        <v>2.784181241086729</v>
      </c>
      <c r="L57" s="105">
        <v>2.692018651842272</v>
      </c>
      <c r="M57" s="105">
        <v>2.619587303868579</v>
      </c>
      <c r="N57" s="105">
        <v>2.544005539020985</v>
      </c>
      <c r="O57" s="105">
        <v>2.482819531280421</v>
      </c>
      <c r="P57" s="105">
        <v>2.432517406901986</v>
      </c>
      <c r="Q57" s="105">
        <v>2.375305645816234</v>
      </c>
      <c r="R57" s="105">
        <v>2.327506873682553</v>
      </c>
      <c r="S57" s="105">
        <v>2.287132501780417</v>
      </c>
      <c r="T57" s="105">
        <v>2.238981322929678</v>
      </c>
      <c r="U57" s="105">
        <v>2.197920990707664</v>
      </c>
      <c r="V57" s="105">
        <v>2.162602774596616</v>
      </c>
      <c r="W57" s="105">
        <v>2.119559960330744</v>
      </c>
      <c r="X57" s="105">
        <v>2.082317809200305</v>
      </c>
      <c r="Y57" s="105">
        <v>2.049856538246295</v>
      </c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118" t="s">
        <v>215</v>
      </c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</row>
    <row r="60" ht="15.75" customHeight="1">
      <c r="A60" s="44" t="s">
        <v>216</v>
      </c>
      <c r="B60" s="106">
        <v>22493.14</v>
      </c>
      <c r="C60" s="106">
        <v>13651.29972</v>
      </c>
      <c r="D60" s="106">
        <v>13230.61728056</v>
      </c>
      <c r="E60" s="106">
        <v>1260.859129998884</v>
      </c>
      <c r="F60" s="106">
        <v>-12490.36414166111</v>
      </c>
      <c r="G60" s="106">
        <v>-28290.30029978778</v>
      </c>
      <c r="H60" s="106">
        <v>-36053.27390053169</v>
      </c>
      <c r="I60" s="106">
        <v>-56101.26149568701</v>
      </c>
      <c r="J60" s="106">
        <v>-72731.38742224827</v>
      </c>
      <c r="K60" s="106">
        <v>-97820.05134924511</v>
      </c>
      <c r="L60" s="106">
        <v>-125637.78478428</v>
      </c>
      <c r="M60" s="106">
        <v>-156484.8774238089</v>
      </c>
      <c r="N60" s="106">
        <v>-190380.5394848073</v>
      </c>
      <c r="O60" s="106">
        <v>-227629.7363289498</v>
      </c>
      <c r="P60" s="106">
        <v>-268567.9295288195</v>
      </c>
      <c r="Q60" s="106">
        <v>-313146.0446558867</v>
      </c>
      <c r="R60" s="106">
        <v>-361691.8082299816</v>
      </c>
      <c r="S60" s="106">
        <v>-414562.4417570797</v>
      </c>
      <c r="T60" s="106">
        <v>-471605.8881797397</v>
      </c>
      <c r="U60" s="106">
        <v>-533156.1430429661</v>
      </c>
      <c r="V60" s="106">
        <v>-599573.9210238241</v>
      </c>
      <c r="W60" s="106">
        <v>-670566.7499894387</v>
      </c>
      <c r="X60" s="106">
        <v>-746455.1060891644</v>
      </c>
      <c r="Y60" s="106">
        <v>-827581.8981350695</v>
      </c>
      <c r="Z60" s="23"/>
      <c r="AA60" s="23"/>
    </row>
    <row r="61" ht="15.75" customHeight="1">
      <c r="A61" s="120" t="s">
        <v>217</v>
      </c>
      <c r="B61" s="106">
        <v>977506.86</v>
      </c>
      <c r="C61" s="106">
        <v>963855.56028</v>
      </c>
      <c r="D61" s="106">
        <v>950624.94299944</v>
      </c>
      <c r="E61" s="106">
        <v>949364.0838694412</v>
      </c>
      <c r="F61" s="106">
        <v>961854.4480111023</v>
      </c>
      <c r="G61" s="106">
        <v>990144.74831089</v>
      </c>
      <c r="H61" s="106">
        <v>1026198.022211422</v>
      </c>
      <c r="I61" s="106">
        <v>1082299.283707109</v>
      </c>
      <c r="J61" s="106">
        <v>1155030.671129357</v>
      </c>
      <c r="K61" s="106">
        <v>1252850.722478602</v>
      </c>
      <c r="L61" s="106">
        <v>1378488.507262882</v>
      </c>
      <c r="M61" s="106">
        <v>1534973.384686691</v>
      </c>
      <c r="N61" s="106">
        <v>1725353.924171498</v>
      </c>
      <c r="O61" s="106">
        <v>1952983.660500448</v>
      </c>
      <c r="P61" s="106">
        <v>2221551.590029268</v>
      </c>
      <c r="Q61" s="106">
        <v>2534697.634685154</v>
      </c>
      <c r="R61" s="106">
        <v>2896389.442915136</v>
      </c>
      <c r="S61" s="106">
        <v>3310951.884672215</v>
      </c>
      <c r="T61" s="106">
        <v>3782557.772851955</v>
      </c>
      <c r="U61" s="106">
        <v>4315713.915894921</v>
      </c>
      <c r="V61" s="106">
        <v>4915287.836918745</v>
      </c>
      <c r="W61" s="106">
        <v>5585854.586908184</v>
      </c>
      <c r="X61" s="106">
        <v>6332309.692997348</v>
      </c>
      <c r="Y61" s="106">
        <v>7159891.591132418</v>
      </c>
      <c r="Z61" s="23"/>
      <c r="AA61" s="23"/>
    </row>
    <row r="62" ht="15.75" customHeight="1">
      <c r="A62" s="44" t="s">
        <v>218</v>
      </c>
      <c r="B62" s="44">
        <v>43.45799919442106</v>
      </c>
      <c r="C62" s="44">
        <v>70.60540608216901</v>
      </c>
      <c r="D62" s="44">
        <v>71.85038481887096</v>
      </c>
      <c r="E62" s="44">
        <v>752.9501601580833</v>
      </c>
      <c r="F62" s="44">
        <v>99.0</v>
      </c>
      <c r="G62" s="44">
        <v>99.0</v>
      </c>
      <c r="H62" s="44">
        <v>99.0</v>
      </c>
      <c r="I62" s="44">
        <v>99.0</v>
      </c>
      <c r="J62" s="44">
        <v>99.0</v>
      </c>
      <c r="K62" s="44">
        <v>99.0</v>
      </c>
      <c r="L62" s="44">
        <v>99.0</v>
      </c>
      <c r="M62" s="44">
        <v>99.0</v>
      </c>
      <c r="N62" s="44">
        <v>99.0</v>
      </c>
      <c r="O62" s="44">
        <v>99.0</v>
      </c>
      <c r="P62" s="44">
        <v>99.0</v>
      </c>
      <c r="Q62" s="44">
        <v>99.0</v>
      </c>
      <c r="R62" s="44">
        <v>99.0</v>
      </c>
      <c r="S62" s="44">
        <v>99.0</v>
      </c>
      <c r="T62" s="44">
        <v>99.0</v>
      </c>
      <c r="U62" s="44">
        <v>99.0</v>
      </c>
      <c r="V62" s="44">
        <v>99.0</v>
      </c>
      <c r="W62" s="44">
        <v>99.0</v>
      </c>
      <c r="X62" s="44">
        <v>99.0</v>
      </c>
      <c r="Y62" s="44">
        <v>99.0</v>
      </c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109" t="s">
        <v>224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</sheetData>
  <mergeCells count="3">
    <mergeCell ref="A1:F1"/>
    <mergeCell ref="B4:M4"/>
    <mergeCell ref="N4:Y4"/>
  </mergeCells>
  <printOptions/>
  <pageMargins bottom="1.0" footer="0.0" header="0.0" left="0.75" right="0.75" top="1.0"/>
  <pageSetup orientation="landscape"/>
  <drawing r:id="rId1"/>
</worksheet>
</file>