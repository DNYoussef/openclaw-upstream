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cenario Comparison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Growth Hypotheses" sheetId="3" state="visible" r:id="rId3"/>
    <sheet xmlns:r="http://schemas.openxmlformats.org/officeDocument/2006/relationships" name="Costs Hypotheses" sheetId="4" state="visible" r:id="rId4"/>
    <sheet xmlns:r="http://schemas.openxmlformats.org/officeDocument/2006/relationships" name="Financial Model" sheetId="5" state="visible" r:id="rId5"/>
    <sheet xmlns:r="http://schemas.openxmlformats.org/officeDocument/2006/relationships" name="Base Case P&amp;L" sheetId="6" state="visible" r:id="rId6"/>
    <sheet xmlns:r="http://schemas.openxmlformats.org/officeDocument/2006/relationships" name="Bear Case P&amp;L" sheetId="7" state="visible" r:id="rId7"/>
    <sheet xmlns:r="http://schemas.openxmlformats.org/officeDocument/2006/relationships" name="Bull Case P&amp;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&quot;$&quot;"/>
    <numFmt numFmtId="165" formatCode="&quot;$&quot;#,##0.00"/>
    <numFmt numFmtId="166" formatCode="&quot;$&quot;#,##0"/>
    <numFmt numFmtId="167" formatCode="0.0%"/>
    <numFmt numFmtId="168" formatCode="mmm-yyyy"/>
    <numFmt numFmtId="169" formatCode="$#,##0"/>
    <numFmt numFmtId="170" formatCode="0.0"/>
  </numFmts>
  <fonts count="29">
    <font>
      <name val="Arial"/>
      <color rgb="FF000000"/>
      <sz val="10"/>
    </font>
    <font/>
    <font>
      <b val="1"/>
    </font>
    <font>
      <name val="Arial"/>
      <color rgb="FF000000"/>
      <sz val="14"/>
    </font>
    <font>
      <i val="1"/>
      <color rgb="FF999999"/>
    </font>
    <font>
      <color rgb="FF0000FF"/>
      <u val="single"/>
    </font>
    <font>
      <i val="1"/>
    </font>
    <font>
      <color rgb="FFFFFFFF"/>
    </font>
    <font>
      <color rgb="FF21DA27"/>
    </font>
    <font>
      <color rgb="FFFF0000"/>
    </font>
    <font>
      <b val="1"/>
      <i val="1"/>
    </font>
    <font>
      <i val="1"/>
      <color rgb="FF000000"/>
    </font>
    <font>
      <b val="1"/>
      <color rgb="002F5496"/>
      <sz val="14"/>
    </font>
    <font>
      <i val="1"/>
      <color rgb="00808080"/>
    </font>
    <font>
      <b val="1"/>
      <sz val="11"/>
    </font>
    <font>
      <b val="1"/>
      <color rgb="00FF0000"/>
    </font>
    <font>
      <b val="1"/>
      <color rgb="002F5496"/>
    </font>
    <font>
      <b val="1"/>
      <color rgb="00008000"/>
    </font>
    <font>
      <b val="1"/>
      <color rgb="00FFFFFF"/>
      <sz val="11"/>
    </font>
    <font>
      <b val="1"/>
      <color rgb="002F5496"/>
      <sz val="12"/>
    </font>
    <font>
      <b val="1"/>
      <color rgb="00008000"/>
      <sz val="12"/>
    </font>
    <font>
      <sz val="10"/>
    </font>
    <font>
      <b val="1"/>
      <color rgb="00FFFFFF"/>
      <sz val="10"/>
    </font>
    <font>
      <b val="1"/>
      <sz val="10"/>
    </font>
    <font>
      <i val="1"/>
      <color rgb="00808080"/>
      <sz val="10"/>
    </font>
    <font>
      <i val="1"/>
      <color rgb="00A0A0A0"/>
      <sz val="9"/>
    </font>
    <font>
      <b val="1"/>
      <sz val="9"/>
    </font>
    <font>
      <b val="1"/>
      <color rgb="00FFFFFF"/>
      <sz val="12"/>
    </font>
    <font>
      <b val="1"/>
      <color rgb="002F5496"/>
      <sz val="11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4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0" pivotButton="0" quotePrefix="0" xfId="0"/>
    <xf numFmtId="0" fontId="1" fillId="2" borderId="3" pivotButton="0" quotePrefix="0" xfId="0"/>
    <xf numFmtId="164" fontId="1" fillId="2" borderId="4" pivotButton="0" quotePrefix="0" xfId="0"/>
    <xf numFmtId="0" fontId="3" fillId="2" borderId="0" pivotButton="0" quotePrefix="0" xfId="0"/>
    <xf numFmtId="0" fontId="2" fillId="2" borderId="5" pivotButton="0" quotePrefix="0" xfId="0"/>
    <xf numFmtId="0" fontId="1" fillId="2" borderId="6" pivotButton="0" quotePrefix="0" xfId="0"/>
    <xf numFmtId="0" fontId="1" fillId="2" borderId="5" pivotButton="0" quotePrefix="0" xfId="0"/>
    <xf numFmtId="0" fontId="1" fillId="2" borderId="0" pivotButton="0" quotePrefix="0" xfId="0"/>
    <xf numFmtId="0" fontId="1" fillId="2" borderId="6" pivotButton="0" quotePrefix="0" xfId="0"/>
    <xf numFmtId="10" fontId="4" fillId="2" borderId="5" pivotButton="0" quotePrefix="0" xfId="0"/>
    <xf numFmtId="164" fontId="1" fillId="2" borderId="6" pivotButton="0" quotePrefix="0" xfId="0"/>
    <xf numFmtId="0" fontId="5" fillId="2" borderId="0" pivotButton="0" quotePrefix="0" xfId="0"/>
    <xf numFmtId="165" fontId="1" fillId="2" borderId="6" pivotButton="0" quotePrefix="0" xfId="0"/>
    <xf numFmtId="166" fontId="1" fillId="2" borderId="6" pivotButton="0" quotePrefix="0" xfId="0"/>
    <xf numFmtId="0" fontId="1" fillId="2" borderId="4" pivotButton="0" quotePrefix="0" xfId="0"/>
    <xf numFmtId="0" fontId="1" fillId="2" borderId="7" pivotButton="0" quotePrefix="0" xfId="0"/>
    <xf numFmtId="164" fontId="2" fillId="2" borderId="8" pivotButton="0" quotePrefix="0" xfId="0"/>
    <xf numFmtId="0" fontId="1" fillId="2" borderId="7" pivotButton="0" quotePrefix="0" xfId="0"/>
    <xf numFmtId="0" fontId="1" fillId="2" borderId="9" pivotButton="0" quotePrefix="0" xfId="0"/>
    <xf numFmtId="0" fontId="1" fillId="0" borderId="9" pivotButton="0" quotePrefix="0" xfId="0"/>
    <xf numFmtId="165" fontId="2" fillId="2" borderId="8" pivotButton="0" quotePrefix="0" xfId="0"/>
    <xf numFmtId="0" fontId="1" fillId="0" borderId="0" applyAlignment="1" pivotButton="0" quotePrefix="0" xfId="0">
      <alignment wrapText="1"/>
    </xf>
    <xf numFmtId="0" fontId="1" fillId="0" borderId="7" applyAlignment="1" pivotButton="0" quotePrefix="0" xfId="0">
      <alignment horizontal="center"/>
    </xf>
    <xf numFmtId="0" fontId="1" fillId="0" borderId="8" pivotButton="0" quotePrefix="0" xfId="0"/>
    <xf numFmtId="0" fontId="2" fillId="0" borderId="0" applyAlignment="1" pivotButton="0" quotePrefix="0" xfId="0">
      <alignment wrapText="1"/>
    </xf>
    <xf numFmtId="0" fontId="1" fillId="0" borderId="9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wrapText="1"/>
    </xf>
    <xf numFmtId="164" fontId="1" fillId="3" borderId="9" pivotButton="0" quotePrefix="0" xfId="0"/>
    <xf numFmtId="9" fontId="1" fillId="3" borderId="9" pivotButton="0" quotePrefix="0" xfId="0"/>
    <xf numFmtId="9" fontId="1" fillId="3" borderId="8" pivotButton="0" quotePrefix="0" xfId="0"/>
    <xf numFmtId="167" fontId="1" fillId="3" borderId="9" pivotButton="0" quotePrefix="0" xfId="0"/>
    <xf numFmtId="167" fontId="1" fillId="3" borderId="8" pivotButton="0" quotePrefix="0" xfId="0"/>
    <xf numFmtId="167" fontId="1" fillId="0" borderId="0" pivotButton="0" quotePrefix="0" xfId="0"/>
    <xf numFmtId="0" fontId="1" fillId="3" borderId="0" pivotButton="0" quotePrefix="0" xfId="0"/>
    <xf numFmtId="0" fontId="6" fillId="0" borderId="0" pivotButton="0" quotePrefix="0" xfId="0"/>
    <xf numFmtId="166" fontId="1" fillId="3" borderId="0" pivotButton="0" quotePrefix="0" xfId="0"/>
    <xf numFmtId="49" fontId="1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9" fontId="1" fillId="0" borderId="0" pivotButton="0" quotePrefix="0" xfId="0"/>
    <xf numFmtId="9" fontId="1" fillId="3" borderId="0" pivotButton="0" quotePrefix="0" xfId="0"/>
    <xf numFmtId="165" fontId="1" fillId="0" borderId="0" pivotButton="0" quotePrefix="0" xfId="0"/>
    <xf numFmtId="165" fontId="1" fillId="3" borderId="0" pivotButton="0" quotePrefix="0" xfId="0"/>
    <xf numFmtId="166" fontId="1" fillId="0" borderId="0" pivotButton="0" quotePrefix="0" xfId="0"/>
    <xf numFmtId="0" fontId="2" fillId="0" borderId="1" applyAlignment="1" pivotButton="0" quotePrefix="0" xfId="0">
      <alignment horizontal="center"/>
    </xf>
    <xf numFmtId="0" fontId="1" fillId="0" borderId="10" pivotButton="0" quotePrefix="0" xfId="0"/>
    <xf numFmtId="0" fontId="1" fillId="0" borderId="2" pivotButton="0" quotePrefix="0" xfId="0"/>
    <xf numFmtId="168" fontId="1" fillId="0" borderId="5" pivotButton="0" quotePrefix="0" xfId="0"/>
    <xf numFmtId="168" fontId="1" fillId="0" borderId="0" pivotButton="0" quotePrefix="0" xfId="0"/>
    <xf numFmtId="168" fontId="1" fillId="0" borderId="6" pivotButton="0" quotePrefix="0" xfId="0"/>
    <xf numFmtId="0" fontId="1" fillId="0" borderId="5" pivotButton="0" quotePrefix="0" xfId="0"/>
    <xf numFmtId="0" fontId="1" fillId="0" borderId="6" pivotButton="0" quotePrefix="0" xfId="0"/>
    <xf numFmtId="0" fontId="7" fillId="4" borderId="0" pivotButton="0" quotePrefix="0" xfId="0"/>
    <xf numFmtId="0" fontId="1" fillId="0" borderId="5" pivotButton="0" quotePrefix="0" xfId="0"/>
    <xf numFmtId="0" fontId="1" fillId="0" borderId="6" pivotButton="0" quotePrefix="0" xfId="0"/>
    <xf numFmtId="164" fontId="1" fillId="0" borderId="5" pivotButton="0" quotePrefix="0" xfId="0"/>
    <xf numFmtId="164" fontId="1" fillId="0" borderId="0" pivotButton="0" quotePrefix="0" xfId="0"/>
    <xf numFmtId="164" fontId="1" fillId="0" borderId="6" pivotButton="0" quotePrefix="0" xfId="0"/>
    <xf numFmtId="3" fontId="1" fillId="0" borderId="0" pivotButton="0" quotePrefix="0" xfId="0"/>
    <xf numFmtId="3" fontId="1" fillId="0" borderId="5" pivotButton="0" quotePrefix="0" xfId="0"/>
    <xf numFmtId="3" fontId="1" fillId="0" borderId="0" pivotButton="0" quotePrefix="0" xfId="0"/>
    <xf numFmtId="3" fontId="1" fillId="0" borderId="6" pivotButton="0" quotePrefix="0" xfId="0"/>
    <xf numFmtId="167" fontId="1" fillId="0" borderId="5" pivotButton="0" quotePrefix="0" xfId="0"/>
    <xf numFmtId="167" fontId="1" fillId="0" borderId="6" pivotButton="0" quotePrefix="0" xfId="0"/>
    <xf numFmtId="0" fontId="8" fillId="0" borderId="5" pivotButton="0" quotePrefix="0" xfId="0"/>
    <xf numFmtId="0" fontId="8" fillId="0" borderId="0" pivotButton="0" quotePrefix="0" xfId="0"/>
    <xf numFmtId="0" fontId="8" fillId="0" borderId="6" pivotButton="0" quotePrefix="0" xfId="0"/>
    <xf numFmtId="164" fontId="1" fillId="0" borderId="0" pivotButton="0" quotePrefix="0" xfId="0"/>
    <xf numFmtId="164" fontId="8" fillId="0" borderId="5" pivotButton="0" quotePrefix="0" xfId="0"/>
    <xf numFmtId="164" fontId="8" fillId="0" borderId="0" pivotButton="0" quotePrefix="0" xfId="0"/>
    <xf numFmtId="164" fontId="8" fillId="0" borderId="6" pivotButton="0" quotePrefix="0" xfId="0"/>
    <xf numFmtId="164" fontId="9" fillId="0" borderId="5" pivotButton="0" quotePrefix="0" xfId="0"/>
    <xf numFmtId="164" fontId="9" fillId="0" borderId="0" pivotButton="0" quotePrefix="0" xfId="0"/>
    <xf numFmtId="164" fontId="9" fillId="0" borderId="6" pivotButton="0" quotePrefix="0" xfId="0"/>
    <xf numFmtId="164" fontId="10" fillId="2" borderId="0" pivotButton="0" quotePrefix="0" xfId="0"/>
    <xf numFmtId="164" fontId="10" fillId="2" borderId="5" pivotButton="0" quotePrefix="0" xfId="0"/>
    <xf numFmtId="164" fontId="10" fillId="2" borderId="0" pivotButton="0" quotePrefix="0" xfId="0"/>
    <xf numFmtId="164" fontId="10" fillId="2" borderId="6" pivotButton="0" quotePrefix="0" xfId="0"/>
    <xf numFmtId="167" fontId="4" fillId="0" borderId="0" pivotButton="0" quotePrefix="0" xfId="0"/>
    <xf numFmtId="167" fontId="4" fillId="0" borderId="5" pivotButton="0" quotePrefix="0" xfId="0"/>
    <xf numFmtId="167" fontId="4" fillId="0" borderId="0" pivotButton="0" quotePrefix="0" xfId="0"/>
    <xf numFmtId="167" fontId="4" fillId="0" borderId="6" pivotButton="0" quotePrefix="0" xfId="0"/>
    <xf numFmtId="165" fontId="11" fillId="0" borderId="5" pivotButton="0" quotePrefix="0" xfId="0"/>
    <xf numFmtId="165" fontId="11" fillId="0" borderId="0" pivotButton="0" quotePrefix="0" xfId="0"/>
    <xf numFmtId="165" fontId="11" fillId="0" borderId="6" pivotButton="0" quotePrefix="0" xfId="0"/>
    <xf numFmtId="164" fontId="2" fillId="5" borderId="0" pivotButton="0" quotePrefix="0" xfId="0"/>
    <xf numFmtId="164" fontId="2" fillId="5" borderId="5" pivotButton="0" quotePrefix="0" xfId="0"/>
    <xf numFmtId="164" fontId="2" fillId="5" borderId="0" pivotButton="0" quotePrefix="0" xfId="0"/>
    <xf numFmtId="164" fontId="2" fillId="5" borderId="6" pivotButton="0" quotePrefix="0" xfId="0"/>
    <xf numFmtId="166" fontId="1" fillId="0" borderId="5" pivotButton="0" quotePrefix="0" xfId="0"/>
    <xf numFmtId="166" fontId="1" fillId="0" borderId="0" pivotButton="0" quotePrefix="0" xfId="0"/>
    <xf numFmtId="166" fontId="1" fillId="0" borderId="6" pivotButton="0" quotePrefix="0" xfId="0"/>
    <xf numFmtId="165" fontId="1" fillId="0" borderId="5" pivotButton="0" quotePrefix="0" xfId="0"/>
    <xf numFmtId="165" fontId="1" fillId="0" borderId="0" pivotButton="0" quotePrefix="0" xfId="0"/>
    <xf numFmtId="165" fontId="1" fillId="0" borderId="6" pivotButton="0" quotePrefix="0" xfId="0"/>
    <xf numFmtId="0" fontId="2" fillId="0" borderId="0" pivotButton="0" quotePrefix="0" xfId="0"/>
    <xf numFmtId="0" fontId="4" fillId="0" borderId="0" pivotButton="0" quotePrefix="0" xfId="0"/>
    <xf numFmtId="10" fontId="4" fillId="0" borderId="5" pivotButton="0" quotePrefix="0" xfId="0"/>
    <xf numFmtId="10" fontId="4" fillId="0" borderId="0" pivotButton="0" quotePrefix="0" xfId="0"/>
    <xf numFmtId="10" fontId="4" fillId="0" borderId="6" pivotButton="0" quotePrefix="0" xfId="0"/>
    <xf numFmtId="10" fontId="4" fillId="0" borderId="5" pivotButton="0" quotePrefix="0" xfId="0"/>
    <xf numFmtId="10" fontId="4" fillId="0" borderId="0" pivotButton="0" quotePrefix="0" xfId="0"/>
    <xf numFmtId="10" fontId="4" fillId="0" borderId="6" pivotButton="0" quotePrefix="0" xfId="0"/>
    <xf numFmtId="0" fontId="4" fillId="0" borderId="0" pivotButton="0" quotePrefix="0" xfId="0"/>
    <xf numFmtId="0" fontId="1" fillId="0" borderId="3" pivotButton="0" quotePrefix="0" xfId="0"/>
    <xf numFmtId="0" fontId="1" fillId="0" borderId="11" pivotButton="0" quotePrefix="0" xfId="0"/>
    <xf numFmtId="0" fontId="1" fillId="0" borderId="4" pivotButton="0" quotePrefix="0" xfId="0"/>
    <xf numFmtId="0" fontId="0" fillId="0" borderId="0" pivotButton="0" quotePrefix="0" xfId="0"/>
    <xf numFmtId="0" fontId="1" fillId="0" borderId="12" applyAlignment="1" pivotButton="0" quotePrefix="0" xfId="0">
      <alignment horizontal="center"/>
    </xf>
    <xf numFmtId="0" fontId="0" fillId="0" borderId="9" pivotButton="0" quotePrefix="0" xfId="0"/>
    <xf numFmtId="0" fontId="0" fillId="0" borderId="8" pivotButton="0" quotePrefix="0" xfId="0"/>
    <xf numFmtId="0" fontId="2" fillId="0" borderId="13" applyAlignment="1" pivotButton="0" quotePrefix="0" xfId="0">
      <alignment horizontal="center"/>
    </xf>
    <xf numFmtId="0" fontId="0" fillId="0" borderId="10" pivotButton="0" quotePrefix="0" xfId="0"/>
    <xf numFmtId="0" fontId="0" fillId="0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6" borderId="0" pivotButton="0" quotePrefix="0" xfId="0"/>
    <xf numFmtId="0" fontId="0" fillId="6" borderId="0" pivotButton="0" quotePrefix="0" xfId="0"/>
    <xf numFmtId="169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6" borderId="0" pivotButton="0" quotePrefix="0" xfId="0"/>
    <xf numFmtId="169" fontId="21" fillId="0" borderId="0" pivotButton="0" quotePrefix="0" xfId="0"/>
    <xf numFmtId="0" fontId="23" fillId="7" borderId="0" pivotButton="0" quotePrefix="0" xfId="0"/>
    <xf numFmtId="169" fontId="23" fillId="7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6" borderId="0" pivotButton="0" quotePrefix="0" xfId="0"/>
    <xf numFmtId="3" fontId="2" fillId="0" borderId="0" pivotButton="0" quotePrefix="0" xfId="0"/>
    <xf numFmtId="0" fontId="28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13</row>
      <rowOff>161925</rowOff>
    </from>
    <ext cx="5391150" cy="4286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35" customWidth="1" style="114" min="1" max="1"/>
    <col width="18" customWidth="1" style="114" min="2" max="2"/>
    <col width="18" customWidth="1" style="114" min="3" max="3"/>
    <col width="18" customWidth="1" style="114" min="4" max="4"/>
  </cols>
  <sheetData>
    <row r="1">
      <c r="A1" s="121" t="inlineStr">
        <is>
          <t>GuardSpine Financial Model -- Scenario Comparison</t>
        </is>
      </c>
    </row>
    <row r="2">
      <c r="A2" s="122" t="inlineStr">
        <is>
          <t>Prepared for Kristen Hengst Smith meeting | Feb 19, 2026</t>
        </is>
      </c>
    </row>
    <row r="3">
      <c r="A3" s="122" t="inlineStr">
        <is>
          <t>$1M raise at $9M pre-money / $10M post-money | 10% dilution</t>
        </is>
      </c>
    </row>
    <row r="5">
      <c r="A5" s="123" t="inlineStr">
        <is>
          <t>Metric</t>
        </is>
      </c>
      <c r="B5" s="124" t="inlineStr">
        <is>
          <t>Bear Case</t>
        </is>
      </c>
      <c r="C5" s="125" t="inlineStr">
        <is>
          <t>Base Case</t>
        </is>
      </c>
      <c r="D5" s="126" t="inlineStr">
        <is>
          <t>Bull Case</t>
        </is>
      </c>
    </row>
    <row r="6">
      <c r="A6" s="127" t="inlineStr">
        <is>
          <t>ASSUMPTIONS</t>
        </is>
      </c>
      <c r="B6" s="128" t="n"/>
      <c r="C6" s="128" t="n"/>
      <c r="D6" s="128" t="n"/>
    </row>
    <row r="7">
      <c r="A7" t="inlineStr">
        <is>
          <t>Starting Price (monthly)</t>
        </is>
      </c>
      <c r="B7" s="129" t="n">
        <v>2000</v>
      </c>
      <c r="C7" s="129" t="n">
        <v>2500</v>
      </c>
      <c r="D7" s="129" t="n">
        <v>3500</v>
      </c>
    </row>
    <row r="8">
      <c r="A8" t="inlineStr">
        <is>
          <t>Y1 Monthly Growth Rate</t>
        </is>
      </c>
      <c r="B8" s="130" t="n">
        <v>0.1</v>
      </c>
      <c r="C8" s="130" t="n">
        <v>0.15</v>
      </c>
      <c r="D8" s="130" t="n">
        <v>0.2</v>
      </c>
    </row>
    <row r="9">
      <c r="A9" t="inlineStr">
        <is>
          <t>Monthly Churn Rate</t>
        </is>
      </c>
      <c r="B9" s="130" t="n">
        <v>0.005</v>
      </c>
      <c r="C9" s="130" t="n">
        <v>0.003</v>
      </c>
      <c r="D9" s="130" t="n">
        <v>0.002</v>
      </c>
    </row>
    <row r="10">
      <c r="A10" t="inlineStr">
        <is>
          <t>Starting Customers</t>
        </is>
      </c>
      <c r="B10" s="131" t="n">
        <v>1</v>
      </c>
      <c r="C10" s="131" t="n">
        <v>1</v>
      </c>
      <c r="D10" s="131" t="n">
        <v>2</v>
      </c>
    </row>
    <row r="11">
      <c r="A11" t="inlineStr">
        <is>
          <t>Team Size (end Y1)</t>
        </is>
      </c>
      <c r="B11" s="131" t="n">
        <v>4</v>
      </c>
      <c r="C11" s="131" t="n">
        <v>5</v>
      </c>
      <c r="D11" s="131" t="n">
        <v>6</v>
      </c>
    </row>
    <row r="12">
      <c r="A12" s="127" t="inlineStr">
        <is>
          <t>REVENUE</t>
        </is>
      </c>
      <c r="B12" s="128" t="n"/>
      <c r="C12" s="128" t="n"/>
      <c r="D12" s="128" t="n"/>
    </row>
    <row r="13">
      <c r="A13" t="inlineStr">
        <is>
          <t>Y1 Total Revenue</t>
        </is>
      </c>
      <c r="B13" s="129" t="n">
        <v>254797.1752076559</v>
      </c>
      <c r="C13" s="129" t="n">
        <v>392518.5639157827</v>
      </c>
      <c r="D13" s="129" t="n">
        <v>1269645.477677682</v>
      </c>
    </row>
    <row r="14">
      <c r="A14" t="inlineStr">
        <is>
          <t>Y2 Total Revenue</t>
        </is>
      </c>
      <c r="B14" s="129" t="n">
        <v>920846.700985035</v>
      </c>
      <c r="C14" s="129" t="n">
        <v>1796344.187787854</v>
      </c>
      <c r="D14" s="129" t="n">
        <v>7003650.776313986</v>
      </c>
    </row>
    <row r="15">
      <c r="A15" t="inlineStr">
        <is>
          <t>End-of-Y1 MRR</t>
        </is>
      </c>
      <c r="B15" s="129" t="n">
        <v>41911.67271954777</v>
      </c>
      <c r="C15" s="129" t="n">
        <v>69997.7789387269</v>
      </c>
      <c r="D15" s="129" t="n">
        <v>240496.5685975922</v>
      </c>
    </row>
    <row r="16">
      <c r="A16" t="inlineStr">
        <is>
          <t>End-of-Y2 MRR</t>
        </is>
      </c>
      <c r="B16" s="129" t="n">
        <v>110584.1668178259</v>
      </c>
      <c r="C16" s="129" t="n">
        <v>234818.7986013506</v>
      </c>
      <c r="D16" s="129" t="n">
        <v>977965.82212645</v>
      </c>
    </row>
    <row r="17">
      <c r="A17" t="inlineStr">
        <is>
          <t>End-of-Y1 ARR</t>
        </is>
      </c>
      <c r="B17" s="129" t="n">
        <v>502940.0726345732</v>
      </c>
      <c r="C17" s="129" t="n">
        <v>839973.3472647228</v>
      </c>
      <c r="D17" s="129" t="n">
        <v>2885958.823171106</v>
      </c>
    </row>
    <row r="18">
      <c r="A18" t="inlineStr">
        <is>
          <t>End-of-Y2 ARR</t>
        </is>
      </c>
      <c r="B18" s="129" t="n">
        <v>1327010.001813911</v>
      </c>
      <c r="C18" s="129" t="n">
        <v>2817825.583216208</v>
      </c>
      <c r="D18" s="129" t="n">
        <v>11735589.8655174</v>
      </c>
    </row>
    <row r="19">
      <c r="A19" t="inlineStr">
        <is>
          <t>End-of-Y1 Customers</t>
        </is>
      </c>
      <c r="B19" s="131" t="n">
        <v>21</v>
      </c>
      <c r="C19" s="131" t="n">
        <v>28</v>
      </c>
      <c r="D19" s="131" t="n">
        <v>69</v>
      </c>
    </row>
    <row r="20">
      <c r="A20" t="inlineStr">
        <is>
          <t>End-of-Y2 Customers</t>
        </is>
      </c>
      <c r="B20" s="131" t="n">
        <v>50</v>
      </c>
      <c r="C20" s="131" t="n">
        <v>81</v>
      </c>
      <c r="D20" s="131" t="n">
        <v>233</v>
      </c>
    </row>
    <row r="21">
      <c r="A21" s="127" t="inlineStr">
        <is>
          <t>MARGINS</t>
        </is>
      </c>
      <c r="B21" s="128" t="n"/>
      <c r="C21" s="128" t="n"/>
      <c r="D21" s="128" t="n"/>
    </row>
    <row r="22">
      <c r="A22" t="inlineStr">
        <is>
          <t>End-of-Y1 Gross Margin</t>
        </is>
      </c>
      <c r="B22" s="130" t="n">
        <v>0.9342104477662521</v>
      </c>
      <c r="C22" s="130" t="n">
        <v>0.9485707486331383</v>
      </c>
      <c r="D22" s="130" t="n">
        <v>0.9637629047734571</v>
      </c>
    </row>
    <row r="23">
      <c r="A23" t="inlineStr">
        <is>
          <t>End-of-Y2 Gross Margin</t>
        </is>
      </c>
      <c r="B23" s="130" t="n">
        <v>0.9564356711890675</v>
      </c>
      <c r="C23" s="130" t="n">
        <v>0.9636120957566666</v>
      </c>
      <c r="D23" s="130" t="n">
        <v>0.9684662040676039</v>
      </c>
    </row>
    <row r="24">
      <c r="A24" t="inlineStr">
        <is>
          <t>Y1 EBITDA</t>
        </is>
      </c>
      <c r="B24" s="129" t="n">
        <v>-274538.5705610331</v>
      </c>
      <c r="C24" s="129" t="n">
        <v>-199212.1068366377</v>
      </c>
      <c r="D24" s="129" t="n">
        <v>534973.384686691</v>
      </c>
    </row>
    <row r="25">
      <c r="A25" t="inlineStr">
        <is>
          <t>Y2 EBITDA</t>
        </is>
      </c>
      <c r="B25" s="129" t="n">
        <v>281566.4978963818</v>
      </c>
      <c r="C25" s="129" t="n">
        <v>958269.2108869476</v>
      </c>
      <c r="D25" s="129" t="n">
        <v>5624918.206445727</v>
      </c>
    </row>
    <row r="26">
      <c r="A26" t="inlineStr">
        <is>
          <t>End-of-Y2 EBITDA Margin</t>
        </is>
      </c>
      <c r="B26" s="130" t="n">
        <v>0.4907085106823289</v>
      </c>
      <c r="C26" s="130" t="n">
        <v>0.6699553343440205</v>
      </c>
      <c r="D26" s="130" t="n">
        <v>0.8462278327228331</v>
      </c>
    </row>
    <row r="27">
      <c r="A27" s="127" t="inlineStr">
        <is>
          <t>SaaS OPERATING METRICS (End of Y2)</t>
        </is>
      </c>
      <c r="B27" s="128" t="n"/>
      <c r="C27" s="128" t="n"/>
      <c r="D27" s="128" t="n"/>
    </row>
    <row r="28">
      <c r="A28" t="inlineStr">
        <is>
          <t>LTV:CAC Ratio</t>
        </is>
      </c>
      <c r="B28" s="132" t="n">
        <v>77.15991049597679</v>
      </c>
      <c r="C28" s="132" t="n">
        <v>198.7617806303505</v>
      </c>
      <c r="D28" s="132" t="n">
        <v>397.2338308600168</v>
      </c>
    </row>
    <row r="29">
      <c r="A29" t="inlineStr">
        <is>
          <t>CAC Payback (months)</t>
        </is>
      </c>
      <c r="B29" s="132" t="n">
        <v>2.160016329663276</v>
      </c>
      <c r="C29" s="132" t="n">
        <v>1.257787081636889</v>
      </c>
      <c r="D29" s="132" t="n">
        <v>0.8391363157857475</v>
      </c>
    </row>
    <row r="30">
      <c r="A30" t="inlineStr">
        <is>
          <t>Net Revenue Retention</t>
        </is>
      </c>
      <c r="B30" s="130" t="n">
        <v>1.065288364473919</v>
      </c>
      <c r="C30" s="130" t="n">
        <v>1.083968858367559</v>
      </c>
      <c r="D30" s="130" t="n">
        <v>1.100302392126955</v>
      </c>
    </row>
    <row r="31">
      <c r="A31" t="inlineStr">
        <is>
          <t>Rule of 40</t>
        </is>
      </c>
      <c r="B31" s="130" t="n">
        <v>1.274168884369352</v>
      </c>
      <c r="C31" s="130" t="n">
        <v>1.677581634754727</v>
      </c>
      <c r="D31" s="130" t="n">
        <v>2.049856538246295</v>
      </c>
    </row>
    <row r="32">
      <c r="A32" s="127" t="inlineStr">
        <is>
          <t>EFFICIENCY: ARR per Employee</t>
        </is>
      </c>
      <c r="B32" s="128" t="n"/>
      <c r="C32" s="128" t="n"/>
      <c r="D32" s="128" t="n"/>
    </row>
    <row r="33">
      <c r="A33" t="inlineStr">
        <is>
          <t>Team Size (end Y2)</t>
        </is>
      </c>
      <c r="B33" s="131" t="n">
        <v>4</v>
      </c>
      <c r="C33" s="131" t="n">
        <v>5</v>
      </c>
      <c r="D33" s="131" t="n">
        <v>6</v>
      </c>
    </row>
    <row r="34">
      <c r="A34" t="inlineStr">
        <is>
          <t>End-Y2 ARR / Employee</t>
        </is>
      </c>
      <c r="B34" s="129" t="n">
        <v>331752.5004534777</v>
      </c>
      <c r="C34" s="129" t="n">
        <v>563565.1166432415</v>
      </c>
      <c r="D34" s="129" t="n">
        <v>1955931.6442529</v>
      </c>
    </row>
    <row r="35">
      <c r="A35" s="127" t="inlineStr">
        <is>
          <t>CASH &amp; RUNWAY</t>
        </is>
      </c>
      <c r="B35" s="128" t="n"/>
      <c r="C35" s="128" t="n"/>
      <c r="D35" s="128" t="n"/>
    </row>
    <row r="36">
      <c r="A36" t="inlineStr">
        <is>
          <t>EBITDA Breakeven (month #)</t>
        </is>
      </c>
      <c r="B36" s="131" t="n">
        <v>14</v>
      </c>
      <c r="C36" s="131" t="n">
        <v>12</v>
      </c>
      <c r="D36" s="131" t="n">
        <v>5</v>
      </c>
    </row>
    <row r="37">
      <c r="A37" t="inlineStr">
        <is>
          <t>End-of-Y1 Cash Remaining</t>
        </is>
      </c>
      <c r="B37" s="129" t="n">
        <v>725461.429438967</v>
      </c>
      <c r="C37" s="129" t="n">
        <v>800787.8931633624</v>
      </c>
      <c r="D37" s="129" t="n">
        <v>1534973.384686691</v>
      </c>
    </row>
    <row r="38">
      <c r="A38" t="inlineStr">
        <is>
          <t>End-of-Y2 Cash Remaining</t>
        </is>
      </c>
      <c r="B38" s="129" t="n">
        <v>1007027.927335349</v>
      </c>
      <c r="C38" s="129" t="n">
        <v>1759057.10405031</v>
      </c>
      <c r="D38" s="129" t="n">
        <v>7159891.591132418</v>
      </c>
    </row>
    <row r="39">
      <c r="A39" t="inlineStr">
        <is>
          <t>Peak Monthly Burn</t>
        </is>
      </c>
      <c r="B39" s="129" t="n">
        <v>32554.1</v>
      </c>
      <c r="C39" s="129" t="n">
        <v>31482.575</v>
      </c>
      <c r="D39" s="129" t="n">
        <v>22493.14</v>
      </c>
    </row>
    <row r="42">
      <c r="A42" s="133" t="inlineStr">
        <is>
          <t>KEY DIFFERENTIATOR: BYOK Architecture</t>
        </is>
      </c>
    </row>
    <row r="43">
      <c r="A43" t="inlineStr">
        <is>
          <t>Customers bring their own LLM API keys. GuardSpine pays ZERO inference costs.</t>
        </is>
      </c>
    </row>
    <row r="44">
      <c r="A44" t="inlineStr">
        <is>
          <t>Result: 90%+ gross margins at scale vs 40-65% for typical AI companies.</t>
        </is>
      </c>
    </row>
    <row r="45">
      <c r="A45" t="inlineStr">
        <is>
          <t>Comparable: Datadog (80.8% GM), CrowdStrike (75% GM), Zscaler (73.7% GM)</t>
        </is>
      </c>
    </row>
    <row r="46">
      <c r="A46" t="inlineStr">
        <is>
          <t>GuardSpine exceeds all comparables because BYOK eliminates the #1 AI cost driver.</t>
        </is>
      </c>
    </row>
    <row r="48">
      <c r="A48" s="134" t="inlineStr">
        <is>
          <t>BULL CASE DRIVERS: AI Adoption Tailwinds</t>
        </is>
      </c>
    </row>
    <row r="49">
      <c r="A49" s="135" t="inlineStr">
        <is>
          <t xml:space="preserve">  - AI coding tools market: $7.37B in 2025, projected $12-15B by 2027 (35-40% CAGR)</t>
        </is>
      </c>
    </row>
    <row r="50">
      <c r="A50" s="135" t="inlineStr">
        <is>
          <t xml:space="preserve">  - GitHub Copilot: 20M users, 4.7M paid subscribers, 50K+ orgs, 90% of Fortune 100</t>
        </is>
      </c>
    </row>
    <row r="51">
      <c r="A51" s="135" t="inlineStr">
        <is>
          <t xml:space="preserve">  - 75% of enterprise devs will use AI code assistants by 2028 (Gartner), up from &lt;10% in 2023</t>
        </is>
      </c>
    </row>
    <row r="52">
      <c r="A52" s="135" t="inlineStr">
        <is>
          <t xml:space="preserve">  - AI governance platform market: $492M in 2026, &gt;$1B by 2030 (Gartner, 28%+ CAGR)</t>
        </is>
      </c>
    </row>
    <row r="53">
      <c r="A53" s="135" t="inlineStr">
        <is>
          <t xml:space="preserve">  - EU AI Act high-risk rules enforcement: August 2026 -- compliance spending $2-15M per firm</t>
        </is>
      </c>
    </row>
    <row r="54">
      <c r="A54" s="135" t="inlineStr">
        <is>
          <t xml:space="preserve">  - DORA enforceable since Jan 2025; aligns with AI Act governance controls</t>
        </is>
      </c>
    </row>
    <row r="55">
      <c r="A55" s="135" t="inlineStr">
        <is>
          <t xml:space="preserve">  - 40% of enterprise apps will feature task-specific AI agents by end of 2026</t>
        </is>
      </c>
    </row>
    <row r="56">
      <c r="A56" s="135" t="inlineStr">
        <is>
          <t xml:space="preserve">  - Every AI-generated line of code needs governance = GuardSpine TAM grows with AI adoption</t>
        </is>
      </c>
    </row>
    <row r="59">
      <c r="A59" s="133" t="inlineStr">
        <is>
          <t>AI-NATIVE BENCHMARKS: ARR per Employee</t>
        </is>
      </c>
    </row>
    <row r="60">
      <c r="A60" s="136" t="inlineStr">
        <is>
          <t>Company</t>
        </is>
      </c>
      <c r="B60" s="136" t="inlineStr">
        <is>
          <t>ARR</t>
        </is>
      </c>
      <c r="C60" s="136" t="inlineStr">
        <is>
          <t>Team Size</t>
        </is>
      </c>
      <c r="D60" s="136" t="inlineStr">
        <is>
          <t>ARR/Employee</t>
        </is>
      </c>
    </row>
    <row r="61">
      <c r="A61" s="135" t="inlineStr">
        <is>
          <t>Midjourney (2025)</t>
        </is>
      </c>
      <c r="B61" s="137" t="n">
        <v>200000000</v>
      </c>
      <c r="C61" s="135" t="n">
        <v>11</v>
      </c>
      <c r="D61" s="137" t="n">
        <v>18181818</v>
      </c>
    </row>
    <row r="62">
      <c r="A62" s="135" t="inlineStr">
        <is>
          <t>Cursor / Anysphere (Nov 2025)</t>
        </is>
      </c>
      <c r="B62" s="137" t="n">
        <v>1000000000</v>
      </c>
      <c r="C62" s="135" t="n">
        <v>150</v>
      </c>
      <c r="D62" s="137" t="n">
        <v>6666667</v>
      </c>
    </row>
    <row r="63">
      <c r="A63" s="135" t="inlineStr">
        <is>
          <t>Cursor / Anysphere (early 2025)</t>
        </is>
      </c>
      <c r="B63" s="137" t="n">
        <v>100000000</v>
      </c>
      <c r="C63" s="135" t="n">
        <v>20</v>
      </c>
      <c r="D63" s="137" t="n">
        <v>5000000</v>
      </c>
    </row>
    <row r="64">
      <c r="A64" s="135" t="inlineStr">
        <is>
          <t>Mercor (2025)</t>
        </is>
      </c>
      <c r="B64" s="135" t="inlineStr">
        <is>
          <t>--</t>
        </is>
      </c>
      <c r="C64" s="135" t="inlineStr">
        <is>
          <t>--</t>
        </is>
      </c>
      <c r="D64" s="137" t="n">
        <v>4500000</v>
      </c>
    </row>
    <row r="65">
      <c r="A65" s="135" t="inlineStr">
        <is>
          <t>Nvidia (FY 2025)</t>
        </is>
      </c>
      <c r="B65" s="135" t="inlineStr">
        <is>
          <t>--</t>
        </is>
      </c>
      <c r="C65" s="135" t="inlineStr">
        <is>
          <t>--</t>
        </is>
      </c>
      <c r="D65" s="137" t="n">
        <v>3600000</v>
      </c>
    </row>
    <row r="66">
      <c r="A66" s="135" t="inlineStr">
        <is>
          <t>Meta (FY 2024)</t>
        </is>
      </c>
      <c r="B66" s="135" t="inlineStr">
        <is>
          <t>--</t>
        </is>
      </c>
      <c r="C66" s="135" t="inlineStr">
        <is>
          <t>--</t>
        </is>
      </c>
      <c r="D66" s="137" t="n">
        <v>2200000</v>
      </c>
    </row>
    <row r="67">
      <c r="A67" s="135" t="inlineStr">
        <is>
          <t>Microsoft (FY 2024)</t>
        </is>
      </c>
      <c r="B67" s="135" t="inlineStr">
        <is>
          <t>--</t>
        </is>
      </c>
      <c r="C67" s="135" t="inlineStr">
        <is>
          <t>--</t>
        </is>
      </c>
      <c r="D67" s="137" t="n">
        <v>1800000</v>
      </c>
    </row>
    <row r="68">
      <c r="A68" s="138" t="inlineStr">
        <is>
          <t>GuardSpine BEAR (end Y2)</t>
        </is>
      </c>
      <c r="B68" s="139" t="n">
        <v>1327010.001813911</v>
      </c>
      <c r="C68" s="138" t="n">
        <v>4</v>
      </c>
      <c r="D68" s="139" t="n">
        <v>331752.5004534777</v>
      </c>
    </row>
    <row r="69">
      <c r="A69" s="138" t="inlineStr">
        <is>
          <t>GuardSpine BASE (end Y2)</t>
        </is>
      </c>
      <c r="B69" s="139" t="n">
        <v>2817825.583216208</v>
      </c>
      <c r="C69" s="138" t="n">
        <v>5</v>
      </c>
      <c r="D69" s="139" t="n">
        <v>563565.1166432415</v>
      </c>
    </row>
    <row r="70">
      <c r="A70" s="138" t="inlineStr">
        <is>
          <t>GuardSpine BULL (end Y2)</t>
        </is>
      </c>
      <c r="B70" s="139" t="n">
        <v>11735589.8655174</v>
      </c>
      <c r="C70" s="138" t="n">
        <v>6</v>
      </c>
      <c r="D70" s="139" t="n">
        <v>1955931.6442529</v>
      </c>
    </row>
    <row r="72">
      <c r="A72" s="140" t="inlineStr">
        <is>
          <t>AI-native startups avg $3.5M ARR/employee vs traditional SaaS $200-400K.</t>
        </is>
      </c>
    </row>
    <row r="73">
      <c r="A73" s="140" t="inlineStr">
        <is>
          <t>GuardSpine's BYOK + PLG model = Cursor-class efficiency without inference cost drag.</t>
        </is>
      </c>
    </row>
    <row r="74">
      <c r="A74" s="141" t="inlineStr">
        <is>
          <t>Sources: Sacra, SaaStr, CB Insights, Lean AI Leaderboard, company filings (2025-2026)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999"/>
  <sheetViews>
    <sheetView showGridLines="0" workbookViewId="0">
      <selection activeCell="A1" sqref="A1"/>
    </sheetView>
  </sheetViews>
  <sheetFormatPr baseColWidth="8" defaultColWidth="12.63" defaultRowHeight="15.75" customHeight="1"/>
  <cols>
    <col width="5.13" customWidth="1" style="114" min="1" max="1"/>
    <col width="22.25" customWidth="1" style="114" min="2" max="2"/>
  </cols>
  <sheetData>
    <row r="1">
      <c r="A1" s="13" t="n"/>
      <c r="B1" s="13" t="n"/>
      <c r="C1" s="2" t="inlineStr">
        <is>
          <t>Year 1</t>
        </is>
      </c>
      <c r="E1" s="2" t="inlineStr">
        <is>
          <t>Year 2</t>
        </is>
      </c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inlineStr">
        <is>
          <t>Revenue</t>
        </is>
      </c>
      <c r="B2" s="13" t="n"/>
      <c r="C2" s="4" t="n"/>
      <c r="D2" s="5" t="n"/>
      <c r="E2" s="4" t="n"/>
      <c r="F2" s="5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>
      <c r="A3" s="13" t="n"/>
      <c r="B3" s="13" t="inlineStr">
        <is>
          <t>ARR</t>
        </is>
      </c>
      <c r="C3" s="7" t="n"/>
      <c r="D3" s="8">
        <f>sum('Financial Model'!C66:N66)</f>
        <v/>
      </c>
      <c r="E3" s="7" t="n"/>
      <c r="F3" s="8">
        <f>sum('Financial Model'!O66:Z66)</f>
        <v/>
      </c>
      <c r="G3" s="13" t="n"/>
      <c r="H3" s="9" t="inlineStr">
        <is>
          <t>Note: To edit the numbers, first make a copy of this sheet (File &gt; Make a copy).</t>
        </is>
      </c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>
      <c r="A4" s="4" t="n"/>
      <c r="B4" s="5" t="n"/>
      <c r="C4" s="4" t="n"/>
      <c r="D4" s="5" t="n"/>
      <c r="E4" s="4" t="n"/>
      <c r="F4" s="5" t="n"/>
      <c r="G4" s="13" t="n"/>
      <c r="I4" s="13" t="n"/>
      <c r="J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>
      <c r="A5" s="10" t="inlineStr">
        <is>
          <t>Costs</t>
        </is>
      </c>
      <c r="B5" s="14" t="n"/>
      <c r="C5" s="12" t="n"/>
      <c r="D5" s="14" t="n"/>
      <c r="E5" s="12" t="n"/>
      <c r="F5" s="14" t="n"/>
      <c r="G5" s="13" t="n"/>
      <c r="H5" s="13" t="inlineStr">
        <is>
          <t>Made by Gary Gaspar</t>
        </is>
      </c>
      <c r="I5" s="13" t="n"/>
      <c r="J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>
      <c r="A6" s="12" t="n"/>
      <c r="B6" s="14" t="inlineStr">
        <is>
          <t>Costs of Good Sold</t>
        </is>
      </c>
      <c r="C6" s="15">
        <f>D6/$D$3</f>
        <v/>
      </c>
      <c r="D6" s="16">
        <f>sum('Financial Model'!C71:N71)</f>
        <v/>
      </c>
      <c r="E6" s="15">
        <f>F6/$F$3</f>
        <v/>
      </c>
      <c r="F6" s="16">
        <f>sum('Financial Model'!O71:Z71)</f>
        <v/>
      </c>
      <c r="G6" s="13" t="n"/>
      <c r="H6" s="17">
        <f>HYPERLINK("https://marker.io?utm_source=spreadsheet&amp;utm_medium=template&amp;utm_campaign=saas-financial-model","https://marker.io")</f>
        <v/>
      </c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>
      <c r="A7" s="12" t="n"/>
      <c r="B7" s="14" t="inlineStr">
        <is>
          <t>Sales &amp; Marketing</t>
        </is>
      </c>
      <c r="C7" s="15">
        <f>D7/$D$3</f>
        <v/>
      </c>
      <c r="D7" s="18">
        <f>sum('Financial Model'!C77:N77)</f>
        <v/>
      </c>
      <c r="E7" s="15">
        <f>F7/$F$3</f>
        <v/>
      </c>
      <c r="F7" s="18">
        <f>sum('Financial Model'!O77:Z77)</f>
        <v/>
      </c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>
      <c r="A8" s="12" t="n"/>
      <c r="B8" s="14" t="inlineStr">
        <is>
          <t>Research &amp; Development</t>
        </is>
      </c>
      <c r="C8" s="15">
        <f>D8/$D$3</f>
        <v/>
      </c>
      <c r="D8" s="19">
        <f>sum('Financial Model'!C80:N80)</f>
        <v/>
      </c>
      <c r="E8" s="15">
        <f>F8/$F$3</f>
        <v/>
      </c>
      <c r="F8" s="19">
        <f>sum('Financial Model'!O80:Z80)</f>
        <v/>
      </c>
      <c r="G8" s="13" t="n"/>
      <c r="H8" s="13" t="n"/>
      <c r="I8" s="13" t="n"/>
      <c r="J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>
      <c r="A9" s="12" t="n"/>
      <c r="B9" s="14" t="inlineStr">
        <is>
          <t>General &amp; Administrative</t>
        </is>
      </c>
      <c r="C9" s="15">
        <f>D9/$D$3</f>
        <v/>
      </c>
      <c r="D9" s="19">
        <f>sum('Financial Model'!C83:N83)</f>
        <v/>
      </c>
      <c r="E9" s="15">
        <f>F9/$F$3</f>
        <v/>
      </c>
      <c r="F9" s="19">
        <f>sum('Financial Model'!O83:Z83)</f>
        <v/>
      </c>
      <c r="G9" s="13" t="n"/>
      <c r="H9" s="13" t="n"/>
      <c r="I9" s="13" t="n"/>
      <c r="J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>
      <c r="A10" s="7" t="n"/>
      <c r="B10" s="20" t="n"/>
      <c r="C10" s="7" t="n"/>
      <c r="D10" s="20" t="n"/>
      <c r="E10" s="7" t="n"/>
      <c r="F10" s="20" t="n"/>
      <c r="G10" s="13" t="n"/>
      <c r="H10" s="13" t="n"/>
      <c r="I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>
      <c r="A11" s="3" t="inlineStr">
        <is>
          <t>EBIT</t>
        </is>
      </c>
      <c r="B11" s="13" t="n"/>
      <c r="C11" s="23" t="n"/>
      <c r="D11" s="22">
        <f>D3-sum(D6:D9)</f>
        <v/>
      </c>
      <c r="E11" s="23" t="n"/>
      <c r="F11" s="22">
        <f>F3-sum(F6:F9)</f>
        <v/>
      </c>
      <c r="G11" s="13" t="n"/>
      <c r="H11" s="13" t="n"/>
      <c r="I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>
      <c r="A14" s="23" t="inlineStr">
        <is>
          <t>Cash needed to cover costs</t>
        </is>
      </c>
      <c r="B14" s="24" t="n"/>
      <c r="C14" s="25" t="n"/>
      <c r="D14" s="24" t="n"/>
      <c r="E14" s="24" t="n"/>
      <c r="F14" s="26">
        <f>sumif('Financial Model'!C87:Z87,"&lt;0")</f>
        <v/>
      </c>
      <c r="G14" s="13" t="n"/>
      <c r="H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K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</sheetData>
  <mergeCells count="2">
    <mergeCell ref="C1:D1"/>
    <mergeCell ref="E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989"/>
  <sheetViews>
    <sheetView showGridLines="0" workbookViewId="0">
      <selection activeCell="A1" sqref="A1"/>
    </sheetView>
  </sheetViews>
  <sheetFormatPr baseColWidth="8" defaultColWidth="12.63" defaultRowHeight="15.75" customHeight="1"/>
  <cols>
    <col width="34.13" customWidth="1" style="114" min="1" max="1"/>
    <col width="8.25" customWidth="1" style="114" min="2" max="9"/>
  </cols>
  <sheetData>
    <row r="1">
      <c r="A1" s="27" t="n"/>
      <c r="B1" s="115" t="inlineStr">
        <is>
          <t>Year 1</t>
        </is>
      </c>
      <c r="C1" s="116" t="n"/>
      <c r="D1" s="116" t="n"/>
      <c r="E1" s="117" t="n"/>
      <c r="F1" s="115" t="inlineStr">
        <is>
          <t>Year 2</t>
        </is>
      </c>
      <c r="G1" s="116" t="n"/>
      <c r="H1" s="116" t="n"/>
      <c r="I1" s="117" t="n"/>
    </row>
    <row r="2">
      <c r="A2" s="30" t="inlineStr">
        <is>
          <t>Hypotheses</t>
        </is>
      </c>
      <c r="B2" s="28" t="inlineStr">
        <is>
          <t>Q1</t>
        </is>
      </c>
      <c r="C2" s="31" t="inlineStr">
        <is>
          <t>Q2</t>
        </is>
      </c>
      <c r="D2" s="31" t="inlineStr">
        <is>
          <t>Q3</t>
        </is>
      </c>
      <c r="E2" s="32" t="inlineStr">
        <is>
          <t>Q4</t>
        </is>
      </c>
      <c r="F2" s="28" t="inlineStr">
        <is>
          <t>Q1</t>
        </is>
      </c>
      <c r="G2" s="31" t="inlineStr">
        <is>
          <t>Q2</t>
        </is>
      </c>
      <c r="H2" s="31" t="inlineStr">
        <is>
          <t>Q3</t>
        </is>
      </c>
      <c r="I2" s="32" t="inlineStr">
        <is>
          <t>Q4</t>
        </is>
      </c>
    </row>
    <row r="3">
      <c r="A3" s="33" t="inlineStr">
        <is>
          <t>Average monthly price of subscriptions</t>
        </is>
      </c>
      <c r="B3" s="34" t="n">
        <v>2500</v>
      </c>
      <c r="C3" s="34" t="n">
        <v>2500</v>
      </c>
      <c r="D3" s="34" t="n">
        <v>2500</v>
      </c>
      <c r="E3" s="34" t="n">
        <v>2500</v>
      </c>
      <c r="F3" s="34" t="n">
        <v>2900</v>
      </c>
      <c r="G3" s="34" t="n">
        <v>2900</v>
      </c>
      <c r="H3" s="34" t="n">
        <v>2900</v>
      </c>
      <c r="I3" s="34" t="n">
        <v>2900</v>
      </c>
    </row>
    <row r="4">
      <c r="A4" s="33" t="inlineStr">
        <is>
          <t xml:space="preserve">Monthly growth rate in number of new customer </t>
        </is>
      </c>
      <c r="B4" s="35" t="n">
        <v>0.15</v>
      </c>
      <c r="C4" s="35" t="n">
        <v>0.12</v>
      </c>
      <c r="D4" s="35" t="n">
        <v>0.1</v>
      </c>
      <c r="E4" s="35" t="n">
        <v>0.08</v>
      </c>
      <c r="F4" s="35" t="n">
        <v>0.08</v>
      </c>
      <c r="G4" s="35" t="n">
        <v>0.07000000000000001</v>
      </c>
      <c r="H4" s="35" t="n">
        <v>0.06</v>
      </c>
      <c r="I4" s="36" t="n">
        <v>0.05</v>
      </c>
    </row>
    <row r="5">
      <c r="A5" s="33" t="inlineStr">
        <is>
          <t>Monthly revenue churn rate</t>
        </is>
      </c>
      <c r="B5" s="37" t="n">
        <v>0.003</v>
      </c>
      <c r="C5" s="37" t="n">
        <v>0.003</v>
      </c>
      <c r="D5" s="37" t="n">
        <v>0.004</v>
      </c>
      <c r="E5" s="37" t="n">
        <v>0.004</v>
      </c>
      <c r="F5" s="37" t="n">
        <v>0.004</v>
      </c>
      <c r="G5" s="37" t="n">
        <v>0.004</v>
      </c>
      <c r="H5" s="37" t="n">
        <v>0.004</v>
      </c>
      <c r="I5" s="38" t="n">
        <v>0.004</v>
      </c>
    </row>
    <row r="6"/>
    <row r="7">
      <c r="B7" s="39" t="n"/>
    </row>
    <row r="8">
      <c r="A8" s="27" t="inlineStr">
        <is>
          <t>Number of new customers added last month</t>
        </is>
      </c>
      <c r="B8" s="40" t="n">
        <v>1</v>
      </c>
      <c r="C8" s="41" t="inlineStr">
        <is>
          <t>Cannot be ZERO</t>
        </is>
      </c>
    </row>
    <row r="9">
      <c r="A9" s="27" t="inlineStr">
        <is>
          <t>Starting MRR</t>
        </is>
      </c>
      <c r="B9" s="42" t="n">
        <v>2500</v>
      </c>
    </row>
    <row r="10">
      <c r="B10" s="39" t="n"/>
    </row>
    <row r="11">
      <c r="B11" s="43" t="n"/>
    </row>
    <row r="12">
      <c r="B12" s="39" t="n"/>
    </row>
    <row r="13">
      <c r="B13" s="39" t="n"/>
    </row>
    <row r="14">
      <c r="B14" s="39" t="n"/>
    </row>
    <row r="15">
      <c r="B15" s="39" t="n"/>
    </row>
    <row r="16">
      <c r="B16" s="39" t="n"/>
    </row>
    <row r="17">
      <c r="B17" s="39" t="n"/>
    </row>
    <row r="18">
      <c r="B18" s="39" t="n"/>
    </row>
    <row r="19">
      <c r="B19" s="39" t="n"/>
    </row>
    <row r="20">
      <c r="B20" s="39" t="n"/>
    </row>
    <row r="21">
      <c r="B21" s="39" t="n"/>
    </row>
    <row r="22">
      <c r="B22" s="39" t="n"/>
    </row>
    <row r="23">
      <c r="B23" s="39" t="n"/>
    </row>
    <row r="24">
      <c r="B24" s="39" t="n"/>
    </row>
    <row r="25">
      <c r="B25" s="39" t="n"/>
    </row>
    <row r="26">
      <c r="B26" s="39" t="n"/>
    </row>
    <row r="27">
      <c r="B27" s="39" t="n"/>
    </row>
    <row r="28">
      <c r="B28" s="39" t="n"/>
    </row>
    <row r="29">
      <c r="B29" s="39" t="n"/>
    </row>
    <row r="30">
      <c r="B30" s="39" t="n"/>
    </row>
    <row r="31">
      <c r="B31" s="39" t="n"/>
    </row>
    <row r="32">
      <c r="B32" s="39" t="n"/>
    </row>
    <row r="33">
      <c r="B33" s="39" t="n"/>
    </row>
    <row r="34">
      <c r="B34" s="39" t="n"/>
    </row>
    <row r="35">
      <c r="B35" s="39" t="n"/>
    </row>
    <row r="36">
      <c r="B36" s="39" t="n"/>
    </row>
    <row r="37">
      <c r="B37" s="39" t="n"/>
    </row>
    <row r="38">
      <c r="B38" s="39" t="n"/>
    </row>
    <row r="39">
      <c r="B39" s="39" t="n"/>
    </row>
    <row r="40">
      <c r="B40" s="39" t="n"/>
    </row>
    <row r="41">
      <c r="B41" s="39" t="n"/>
    </row>
    <row r="42">
      <c r="B42" s="39" t="n"/>
    </row>
    <row r="43">
      <c r="B43" s="39" t="n"/>
    </row>
    <row r="44">
      <c r="B44" s="39" t="n"/>
    </row>
    <row r="45">
      <c r="B45" s="39" t="n"/>
    </row>
    <row r="46">
      <c r="B46" s="39" t="n"/>
    </row>
    <row r="47">
      <c r="B47" s="39" t="n"/>
    </row>
    <row r="48">
      <c r="B48" s="39" t="n"/>
    </row>
    <row r="49">
      <c r="B49" s="39" t="n"/>
    </row>
    <row r="50">
      <c r="B50" s="39" t="n"/>
    </row>
    <row r="51">
      <c r="B51" s="39" t="n"/>
    </row>
    <row r="52">
      <c r="B52" s="39" t="n"/>
    </row>
    <row r="53">
      <c r="B53" s="39" t="n"/>
    </row>
    <row r="54">
      <c r="B54" s="39" t="n"/>
    </row>
    <row r="55">
      <c r="B55" s="39" t="n"/>
    </row>
    <row r="56">
      <c r="B56" s="39" t="n"/>
    </row>
    <row r="57">
      <c r="B57" s="39" t="n"/>
    </row>
    <row r="58">
      <c r="B58" s="39" t="n"/>
    </row>
    <row r="59">
      <c r="B59" s="39" t="n"/>
    </row>
    <row r="60">
      <c r="B60" s="39" t="n"/>
    </row>
    <row r="61">
      <c r="B61" s="39" t="n"/>
    </row>
    <row r="62">
      <c r="B62" s="39" t="n"/>
    </row>
    <row r="63">
      <c r="B63" s="39" t="n"/>
    </row>
    <row r="64">
      <c r="B64" s="39" t="n"/>
    </row>
    <row r="65">
      <c r="B65" s="39" t="n"/>
    </row>
    <row r="66">
      <c r="B66" s="39" t="n"/>
    </row>
    <row r="67">
      <c r="B67" s="39" t="n"/>
    </row>
    <row r="68">
      <c r="B68" s="39" t="n"/>
    </row>
    <row r="69">
      <c r="B69" s="39" t="n"/>
    </row>
    <row r="70">
      <c r="B70" s="39" t="n"/>
    </row>
    <row r="71">
      <c r="B71" s="39" t="n"/>
    </row>
    <row r="72">
      <c r="B72" s="39" t="n"/>
    </row>
    <row r="73">
      <c r="B73" s="39" t="n"/>
    </row>
    <row r="74">
      <c r="B74" s="39" t="n"/>
    </row>
    <row r="75">
      <c r="B75" s="39" t="n"/>
    </row>
    <row r="76">
      <c r="B76" s="39" t="n"/>
    </row>
    <row r="77">
      <c r="B77" s="39" t="n"/>
    </row>
    <row r="78">
      <c r="B78" s="39" t="n"/>
    </row>
    <row r="79">
      <c r="B79" s="39" t="n"/>
    </row>
    <row r="80">
      <c r="B80" s="39" t="n"/>
    </row>
    <row r="81">
      <c r="B81" s="39" t="n"/>
    </row>
    <row r="82">
      <c r="B82" s="39" t="n"/>
    </row>
    <row r="83">
      <c r="B83" s="39" t="n"/>
    </row>
    <row r="84">
      <c r="B84" s="39" t="n"/>
    </row>
    <row r="85">
      <c r="B85" s="39" t="n"/>
    </row>
    <row r="86">
      <c r="B86" s="39" t="n"/>
    </row>
    <row r="87">
      <c r="B87" s="39" t="n"/>
    </row>
    <row r="88">
      <c r="B88" s="39" t="n"/>
    </row>
    <row r="89">
      <c r="B89" s="39" t="n"/>
    </row>
    <row r="90">
      <c r="B90" s="39" t="n"/>
    </row>
    <row r="91">
      <c r="B91" s="39" t="n"/>
    </row>
    <row r="92">
      <c r="B92" s="39" t="n"/>
    </row>
    <row r="93">
      <c r="B93" s="39" t="n"/>
    </row>
    <row r="94">
      <c r="B94" s="39" t="n"/>
    </row>
    <row r="95">
      <c r="B95" s="39" t="n"/>
    </row>
    <row r="96">
      <c r="B96" s="39" t="n"/>
    </row>
    <row r="97">
      <c r="B97" s="39" t="n"/>
    </row>
    <row r="98">
      <c r="B98" s="39" t="n"/>
    </row>
    <row r="99">
      <c r="B99" s="39" t="n"/>
    </row>
    <row r="100">
      <c r="B100" s="39" t="n"/>
    </row>
    <row r="101">
      <c r="B101" s="39" t="n"/>
    </row>
    <row r="102">
      <c r="B102" s="39" t="n"/>
    </row>
    <row r="103">
      <c r="B103" s="39" t="n"/>
    </row>
    <row r="104">
      <c r="B104" s="39" t="n"/>
    </row>
    <row r="105">
      <c r="B105" s="39" t="n"/>
    </row>
    <row r="106">
      <c r="B106" s="39" t="n"/>
    </row>
    <row r="107">
      <c r="B107" s="39" t="n"/>
    </row>
    <row r="108">
      <c r="B108" s="39" t="n"/>
    </row>
    <row r="109">
      <c r="B109" s="39" t="n"/>
    </row>
    <row r="110">
      <c r="B110" s="39" t="n"/>
    </row>
    <row r="111">
      <c r="B111" s="39" t="n"/>
    </row>
    <row r="112">
      <c r="B112" s="39" t="n"/>
    </row>
    <row r="113">
      <c r="B113" s="39" t="n"/>
    </row>
    <row r="114">
      <c r="B114" s="39" t="n"/>
    </row>
    <row r="115">
      <c r="B115" s="39" t="n"/>
    </row>
    <row r="116">
      <c r="B116" s="39" t="n"/>
    </row>
    <row r="117">
      <c r="B117" s="39" t="n"/>
    </row>
    <row r="118">
      <c r="B118" s="39" t="n"/>
    </row>
    <row r="119">
      <c r="B119" s="39" t="n"/>
    </row>
    <row r="120">
      <c r="B120" s="39" t="n"/>
    </row>
    <row r="121">
      <c r="B121" s="39" t="n"/>
    </row>
    <row r="122">
      <c r="B122" s="39" t="n"/>
    </row>
    <row r="123">
      <c r="B123" s="39" t="n"/>
    </row>
    <row r="124">
      <c r="B124" s="39" t="n"/>
    </row>
    <row r="125">
      <c r="B125" s="39" t="n"/>
    </row>
    <row r="126">
      <c r="B126" s="39" t="n"/>
    </row>
    <row r="127">
      <c r="B127" s="39" t="n"/>
    </row>
    <row r="128">
      <c r="B128" s="39" t="n"/>
    </row>
    <row r="129">
      <c r="B129" s="39" t="n"/>
    </row>
    <row r="130">
      <c r="B130" s="39" t="n"/>
    </row>
    <row r="131">
      <c r="B131" s="39" t="n"/>
    </row>
    <row r="132">
      <c r="B132" s="39" t="n"/>
    </row>
    <row r="133">
      <c r="B133" s="39" t="n"/>
    </row>
    <row r="134">
      <c r="B134" s="39" t="n"/>
    </row>
    <row r="135">
      <c r="B135" s="39" t="n"/>
    </row>
    <row r="136">
      <c r="B136" s="39" t="n"/>
    </row>
    <row r="137">
      <c r="B137" s="39" t="n"/>
    </row>
    <row r="138">
      <c r="B138" s="39" t="n"/>
    </row>
    <row r="139">
      <c r="B139" s="39" t="n"/>
    </row>
    <row r="140">
      <c r="B140" s="39" t="n"/>
    </row>
    <row r="141">
      <c r="B141" s="39" t="n"/>
    </row>
    <row r="142">
      <c r="B142" s="39" t="n"/>
    </row>
    <row r="143">
      <c r="B143" s="39" t="n"/>
    </row>
    <row r="144">
      <c r="B144" s="39" t="n"/>
    </row>
    <row r="145">
      <c r="B145" s="39" t="n"/>
    </row>
    <row r="146">
      <c r="B146" s="39" t="n"/>
    </row>
    <row r="147">
      <c r="B147" s="39" t="n"/>
    </row>
    <row r="148">
      <c r="B148" s="39" t="n"/>
    </row>
    <row r="149">
      <c r="B149" s="39" t="n"/>
    </row>
    <row r="150">
      <c r="B150" s="39" t="n"/>
    </row>
    <row r="151">
      <c r="B151" s="39" t="n"/>
    </row>
    <row r="152">
      <c r="B152" s="39" t="n"/>
    </row>
    <row r="153">
      <c r="B153" s="39" t="n"/>
    </row>
    <row r="154">
      <c r="B154" s="39" t="n"/>
    </row>
    <row r="155">
      <c r="B155" s="39" t="n"/>
    </row>
    <row r="156">
      <c r="B156" s="39" t="n"/>
    </row>
    <row r="157">
      <c r="B157" s="39" t="n"/>
    </row>
    <row r="158">
      <c r="B158" s="39" t="n"/>
    </row>
    <row r="159">
      <c r="B159" s="39" t="n"/>
    </row>
    <row r="160">
      <c r="B160" s="39" t="n"/>
    </row>
    <row r="161">
      <c r="B161" s="39" t="n"/>
    </row>
    <row r="162">
      <c r="B162" s="39" t="n"/>
    </row>
    <row r="163">
      <c r="B163" s="39" t="n"/>
    </row>
    <row r="164">
      <c r="B164" s="39" t="n"/>
    </row>
    <row r="165">
      <c r="B165" s="39" t="n"/>
    </row>
    <row r="166">
      <c r="B166" s="39" t="n"/>
    </row>
    <row r="167">
      <c r="B167" s="39" t="n"/>
    </row>
    <row r="168">
      <c r="B168" s="39" t="n"/>
    </row>
    <row r="169">
      <c r="B169" s="39" t="n"/>
    </row>
    <row r="170">
      <c r="B170" s="39" t="n"/>
    </row>
    <row r="171">
      <c r="B171" s="39" t="n"/>
    </row>
    <row r="172">
      <c r="B172" s="39" t="n"/>
    </row>
    <row r="173">
      <c r="B173" s="39" t="n"/>
    </row>
    <row r="174">
      <c r="B174" s="39" t="n"/>
    </row>
    <row r="175">
      <c r="B175" s="39" t="n"/>
    </row>
    <row r="176">
      <c r="B176" s="39" t="n"/>
    </row>
    <row r="177">
      <c r="B177" s="39" t="n"/>
    </row>
    <row r="178">
      <c r="B178" s="39" t="n"/>
    </row>
    <row r="179">
      <c r="B179" s="39" t="n"/>
    </row>
    <row r="180">
      <c r="B180" s="39" t="n"/>
    </row>
    <row r="181">
      <c r="B181" s="39" t="n"/>
    </row>
    <row r="182">
      <c r="B182" s="39" t="n"/>
    </row>
    <row r="183">
      <c r="B183" s="39" t="n"/>
    </row>
    <row r="184">
      <c r="B184" s="39" t="n"/>
    </row>
    <row r="185">
      <c r="B185" s="39" t="n"/>
    </row>
    <row r="186">
      <c r="B186" s="39" t="n"/>
    </row>
    <row r="187">
      <c r="B187" s="39" t="n"/>
    </row>
    <row r="188">
      <c r="B188" s="39" t="n"/>
    </row>
    <row r="189">
      <c r="B189" s="39" t="n"/>
    </row>
    <row r="190">
      <c r="B190" s="39" t="n"/>
    </row>
    <row r="191">
      <c r="B191" s="39" t="n"/>
    </row>
    <row r="192">
      <c r="B192" s="39" t="n"/>
    </row>
    <row r="193">
      <c r="B193" s="39" t="n"/>
    </row>
    <row r="194">
      <c r="B194" s="39" t="n"/>
    </row>
    <row r="195">
      <c r="B195" s="39" t="n"/>
    </row>
    <row r="196">
      <c r="B196" s="39" t="n"/>
    </row>
    <row r="197">
      <c r="B197" s="39" t="n"/>
    </row>
    <row r="198">
      <c r="B198" s="39" t="n"/>
    </row>
    <row r="199">
      <c r="B199" s="39" t="n"/>
    </row>
    <row r="200">
      <c r="B200" s="39" t="n"/>
    </row>
    <row r="201">
      <c r="B201" s="39" t="n"/>
    </row>
    <row r="202">
      <c r="B202" s="39" t="n"/>
    </row>
    <row r="203">
      <c r="B203" s="39" t="n"/>
    </row>
    <row r="204">
      <c r="B204" s="39" t="n"/>
    </row>
    <row r="205">
      <c r="B205" s="39" t="n"/>
    </row>
    <row r="206">
      <c r="B206" s="39" t="n"/>
    </row>
    <row r="207">
      <c r="B207" s="39" t="n"/>
    </row>
    <row r="208">
      <c r="B208" s="39" t="n"/>
    </row>
    <row r="209">
      <c r="B209" s="39" t="n"/>
    </row>
    <row r="210">
      <c r="B210" s="39" t="n"/>
    </row>
    <row r="211">
      <c r="B211" s="39" t="n"/>
    </row>
    <row r="212">
      <c r="B212" s="39" t="n"/>
    </row>
    <row r="213">
      <c r="B213" s="39" t="n"/>
    </row>
    <row r="214">
      <c r="B214" s="39" t="n"/>
    </row>
    <row r="215">
      <c r="B215" s="39" t="n"/>
    </row>
    <row r="216">
      <c r="B216" s="39" t="n"/>
    </row>
    <row r="217">
      <c r="B217" s="39" t="n"/>
    </row>
    <row r="218">
      <c r="B218" s="39" t="n"/>
    </row>
    <row r="219">
      <c r="B219" s="39" t="n"/>
    </row>
    <row r="220">
      <c r="B220" s="39" t="n"/>
    </row>
    <row r="221">
      <c r="B221" s="39" t="n"/>
    </row>
    <row r="222">
      <c r="B222" s="39" t="n"/>
    </row>
    <row r="223">
      <c r="B223" s="39" t="n"/>
    </row>
    <row r="224">
      <c r="B224" s="39" t="n"/>
    </row>
    <row r="225">
      <c r="B225" s="39" t="n"/>
    </row>
    <row r="226">
      <c r="B226" s="39" t="n"/>
    </row>
    <row r="227">
      <c r="B227" s="39" t="n"/>
    </row>
    <row r="228">
      <c r="B228" s="39" t="n"/>
    </row>
    <row r="229">
      <c r="B229" s="39" t="n"/>
    </row>
    <row r="230">
      <c r="B230" s="39" t="n"/>
    </row>
    <row r="231">
      <c r="B231" s="39" t="n"/>
    </row>
    <row r="232">
      <c r="B232" s="39" t="n"/>
    </row>
    <row r="233">
      <c r="B233" s="39" t="n"/>
    </row>
    <row r="234">
      <c r="B234" s="39" t="n"/>
    </row>
    <row r="235">
      <c r="B235" s="39" t="n"/>
    </row>
    <row r="236">
      <c r="B236" s="39" t="n"/>
    </row>
    <row r="237">
      <c r="B237" s="39" t="n"/>
    </row>
    <row r="238">
      <c r="B238" s="39" t="n"/>
    </row>
    <row r="239">
      <c r="B239" s="39" t="n"/>
    </row>
    <row r="240">
      <c r="B240" s="39" t="n"/>
    </row>
    <row r="241">
      <c r="B241" s="39" t="n"/>
    </row>
    <row r="242">
      <c r="B242" s="39" t="n"/>
    </row>
    <row r="243">
      <c r="B243" s="39" t="n"/>
    </row>
    <row r="244">
      <c r="B244" s="39" t="n"/>
    </row>
    <row r="245">
      <c r="B245" s="39" t="n"/>
    </row>
    <row r="246">
      <c r="B246" s="39" t="n"/>
    </row>
    <row r="247">
      <c r="B247" s="39" t="n"/>
    </row>
    <row r="248">
      <c r="B248" s="39" t="n"/>
    </row>
    <row r="249">
      <c r="B249" s="39" t="n"/>
    </row>
    <row r="250">
      <c r="B250" s="39" t="n"/>
    </row>
    <row r="251">
      <c r="B251" s="39" t="n"/>
    </row>
    <row r="252">
      <c r="B252" s="39" t="n"/>
    </row>
    <row r="253">
      <c r="B253" s="39" t="n"/>
    </row>
    <row r="254">
      <c r="B254" s="39" t="n"/>
    </row>
    <row r="255">
      <c r="B255" s="39" t="n"/>
    </row>
    <row r="256">
      <c r="B256" s="39" t="n"/>
    </row>
    <row r="257">
      <c r="B257" s="39" t="n"/>
    </row>
    <row r="258">
      <c r="B258" s="39" t="n"/>
    </row>
    <row r="259">
      <c r="B259" s="39" t="n"/>
    </row>
    <row r="260">
      <c r="B260" s="39" t="n"/>
    </row>
    <row r="261">
      <c r="B261" s="39" t="n"/>
    </row>
    <row r="262">
      <c r="B262" s="39" t="n"/>
    </row>
    <row r="263">
      <c r="B263" s="39" t="n"/>
    </row>
    <row r="264">
      <c r="B264" s="39" t="n"/>
    </row>
    <row r="265">
      <c r="B265" s="39" t="n"/>
    </row>
    <row r="266">
      <c r="B266" s="39" t="n"/>
    </row>
    <row r="267">
      <c r="B267" s="39" t="n"/>
    </row>
    <row r="268">
      <c r="B268" s="39" t="n"/>
    </row>
    <row r="269">
      <c r="B269" s="39" t="n"/>
    </row>
    <row r="270">
      <c r="B270" s="39" t="n"/>
    </row>
    <row r="271">
      <c r="B271" s="39" t="n"/>
    </row>
    <row r="272">
      <c r="B272" s="39" t="n"/>
    </row>
    <row r="273">
      <c r="B273" s="39" t="n"/>
    </row>
    <row r="274">
      <c r="B274" s="39" t="n"/>
    </row>
    <row r="275">
      <c r="B275" s="39" t="n"/>
    </row>
    <row r="276">
      <c r="B276" s="39" t="n"/>
    </row>
    <row r="277">
      <c r="B277" s="39" t="n"/>
    </row>
    <row r="278">
      <c r="B278" s="39" t="n"/>
    </row>
    <row r="279">
      <c r="B279" s="39" t="n"/>
    </row>
    <row r="280">
      <c r="B280" s="39" t="n"/>
    </row>
    <row r="281">
      <c r="B281" s="39" t="n"/>
    </row>
    <row r="282">
      <c r="B282" s="39" t="n"/>
    </row>
    <row r="283">
      <c r="B283" s="39" t="n"/>
    </row>
    <row r="284">
      <c r="B284" s="39" t="n"/>
    </row>
    <row r="285">
      <c r="B285" s="39" t="n"/>
    </row>
    <row r="286">
      <c r="B286" s="39" t="n"/>
    </row>
    <row r="287">
      <c r="B287" s="39" t="n"/>
    </row>
    <row r="288">
      <c r="B288" s="39" t="n"/>
    </row>
    <row r="289">
      <c r="B289" s="39" t="n"/>
    </row>
    <row r="290">
      <c r="B290" s="39" t="n"/>
    </row>
    <row r="291">
      <c r="B291" s="39" t="n"/>
    </row>
    <row r="292">
      <c r="B292" s="39" t="n"/>
    </row>
    <row r="293">
      <c r="B293" s="39" t="n"/>
    </row>
    <row r="294">
      <c r="B294" s="39" t="n"/>
    </row>
    <row r="295">
      <c r="B295" s="39" t="n"/>
    </row>
    <row r="296">
      <c r="B296" s="39" t="n"/>
    </row>
    <row r="297">
      <c r="B297" s="39" t="n"/>
    </row>
    <row r="298">
      <c r="B298" s="39" t="n"/>
    </row>
    <row r="299">
      <c r="B299" s="39" t="n"/>
    </row>
    <row r="300">
      <c r="B300" s="39" t="n"/>
    </row>
    <row r="301">
      <c r="B301" s="39" t="n"/>
    </row>
    <row r="302">
      <c r="B302" s="39" t="n"/>
    </row>
    <row r="303">
      <c r="B303" s="39" t="n"/>
    </row>
    <row r="304">
      <c r="B304" s="39" t="n"/>
    </row>
    <row r="305">
      <c r="B305" s="39" t="n"/>
    </row>
    <row r="306">
      <c r="B306" s="39" t="n"/>
    </row>
    <row r="307">
      <c r="B307" s="39" t="n"/>
    </row>
    <row r="308">
      <c r="B308" s="39" t="n"/>
    </row>
    <row r="309">
      <c r="B309" s="39" t="n"/>
    </row>
    <row r="310">
      <c r="B310" s="39" t="n"/>
    </row>
    <row r="311">
      <c r="B311" s="39" t="n"/>
    </row>
    <row r="312">
      <c r="B312" s="39" t="n"/>
    </row>
    <row r="313">
      <c r="B313" s="39" t="n"/>
    </row>
    <row r="314">
      <c r="B314" s="39" t="n"/>
    </row>
    <row r="315">
      <c r="B315" s="39" t="n"/>
    </row>
    <row r="316">
      <c r="B316" s="39" t="n"/>
    </row>
    <row r="317">
      <c r="B317" s="39" t="n"/>
    </row>
    <row r="318">
      <c r="B318" s="39" t="n"/>
    </row>
    <row r="319">
      <c r="B319" s="39" t="n"/>
    </row>
    <row r="320">
      <c r="B320" s="39" t="n"/>
    </row>
    <row r="321">
      <c r="B321" s="39" t="n"/>
    </row>
    <row r="322">
      <c r="B322" s="39" t="n"/>
    </row>
    <row r="323">
      <c r="B323" s="39" t="n"/>
    </row>
    <row r="324">
      <c r="B324" s="39" t="n"/>
    </row>
    <row r="325">
      <c r="B325" s="39" t="n"/>
    </row>
    <row r="326">
      <c r="B326" s="39" t="n"/>
    </row>
    <row r="327">
      <c r="B327" s="39" t="n"/>
    </row>
    <row r="328">
      <c r="B328" s="39" t="n"/>
    </row>
    <row r="329">
      <c r="B329" s="39" t="n"/>
    </row>
    <row r="330">
      <c r="B330" s="39" t="n"/>
    </row>
    <row r="331">
      <c r="B331" s="39" t="n"/>
    </row>
    <row r="332">
      <c r="B332" s="39" t="n"/>
    </row>
    <row r="333">
      <c r="B333" s="39" t="n"/>
    </row>
    <row r="334">
      <c r="B334" s="39" t="n"/>
    </row>
    <row r="335">
      <c r="B335" s="39" t="n"/>
    </row>
    <row r="336">
      <c r="B336" s="39" t="n"/>
    </row>
    <row r="337">
      <c r="B337" s="39" t="n"/>
    </row>
    <row r="338">
      <c r="B338" s="39" t="n"/>
    </row>
    <row r="339">
      <c r="B339" s="39" t="n"/>
    </row>
    <row r="340">
      <c r="B340" s="39" t="n"/>
    </row>
    <row r="341">
      <c r="B341" s="39" t="n"/>
    </row>
    <row r="342">
      <c r="B342" s="39" t="n"/>
    </row>
    <row r="343">
      <c r="B343" s="39" t="n"/>
    </row>
    <row r="344">
      <c r="B344" s="39" t="n"/>
    </row>
    <row r="345">
      <c r="B345" s="39" t="n"/>
    </row>
    <row r="346">
      <c r="B346" s="39" t="n"/>
    </row>
    <row r="347">
      <c r="B347" s="39" t="n"/>
    </row>
    <row r="348">
      <c r="B348" s="39" t="n"/>
    </row>
    <row r="349">
      <c r="B349" s="39" t="n"/>
    </row>
    <row r="350">
      <c r="B350" s="39" t="n"/>
    </row>
    <row r="351">
      <c r="B351" s="39" t="n"/>
    </row>
    <row r="352">
      <c r="B352" s="39" t="n"/>
    </row>
    <row r="353">
      <c r="B353" s="39" t="n"/>
    </row>
    <row r="354">
      <c r="B354" s="39" t="n"/>
    </row>
    <row r="355">
      <c r="B355" s="39" t="n"/>
    </row>
    <row r="356">
      <c r="B356" s="39" t="n"/>
    </row>
    <row r="357">
      <c r="B357" s="39" t="n"/>
    </row>
    <row r="358">
      <c r="B358" s="39" t="n"/>
    </row>
    <row r="359">
      <c r="B359" s="39" t="n"/>
    </row>
    <row r="360">
      <c r="B360" s="39" t="n"/>
    </row>
    <row r="361">
      <c r="B361" s="39" t="n"/>
    </row>
    <row r="362">
      <c r="B362" s="39" t="n"/>
    </row>
    <row r="363">
      <c r="B363" s="39" t="n"/>
    </row>
    <row r="364">
      <c r="B364" s="39" t="n"/>
    </row>
    <row r="365">
      <c r="B365" s="39" t="n"/>
    </row>
    <row r="366">
      <c r="B366" s="39" t="n"/>
    </row>
    <row r="367">
      <c r="B367" s="39" t="n"/>
    </row>
    <row r="368">
      <c r="B368" s="39" t="n"/>
    </row>
    <row r="369">
      <c r="B369" s="39" t="n"/>
    </row>
    <row r="370">
      <c r="B370" s="39" t="n"/>
    </row>
    <row r="371">
      <c r="B371" s="39" t="n"/>
    </row>
    <row r="372">
      <c r="B372" s="39" t="n"/>
    </row>
    <row r="373">
      <c r="B373" s="39" t="n"/>
    </row>
    <row r="374">
      <c r="B374" s="39" t="n"/>
    </row>
    <row r="375">
      <c r="B375" s="39" t="n"/>
    </row>
    <row r="376">
      <c r="B376" s="39" t="n"/>
    </row>
    <row r="377">
      <c r="B377" s="39" t="n"/>
    </row>
    <row r="378">
      <c r="B378" s="39" t="n"/>
    </row>
    <row r="379">
      <c r="B379" s="39" t="n"/>
    </row>
    <row r="380">
      <c r="B380" s="39" t="n"/>
    </row>
    <row r="381">
      <c r="B381" s="39" t="n"/>
    </row>
    <row r="382">
      <c r="B382" s="39" t="n"/>
    </row>
    <row r="383">
      <c r="B383" s="39" t="n"/>
    </row>
    <row r="384">
      <c r="B384" s="39" t="n"/>
    </row>
    <row r="385">
      <c r="B385" s="39" t="n"/>
    </row>
    <row r="386">
      <c r="B386" s="39" t="n"/>
    </row>
    <row r="387">
      <c r="B387" s="39" t="n"/>
    </row>
    <row r="388">
      <c r="B388" s="39" t="n"/>
    </row>
    <row r="389">
      <c r="B389" s="39" t="n"/>
    </row>
    <row r="390">
      <c r="B390" s="39" t="n"/>
    </row>
    <row r="391">
      <c r="B391" s="39" t="n"/>
    </row>
    <row r="392">
      <c r="B392" s="39" t="n"/>
    </row>
    <row r="393">
      <c r="B393" s="39" t="n"/>
    </row>
    <row r="394">
      <c r="B394" s="39" t="n"/>
    </row>
    <row r="395">
      <c r="B395" s="39" t="n"/>
    </row>
    <row r="396">
      <c r="B396" s="39" t="n"/>
    </row>
    <row r="397">
      <c r="B397" s="39" t="n"/>
    </row>
    <row r="398">
      <c r="B398" s="39" t="n"/>
    </row>
    <row r="399">
      <c r="B399" s="39" t="n"/>
    </row>
    <row r="400">
      <c r="B400" s="39" t="n"/>
    </row>
    <row r="401">
      <c r="B401" s="39" t="n"/>
    </row>
    <row r="402">
      <c r="B402" s="39" t="n"/>
    </row>
    <row r="403">
      <c r="B403" s="39" t="n"/>
    </row>
    <row r="404">
      <c r="B404" s="39" t="n"/>
    </row>
    <row r="405">
      <c r="B405" s="39" t="n"/>
    </row>
    <row r="406">
      <c r="B406" s="39" t="n"/>
    </row>
    <row r="407">
      <c r="B407" s="39" t="n"/>
    </row>
    <row r="408">
      <c r="B408" s="39" t="n"/>
    </row>
    <row r="409">
      <c r="B409" s="39" t="n"/>
    </row>
    <row r="410">
      <c r="B410" s="39" t="n"/>
    </row>
    <row r="411">
      <c r="B411" s="39" t="n"/>
    </row>
    <row r="412">
      <c r="B412" s="39" t="n"/>
    </row>
    <row r="413">
      <c r="B413" s="39" t="n"/>
    </row>
    <row r="414">
      <c r="B414" s="39" t="n"/>
    </row>
    <row r="415">
      <c r="B415" s="39" t="n"/>
    </row>
    <row r="416">
      <c r="B416" s="39" t="n"/>
    </row>
    <row r="417">
      <c r="B417" s="39" t="n"/>
    </row>
    <row r="418">
      <c r="B418" s="39" t="n"/>
    </row>
    <row r="419">
      <c r="B419" s="39" t="n"/>
    </row>
    <row r="420">
      <c r="B420" s="39" t="n"/>
    </row>
    <row r="421">
      <c r="B421" s="39" t="n"/>
    </row>
    <row r="422">
      <c r="B422" s="39" t="n"/>
    </row>
    <row r="423">
      <c r="B423" s="39" t="n"/>
    </row>
    <row r="424">
      <c r="B424" s="39" t="n"/>
    </row>
    <row r="425">
      <c r="B425" s="39" t="n"/>
    </row>
    <row r="426">
      <c r="B426" s="39" t="n"/>
    </row>
    <row r="427">
      <c r="B427" s="39" t="n"/>
    </row>
    <row r="428">
      <c r="B428" s="39" t="n"/>
    </row>
    <row r="429">
      <c r="B429" s="39" t="n"/>
    </row>
    <row r="430">
      <c r="B430" s="39" t="n"/>
    </row>
    <row r="431">
      <c r="B431" s="39" t="n"/>
    </row>
    <row r="432">
      <c r="B432" s="39" t="n"/>
    </row>
    <row r="433">
      <c r="B433" s="39" t="n"/>
    </row>
    <row r="434">
      <c r="B434" s="39" t="n"/>
    </row>
    <row r="435">
      <c r="B435" s="39" t="n"/>
    </row>
    <row r="436">
      <c r="B436" s="39" t="n"/>
    </row>
    <row r="437">
      <c r="B437" s="39" t="n"/>
    </row>
    <row r="438">
      <c r="B438" s="39" t="n"/>
    </row>
    <row r="439">
      <c r="B439" s="39" t="n"/>
    </row>
    <row r="440">
      <c r="B440" s="39" t="n"/>
    </row>
    <row r="441">
      <c r="B441" s="39" t="n"/>
    </row>
    <row r="442">
      <c r="B442" s="39" t="n"/>
    </row>
    <row r="443">
      <c r="B443" s="39" t="n"/>
    </row>
    <row r="444">
      <c r="B444" s="39" t="n"/>
    </row>
    <row r="445">
      <c r="B445" s="39" t="n"/>
    </row>
    <row r="446">
      <c r="B446" s="39" t="n"/>
    </row>
    <row r="447">
      <c r="B447" s="39" t="n"/>
    </row>
    <row r="448">
      <c r="B448" s="39" t="n"/>
    </row>
    <row r="449">
      <c r="B449" s="39" t="n"/>
    </row>
    <row r="450">
      <c r="B450" s="39" t="n"/>
    </row>
    <row r="451">
      <c r="B451" s="39" t="n"/>
    </row>
    <row r="452">
      <c r="B452" s="39" t="n"/>
    </row>
    <row r="453">
      <c r="B453" s="39" t="n"/>
    </row>
    <row r="454">
      <c r="B454" s="39" t="n"/>
    </row>
    <row r="455">
      <c r="B455" s="39" t="n"/>
    </row>
    <row r="456">
      <c r="B456" s="39" t="n"/>
    </row>
    <row r="457">
      <c r="B457" s="39" t="n"/>
    </row>
    <row r="458">
      <c r="B458" s="39" t="n"/>
    </row>
    <row r="459">
      <c r="B459" s="39" t="n"/>
    </row>
    <row r="460">
      <c r="B460" s="39" t="n"/>
    </row>
    <row r="461">
      <c r="B461" s="39" t="n"/>
    </row>
    <row r="462">
      <c r="B462" s="39" t="n"/>
    </row>
    <row r="463">
      <c r="B463" s="39" t="n"/>
    </row>
    <row r="464">
      <c r="B464" s="39" t="n"/>
    </row>
    <row r="465">
      <c r="B465" s="39" t="n"/>
    </row>
    <row r="466">
      <c r="B466" s="39" t="n"/>
    </row>
    <row r="467">
      <c r="B467" s="39" t="n"/>
    </row>
    <row r="468">
      <c r="B468" s="39" t="n"/>
    </row>
    <row r="469">
      <c r="B469" s="39" t="n"/>
    </row>
    <row r="470">
      <c r="B470" s="39" t="n"/>
    </row>
    <row r="471">
      <c r="B471" s="39" t="n"/>
    </row>
    <row r="472">
      <c r="B472" s="39" t="n"/>
    </row>
    <row r="473">
      <c r="B473" s="39" t="n"/>
    </row>
    <row r="474">
      <c r="B474" s="39" t="n"/>
    </row>
    <row r="475">
      <c r="B475" s="39" t="n"/>
    </row>
    <row r="476">
      <c r="B476" s="39" t="n"/>
    </row>
    <row r="477">
      <c r="B477" s="39" t="n"/>
    </row>
    <row r="478">
      <c r="B478" s="39" t="n"/>
    </row>
    <row r="479">
      <c r="B479" s="39" t="n"/>
    </row>
    <row r="480">
      <c r="B480" s="39" t="n"/>
    </row>
    <row r="481">
      <c r="B481" s="39" t="n"/>
    </row>
    <row r="482">
      <c r="B482" s="39" t="n"/>
    </row>
    <row r="483">
      <c r="B483" s="39" t="n"/>
    </row>
    <row r="484">
      <c r="B484" s="39" t="n"/>
    </row>
    <row r="485">
      <c r="B485" s="39" t="n"/>
    </row>
    <row r="486">
      <c r="B486" s="39" t="n"/>
    </row>
    <row r="487">
      <c r="B487" s="39" t="n"/>
    </row>
    <row r="488">
      <c r="B488" s="39" t="n"/>
    </row>
    <row r="489">
      <c r="B489" s="39" t="n"/>
    </row>
    <row r="490">
      <c r="B490" s="39" t="n"/>
    </row>
    <row r="491">
      <c r="B491" s="39" t="n"/>
    </row>
    <row r="492">
      <c r="B492" s="39" t="n"/>
    </row>
    <row r="493">
      <c r="B493" s="39" t="n"/>
    </row>
    <row r="494">
      <c r="B494" s="39" t="n"/>
    </row>
    <row r="495">
      <c r="B495" s="39" t="n"/>
    </row>
    <row r="496">
      <c r="B496" s="39" t="n"/>
    </row>
    <row r="497">
      <c r="B497" s="39" t="n"/>
    </row>
    <row r="498">
      <c r="B498" s="39" t="n"/>
    </row>
    <row r="499">
      <c r="B499" s="39" t="n"/>
    </row>
    <row r="500">
      <c r="B500" s="39" t="n"/>
    </row>
    <row r="501">
      <c r="B501" s="39" t="n"/>
    </row>
    <row r="502">
      <c r="B502" s="39" t="n"/>
    </row>
    <row r="503">
      <c r="B503" s="39" t="n"/>
    </row>
    <row r="504">
      <c r="B504" s="39" t="n"/>
    </row>
    <row r="505">
      <c r="B505" s="39" t="n"/>
    </row>
    <row r="506">
      <c r="B506" s="39" t="n"/>
    </row>
    <row r="507">
      <c r="B507" s="39" t="n"/>
    </row>
    <row r="508">
      <c r="B508" s="39" t="n"/>
    </row>
    <row r="509">
      <c r="B509" s="39" t="n"/>
    </row>
    <row r="510">
      <c r="B510" s="39" t="n"/>
    </row>
    <row r="511">
      <c r="B511" s="39" t="n"/>
    </row>
    <row r="512">
      <c r="B512" s="39" t="n"/>
    </row>
    <row r="513">
      <c r="B513" s="39" t="n"/>
    </row>
    <row r="514">
      <c r="B514" s="39" t="n"/>
    </row>
    <row r="515">
      <c r="B515" s="39" t="n"/>
    </row>
    <row r="516">
      <c r="B516" s="39" t="n"/>
    </row>
    <row r="517">
      <c r="B517" s="39" t="n"/>
    </row>
    <row r="518">
      <c r="B518" s="39" t="n"/>
    </row>
    <row r="519">
      <c r="B519" s="39" t="n"/>
    </row>
    <row r="520">
      <c r="B520" s="39" t="n"/>
    </row>
    <row r="521">
      <c r="B521" s="39" t="n"/>
    </row>
    <row r="522">
      <c r="B522" s="39" t="n"/>
    </row>
    <row r="523">
      <c r="B523" s="39" t="n"/>
    </row>
    <row r="524">
      <c r="B524" s="39" t="n"/>
    </row>
    <row r="525">
      <c r="B525" s="39" t="n"/>
    </row>
    <row r="526">
      <c r="B526" s="39" t="n"/>
    </row>
    <row r="527">
      <c r="B527" s="39" t="n"/>
    </row>
    <row r="528">
      <c r="B528" s="39" t="n"/>
    </row>
    <row r="529">
      <c r="B529" s="39" t="n"/>
    </row>
    <row r="530">
      <c r="B530" s="39" t="n"/>
    </row>
    <row r="531">
      <c r="B531" s="39" t="n"/>
    </row>
    <row r="532">
      <c r="B532" s="39" t="n"/>
    </row>
    <row r="533">
      <c r="B533" s="39" t="n"/>
    </row>
    <row r="534">
      <c r="B534" s="39" t="n"/>
    </row>
    <row r="535">
      <c r="B535" s="39" t="n"/>
    </row>
    <row r="536">
      <c r="B536" s="39" t="n"/>
    </row>
    <row r="537">
      <c r="B537" s="39" t="n"/>
    </row>
    <row r="538">
      <c r="B538" s="39" t="n"/>
    </row>
    <row r="539">
      <c r="B539" s="39" t="n"/>
    </row>
    <row r="540">
      <c r="B540" s="39" t="n"/>
    </row>
    <row r="541">
      <c r="B541" s="39" t="n"/>
    </row>
    <row r="542">
      <c r="B542" s="39" t="n"/>
    </row>
    <row r="543">
      <c r="B543" s="39" t="n"/>
    </row>
    <row r="544">
      <c r="B544" s="39" t="n"/>
    </row>
    <row r="545">
      <c r="B545" s="39" t="n"/>
    </row>
    <row r="546">
      <c r="B546" s="39" t="n"/>
    </row>
    <row r="547">
      <c r="B547" s="39" t="n"/>
    </row>
    <row r="548">
      <c r="B548" s="39" t="n"/>
    </row>
    <row r="549">
      <c r="B549" s="39" t="n"/>
    </row>
    <row r="550">
      <c r="B550" s="39" t="n"/>
    </row>
    <row r="551">
      <c r="B551" s="39" t="n"/>
    </row>
    <row r="552">
      <c r="B552" s="39" t="n"/>
    </row>
    <row r="553">
      <c r="B553" s="39" t="n"/>
    </row>
    <row r="554">
      <c r="B554" s="39" t="n"/>
    </row>
    <row r="555">
      <c r="B555" s="39" t="n"/>
    </row>
    <row r="556">
      <c r="B556" s="39" t="n"/>
    </row>
    <row r="557">
      <c r="B557" s="39" t="n"/>
    </row>
    <row r="558">
      <c r="B558" s="39" t="n"/>
    </row>
    <row r="559">
      <c r="B559" s="39" t="n"/>
    </row>
    <row r="560">
      <c r="B560" s="39" t="n"/>
    </row>
    <row r="561">
      <c r="B561" s="39" t="n"/>
    </row>
    <row r="562">
      <c r="B562" s="39" t="n"/>
    </row>
    <row r="563">
      <c r="B563" s="39" t="n"/>
    </row>
    <row r="564">
      <c r="B564" s="39" t="n"/>
    </row>
    <row r="565">
      <c r="B565" s="39" t="n"/>
    </row>
    <row r="566">
      <c r="B566" s="39" t="n"/>
    </row>
    <row r="567">
      <c r="B567" s="39" t="n"/>
    </row>
    <row r="568">
      <c r="B568" s="39" t="n"/>
    </row>
    <row r="569">
      <c r="B569" s="39" t="n"/>
    </row>
    <row r="570">
      <c r="B570" s="39" t="n"/>
    </row>
    <row r="571">
      <c r="B571" s="39" t="n"/>
    </row>
    <row r="572">
      <c r="B572" s="39" t="n"/>
    </row>
    <row r="573">
      <c r="B573" s="39" t="n"/>
    </row>
    <row r="574">
      <c r="B574" s="39" t="n"/>
    </row>
    <row r="575">
      <c r="B575" s="39" t="n"/>
    </row>
    <row r="576">
      <c r="B576" s="39" t="n"/>
    </row>
    <row r="577">
      <c r="B577" s="39" t="n"/>
    </row>
    <row r="578">
      <c r="B578" s="39" t="n"/>
    </row>
    <row r="579">
      <c r="B579" s="39" t="n"/>
    </row>
    <row r="580">
      <c r="B580" s="39" t="n"/>
    </row>
    <row r="581">
      <c r="B581" s="39" t="n"/>
    </row>
    <row r="582">
      <c r="B582" s="39" t="n"/>
    </row>
    <row r="583">
      <c r="B583" s="39" t="n"/>
    </row>
    <row r="584">
      <c r="B584" s="39" t="n"/>
    </row>
    <row r="585">
      <c r="B585" s="39" t="n"/>
    </row>
    <row r="586">
      <c r="B586" s="39" t="n"/>
    </row>
    <row r="587">
      <c r="B587" s="39" t="n"/>
    </row>
    <row r="588">
      <c r="B588" s="39" t="n"/>
    </row>
    <row r="589">
      <c r="B589" s="39" t="n"/>
    </row>
    <row r="590">
      <c r="B590" s="39" t="n"/>
    </row>
    <row r="591">
      <c r="B591" s="39" t="n"/>
    </row>
    <row r="592">
      <c r="B592" s="39" t="n"/>
    </row>
    <row r="593">
      <c r="B593" s="39" t="n"/>
    </row>
    <row r="594">
      <c r="B594" s="39" t="n"/>
    </row>
    <row r="595">
      <c r="B595" s="39" t="n"/>
    </row>
    <row r="596">
      <c r="B596" s="39" t="n"/>
    </row>
    <row r="597">
      <c r="B597" s="39" t="n"/>
    </row>
    <row r="598">
      <c r="B598" s="39" t="n"/>
    </row>
    <row r="599">
      <c r="B599" s="39" t="n"/>
    </row>
    <row r="600">
      <c r="B600" s="39" t="n"/>
    </row>
    <row r="601">
      <c r="B601" s="39" t="n"/>
    </row>
    <row r="602">
      <c r="B602" s="39" t="n"/>
    </row>
    <row r="603">
      <c r="B603" s="39" t="n"/>
    </row>
    <row r="604">
      <c r="B604" s="39" t="n"/>
    </row>
    <row r="605">
      <c r="B605" s="39" t="n"/>
    </row>
    <row r="606">
      <c r="B606" s="39" t="n"/>
    </row>
    <row r="607">
      <c r="B607" s="39" t="n"/>
    </row>
    <row r="608">
      <c r="B608" s="39" t="n"/>
    </row>
    <row r="609">
      <c r="B609" s="39" t="n"/>
    </row>
    <row r="610">
      <c r="B610" s="39" t="n"/>
    </row>
    <row r="611">
      <c r="B611" s="39" t="n"/>
    </row>
    <row r="612">
      <c r="B612" s="39" t="n"/>
    </row>
    <row r="613">
      <c r="B613" s="39" t="n"/>
    </row>
    <row r="614">
      <c r="B614" s="39" t="n"/>
    </row>
    <row r="615">
      <c r="B615" s="39" t="n"/>
    </row>
    <row r="616">
      <c r="B616" s="39" t="n"/>
    </row>
    <row r="617">
      <c r="B617" s="39" t="n"/>
    </row>
    <row r="618">
      <c r="B618" s="39" t="n"/>
    </row>
    <row r="619">
      <c r="B619" s="39" t="n"/>
    </row>
    <row r="620">
      <c r="B620" s="39" t="n"/>
    </row>
    <row r="621">
      <c r="B621" s="39" t="n"/>
    </row>
    <row r="622">
      <c r="B622" s="39" t="n"/>
    </row>
    <row r="623">
      <c r="B623" s="39" t="n"/>
    </row>
    <row r="624">
      <c r="B624" s="39" t="n"/>
    </row>
    <row r="625">
      <c r="B625" s="39" t="n"/>
    </row>
    <row r="626">
      <c r="B626" s="39" t="n"/>
    </row>
    <row r="627">
      <c r="B627" s="39" t="n"/>
    </row>
    <row r="628">
      <c r="B628" s="39" t="n"/>
    </row>
    <row r="629">
      <c r="B629" s="39" t="n"/>
    </row>
    <row r="630">
      <c r="B630" s="39" t="n"/>
    </row>
    <row r="631">
      <c r="B631" s="39" t="n"/>
    </row>
    <row r="632">
      <c r="B632" s="39" t="n"/>
    </row>
    <row r="633">
      <c r="B633" s="39" t="n"/>
    </row>
    <row r="634">
      <c r="B634" s="39" t="n"/>
    </row>
    <row r="635">
      <c r="B635" s="39" t="n"/>
    </row>
    <row r="636">
      <c r="B636" s="39" t="n"/>
    </row>
    <row r="637">
      <c r="B637" s="39" t="n"/>
    </row>
    <row r="638">
      <c r="B638" s="39" t="n"/>
    </row>
    <row r="639">
      <c r="B639" s="39" t="n"/>
    </row>
    <row r="640">
      <c r="B640" s="39" t="n"/>
    </row>
    <row r="641">
      <c r="B641" s="39" t="n"/>
    </row>
    <row r="642">
      <c r="B642" s="39" t="n"/>
    </row>
    <row r="643">
      <c r="B643" s="39" t="n"/>
    </row>
    <row r="644">
      <c r="B644" s="39" t="n"/>
    </row>
    <row r="645">
      <c r="B645" s="39" t="n"/>
    </row>
    <row r="646">
      <c r="B646" s="39" t="n"/>
    </row>
    <row r="647">
      <c r="B647" s="39" t="n"/>
    </row>
    <row r="648">
      <c r="B648" s="39" t="n"/>
    </row>
    <row r="649">
      <c r="B649" s="39" t="n"/>
    </row>
    <row r="650">
      <c r="B650" s="39" t="n"/>
    </row>
    <row r="651">
      <c r="B651" s="39" t="n"/>
    </row>
    <row r="652">
      <c r="B652" s="39" t="n"/>
    </row>
    <row r="653">
      <c r="B653" s="39" t="n"/>
    </row>
    <row r="654">
      <c r="B654" s="39" t="n"/>
    </row>
    <row r="655">
      <c r="B655" s="39" t="n"/>
    </row>
    <row r="656">
      <c r="B656" s="39" t="n"/>
    </row>
    <row r="657">
      <c r="B657" s="39" t="n"/>
    </row>
    <row r="658">
      <c r="B658" s="39" t="n"/>
    </row>
    <row r="659">
      <c r="B659" s="39" t="n"/>
    </row>
    <row r="660">
      <c r="B660" s="39" t="n"/>
    </row>
    <row r="661">
      <c r="B661" s="39" t="n"/>
    </row>
    <row r="662">
      <c r="B662" s="39" t="n"/>
    </row>
    <row r="663">
      <c r="B663" s="39" t="n"/>
    </row>
    <row r="664">
      <c r="B664" s="39" t="n"/>
    </row>
    <row r="665">
      <c r="B665" s="39" t="n"/>
    </row>
    <row r="666">
      <c r="B666" s="39" t="n"/>
    </row>
    <row r="667">
      <c r="B667" s="39" t="n"/>
    </row>
    <row r="668">
      <c r="B668" s="39" t="n"/>
    </row>
    <row r="669">
      <c r="B669" s="39" t="n"/>
    </row>
    <row r="670">
      <c r="B670" s="39" t="n"/>
    </row>
    <row r="671">
      <c r="B671" s="39" t="n"/>
    </row>
    <row r="672">
      <c r="B672" s="39" t="n"/>
    </row>
    <row r="673">
      <c r="B673" s="39" t="n"/>
    </row>
    <row r="674">
      <c r="B674" s="39" t="n"/>
    </row>
    <row r="675">
      <c r="B675" s="39" t="n"/>
    </row>
    <row r="676">
      <c r="B676" s="39" t="n"/>
    </row>
    <row r="677">
      <c r="B677" s="39" t="n"/>
    </row>
    <row r="678">
      <c r="B678" s="39" t="n"/>
    </row>
    <row r="679">
      <c r="B679" s="39" t="n"/>
    </row>
    <row r="680">
      <c r="B680" s="39" t="n"/>
    </row>
    <row r="681">
      <c r="B681" s="39" t="n"/>
    </row>
    <row r="682">
      <c r="B682" s="39" t="n"/>
    </row>
    <row r="683">
      <c r="B683" s="39" t="n"/>
    </row>
    <row r="684">
      <c r="B684" s="39" t="n"/>
    </row>
    <row r="685">
      <c r="B685" s="39" t="n"/>
    </row>
    <row r="686">
      <c r="B686" s="39" t="n"/>
    </row>
    <row r="687">
      <c r="B687" s="39" t="n"/>
    </row>
    <row r="688">
      <c r="B688" s="39" t="n"/>
    </row>
    <row r="689">
      <c r="B689" s="39" t="n"/>
    </row>
    <row r="690">
      <c r="B690" s="39" t="n"/>
    </row>
    <row r="691">
      <c r="B691" s="39" t="n"/>
    </row>
    <row r="692">
      <c r="B692" s="39" t="n"/>
    </row>
    <row r="693">
      <c r="B693" s="39" t="n"/>
    </row>
    <row r="694">
      <c r="B694" s="39" t="n"/>
    </row>
    <row r="695">
      <c r="B695" s="39" t="n"/>
    </row>
    <row r="696">
      <c r="B696" s="39" t="n"/>
    </row>
    <row r="697">
      <c r="B697" s="39" t="n"/>
    </row>
    <row r="698">
      <c r="B698" s="39" t="n"/>
    </row>
    <row r="699">
      <c r="B699" s="39" t="n"/>
    </row>
    <row r="700">
      <c r="B700" s="39" t="n"/>
    </row>
    <row r="701">
      <c r="B701" s="39" t="n"/>
    </row>
    <row r="702">
      <c r="B702" s="39" t="n"/>
    </row>
    <row r="703">
      <c r="B703" s="39" t="n"/>
    </row>
    <row r="704">
      <c r="B704" s="39" t="n"/>
    </row>
    <row r="705">
      <c r="B705" s="39" t="n"/>
    </row>
    <row r="706">
      <c r="B706" s="39" t="n"/>
    </row>
    <row r="707">
      <c r="B707" s="39" t="n"/>
    </row>
    <row r="708">
      <c r="B708" s="39" t="n"/>
    </row>
    <row r="709">
      <c r="B709" s="39" t="n"/>
    </row>
    <row r="710">
      <c r="B710" s="39" t="n"/>
    </row>
    <row r="711">
      <c r="B711" s="39" t="n"/>
    </row>
    <row r="712">
      <c r="B712" s="39" t="n"/>
    </row>
    <row r="713">
      <c r="B713" s="39" t="n"/>
    </row>
    <row r="714">
      <c r="B714" s="39" t="n"/>
    </row>
    <row r="715">
      <c r="B715" s="39" t="n"/>
    </row>
    <row r="716">
      <c r="B716" s="39" t="n"/>
    </row>
    <row r="717">
      <c r="B717" s="39" t="n"/>
    </row>
    <row r="718">
      <c r="B718" s="39" t="n"/>
    </row>
    <row r="719">
      <c r="B719" s="39" t="n"/>
    </row>
    <row r="720">
      <c r="B720" s="39" t="n"/>
    </row>
    <row r="721">
      <c r="B721" s="39" t="n"/>
    </row>
    <row r="722">
      <c r="B722" s="39" t="n"/>
    </row>
    <row r="723">
      <c r="B723" s="39" t="n"/>
    </row>
    <row r="724">
      <c r="B724" s="39" t="n"/>
    </row>
    <row r="725">
      <c r="B725" s="39" t="n"/>
    </row>
    <row r="726">
      <c r="B726" s="39" t="n"/>
    </row>
    <row r="727">
      <c r="B727" s="39" t="n"/>
    </row>
    <row r="728">
      <c r="B728" s="39" t="n"/>
    </row>
    <row r="729">
      <c r="B729" s="39" t="n"/>
    </row>
    <row r="730">
      <c r="B730" s="39" t="n"/>
    </row>
    <row r="731">
      <c r="B731" s="39" t="n"/>
    </row>
    <row r="732">
      <c r="B732" s="39" t="n"/>
    </row>
    <row r="733">
      <c r="B733" s="39" t="n"/>
    </row>
    <row r="734">
      <c r="B734" s="39" t="n"/>
    </row>
    <row r="735">
      <c r="B735" s="39" t="n"/>
    </row>
    <row r="736">
      <c r="B736" s="39" t="n"/>
    </row>
    <row r="737">
      <c r="B737" s="39" t="n"/>
    </row>
    <row r="738">
      <c r="B738" s="39" t="n"/>
    </row>
    <row r="739">
      <c r="B739" s="39" t="n"/>
    </row>
    <row r="740">
      <c r="B740" s="39" t="n"/>
    </row>
    <row r="741">
      <c r="B741" s="39" t="n"/>
    </row>
    <row r="742">
      <c r="B742" s="39" t="n"/>
    </row>
    <row r="743">
      <c r="B743" s="39" t="n"/>
    </row>
    <row r="744">
      <c r="B744" s="39" t="n"/>
    </row>
    <row r="745">
      <c r="B745" s="39" t="n"/>
    </row>
    <row r="746">
      <c r="B746" s="39" t="n"/>
    </row>
    <row r="747">
      <c r="B747" s="39" t="n"/>
    </row>
    <row r="748">
      <c r="B748" s="39" t="n"/>
    </row>
    <row r="749">
      <c r="B749" s="39" t="n"/>
    </row>
    <row r="750">
      <c r="B750" s="39" t="n"/>
    </row>
    <row r="751">
      <c r="B751" s="39" t="n"/>
    </row>
    <row r="752">
      <c r="B752" s="39" t="n"/>
    </row>
    <row r="753">
      <c r="B753" s="39" t="n"/>
    </row>
    <row r="754">
      <c r="B754" s="39" t="n"/>
    </row>
    <row r="755">
      <c r="B755" s="39" t="n"/>
    </row>
    <row r="756">
      <c r="B756" s="39" t="n"/>
    </row>
    <row r="757">
      <c r="B757" s="39" t="n"/>
    </row>
    <row r="758">
      <c r="B758" s="39" t="n"/>
    </row>
    <row r="759">
      <c r="B759" s="39" t="n"/>
    </row>
    <row r="760">
      <c r="B760" s="39" t="n"/>
    </row>
    <row r="761">
      <c r="B761" s="39" t="n"/>
    </row>
    <row r="762">
      <c r="B762" s="39" t="n"/>
    </row>
    <row r="763">
      <c r="B763" s="39" t="n"/>
    </row>
    <row r="764">
      <c r="B764" s="39" t="n"/>
    </row>
    <row r="765">
      <c r="B765" s="39" t="n"/>
    </row>
    <row r="766">
      <c r="B766" s="39" t="n"/>
    </row>
    <row r="767">
      <c r="B767" s="39" t="n"/>
    </row>
    <row r="768">
      <c r="B768" s="39" t="n"/>
    </row>
    <row r="769">
      <c r="B769" s="39" t="n"/>
    </row>
    <row r="770">
      <c r="B770" s="39" t="n"/>
    </row>
    <row r="771">
      <c r="B771" s="39" t="n"/>
    </row>
    <row r="772">
      <c r="B772" s="39" t="n"/>
    </row>
    <row r="773">
      <c r="B773" s="39" t="n"/>
    </row>
    <row r="774">
      <c r="B774" s="39" t="n"/>
    </row>
    <row r="775">
      <c r="B775" s="39" t="n"/>
    </row>
    <row r="776">
      <c r="B776" s="39" t="n"/>
    </row>
    <row r="777">
      <c r="B777" s="39" t="n"/>
    </row>
    <row r="778">
      <c r="B778" s="39" t="n"/>
    </row>
    <row r="779">
      <c r="B779" s="39" t="n"/>
    </row>
    <row r="780">
      <c r="B780" s="39" t="n"/>
    </row>
    <row r="781">
      <c r="B781" s="39" t="n"/>
    </row>
    <row r="782">
      <c r="B782" s="39" t="n"/>
    </row>
    <row r="783">
      <c r="B783" s="39" t="n"/>
    </row>
    <row r="784">
      <c r="B784" s="39" t="n"/>
    </row>
    <row r="785">
      <c r="B785" s="39" t="n"/>
    </row>
    <row r="786">
      <c r="B786" s="39" t="n"/>
    </row>
    <row r="787">
      <c r="B787" s="39" t="n"/>
    </row>
    <row r="788">
      <c r="B788" s="39" t="n"/>
    </row>
    <row r="789">
      <c r="B789" s="39" t="n"/>
    </row>
    <row r="790">
      <c r="B790" s="39" t="n"/>
    </row>
    <row r="791">
      <c r="B791" s="39" t="n"/>
    </row>
    <row r="792">
      <c r="B792" s="39" t="n"/>
    </row>
    <row r="793">
      <c r="B793" s="39" t="n"/>
    </row>
    <row r="794">
      <c r="B794" s="39" t="n"/>
    </row>
    <row r="795">
      <c r="B795" s="39" t="n"/>
    </row>
    <row r="796">
      <c r="B796" s="39" t="n"/>
    </row>
    <row r="797">
      <c r="B797" s="39" t="n"/>
    </row>
    <row r="798">
      <c r="B798" s="39" t="n"/>
    </row>
    <row r="799">
      <c r="B799" s="39" t="n"/>
    </row>
    <row r="800">
      <c r="B800" s="39" t="n"/>
    </row>
    <row r="801">
      <c r="B801" s="39" t="n"/>
    </row>
    <row r="802">
      <c r="B802" s="39" t="n"/>
    </row>
    <row r="803">
      <c r="B803" s="39" t="n"/>
    </row>
    <row r="804">
      <c r="B804" s="39" t="n"/>
    </row>
    <row r="805">
      <c r="B805" s="39" t="n"/>
    </row>
    <row r="806">
      <c r="B806" s="39" t="n"/>
    </row>
    <row r="807">
      <c r="B807" s="39" t="n"/>
    </row>
    <row r="808">
      <c r="B808" s="39" t="n"/>
    </row>
    <row r="809">
      <c r="B809" s="39" t="n"/>
    </row>
    <row r="810">
      <c r="B810" s="39" t="n"/>
    </row>
    <row r="811">
      <c r="B811" s="39" t="n"/>
    </row>
    <row r="812">
      <c r="B812" s="39" t="n"/>
    </row>
    <row r="813">
      <c r="B813" s="39" t="n"/>
    </row>
    <row r="814">
      <c r="B814" s="39" t="n"/>
    </row>
    <row r="815">
      <c r="B815" s="39" t="n"/>
    </row>
    <row r="816">
      <c r="B816" s="39" t="n"/>
    </row>
    <row r="817">
      <c r="B817" s="39" t="n"/>
    </row>
    <row r="818">
      <c r="B818" s="39" t="n"/>
    </row>
    <row r="819">
      <c r="B819" s="39" t="n"/>
    </row>
    <row r="820">
      <c r="B820" s="39" t="n"/>
    </row>
    <row r="821">
      <c r="B821" s="39" t="n"/>
    </row>
    <row r="822">
      <c r="B822" s="39" t="n"/>
    </row>
    <row r="823">
      <c r="B823" s="39" t="n"/>
    </row>
    <row r="824">
      <c r="B824" s="39" t="n"/>
    </row>
    <row r="825">
      <c r="B825" s="39" t="n"/>
    </row>
    <row r="826">
      <c r="B826" s="39" t="n"/>
    </row>
    <row r="827">
      <c r="B827" s="39" t="n"/>
    </row>
    <row r="828">
      <c r="B828" s="39" t="n"/>
    </row>
    <row r="829">
      <c r="B829" s="39" t="n"/>
    </row>
    <row r="830">
      <c r="B830" s="39" t="n"/>
    </row>
    <row r="831">
      <c r="B831" s="39" t="n"/>
    </row>
    <row r="832">
      <c r="B832" s="39" t="n"/>
    </row>
    <row r="833">
      <c r="B833" s="39" t="n"/>
    </row>
    <row r="834">
      <c r="B834" s="39" t="n"/>
    </row>
    <row r="835">
      <c r="B835" s="39" t="n"/>
    </row>
    <row r="836">
      <c r="B836" s="39" t="n"/>
    </row>
    <row r="837">
      <c r="B837" s="39" t="n"/>
    </row>
    <row r="838">
      <c r="B838" s="39" t="n"/>
    </row>
    <row r="839">
      <c r="B839" s="39" t="n"/>
    </row>
    <row r="840">
      <c r="B840" s="39" t="n"/>
    </row>
    <row r="841">
      <c r="B841" s="39" t="n"/>
    </row>
    <row r="842">
      <c r="B842" s="39" t="n"/>
    </row>
    <row r="843">
      <c r="B843" s="39" t="n"/>
    </row>
    <row r="844">
      <c r="B844" s="39" t="n"/>
    </row>
    <row r="845">
      <c r="B845" s="39" t="n"/>
    </row>
    <row r="846">
      <c r="B846" s="39" t="n"/>
    </row>
    <row r="847">
      <c r="B847" s="39" t="n"/>
    </row>
    <row r="848">
      <c r="B848" s="39" t="n"/>
    </row>
    <row r="849">
      <c r="B849" s="39" t="n"/>
    </row>
    <row r="850">
      <c r="B850" s="39" t="n"/>
    </row>
    <row r="851">
      <c r="B851" s="39" t="n"/>
    </row>
    <row r="852">
      <c r="B852" s="39" t="n"/>
    </row>
    <row r="853">
      <c r="B853" s="39" t="n"/>
    </row>
    <row r="854">
      <c r="B854" s="39" t="n"/>
    </row>
    <row r="855">
      <c r="B855" s="39" t="n"/>
    </row>
    <row r="856">
      <c r="B856" s="39" t="n"/>
    </row>
    <row r="857">
      <c r="B857" s="39" t="n"/>
    </row>
    <row r="858">
      <c r="B858" s="39" t="n"/>
    </row>
    <row r="859">
      <c r="B859" s="39" t="n"/>
    </row>
    <row r="860">
      <c r="B860" s="39" t="n"/>
    </row>
    <row r="861">
      <c r="B861" s="39" t="n"/>
    </row>
    <row r="862">
      <c r="B862" s="39" t="n"/>
    </row>
    <row r="863">
      <c r="B863" s="39" t="n"/>
    </row>
    <row r="864">
      <c r="B864" s="39" t="n"/>
    </row>
    <row r="865">
      <c r="B865" s="39" t="n"/>
    </row>
    <row r="866">
      <c r="B866" s="39" t="n"/>
    </row>
    <row r="867">
      <c r="B867" s="39" t="n"/>
    </row>
    <row r="868">
      <c r="B868" s="39" t="n"/>
    </row>
    <row r="869">
      <c r="B869" s="39" t="n"/>
    </row>
    <row r="870">
      <c r="B870" s="39" t="n"/>
    </row>
    <row r="871">
      <c r="B871" s="39" t="n"/>
    </row>
    <row r="872">
      <c r="B872" s="39" t="n"/>
    </row>
    <row r="873">
      <c r="B873" s="39" t="n"/>
    </row>
    <row r="874">
      <c r="B874" s="39" t="n"/>
    </row>
    <row r="875">
      <c r="B875" s="39" t="n"/>
    </row>
    <row r="876">
      <c r="B876" s="39" t="n"/>
    </row>
    <row r="877">
      <c r="B877" s="39" t="n"/>
    </row>
    <row r="878">
      <c r="B878" s="39" t="n"/>
    </row>
    <row r="879">
      <c r="B879" s="39" t="n"/>
    </row>
    <row r="880">
      <c r="B880" s="39" t="n"/>
    </row>
    <row r="881">
      <c r="B881" s="39" t="n"/>
    </row>
    <row r="882">
      <c r="B882" s="39" t="n"/>
    </row>
    <row r="883">
      <c r="B883" s="39" t="n"/>
    </row>
    <row r="884">
      <c r="B884" s="39" t="n"/>
    </row>
    <row r="885">
      <c r="B885" s="39" t="n"/>
    </row>
    <row r="886">
      <c r="B886" s="39" t="n"/>
    </row>
    <row r="887">
      <c r="B887" s="39" t="n"/>
    </row>
    <row r="888">
      <c r="B888" s="39" t="n"/>
    </row>
    <row r="889">
      <c r="B889" s="39" t="n"/>
    </row>
    <row r="890">
      <c r="B890" s="39" t="n"/>
    </row>
    <row r="891">
      <c r="B891" s="39" t="n"/>
    </row>
    <row r="892">
      <c r="B892" s="39" t="n"/>
    </row>
    <row r="893">
      <c r="B893" s="39" t="n"/>
    </row>
    <row r="894">
      <c r="B894" s="39" t="n"/>
    </row>
    <row r="895">
      <c r="B895" s="39" t="n"/>
    </row>
    <row r="896">
      <c r="B896" s="39" t="n"/>
    </row>
    <row r="897">
      <c r="B897" s="39" t="n"/>
    </row>
    <row r="898">
      <c r="B898" s="39" t="n"/>
    </row>
    <row r="899">
      <c r="B899" s="39" t="n"/>
    </row>
    <row r="900">
      <c r="B900" s="39" t="n"/>
    </row>
    <row r="901">
      <c r="B901" s="39" t="n"/>
    </row>
    <row r="902">
      <c r="B902" s="39" t="n"/>
    </row>
    <row r="903">
      <c r="B903" s="39" t="n"/>
    </row>
    <row r="904">
      <c r="B904" s="39" t="n"/>
    </row>
    <row r="905">
      <c r="B905" s="39" t="n"/>
    </row>
    <row r="906">
      <c r="B906" s="39" t="n"/>
    </row>
    <row r="907">
      <c r="B907" s="39" t="n"/>
    </row>
    <row r="908">
      <c r="B908" s="39" t="n"/>
    </row>
    <row r="909">
      <c r="B909" s="39" t="n"/>
    </row>
    <row r="910">
      <c r="B910" s="39" t="n"/>
    </row>
    <row r="911">
      <c r="B911" s="39" t="n"/>
    </row>
    <row r="912">
      <c r="B912" s="39" t="n"/>
    </row>
    <row r="913">
      <c r="B913" s="39" t="n"/>
    </row>
    <row r="914">
      <c r="B914" s="39" t="n"/>
    </row>
    <row r="915">
      <c r="B915" s="39" t="n"/>
    </row>
    <row r="916">
      <c r="B916" s="39" t="n"/>
    </row>
    <row r="917">
      <c r="B917" s="39" t="n"/>
    </row>
    <row r="918">
      <c r="B918" s="39" t="n"/>
    </row>
    <row r="919">
      <c r="B919" s="39" t="n"/>
    </row>
    <row r="920">
      <c r="B920" s="39" t="n"/>
    </row>
    <row r="921">
      <c r="B921" s="39" t="n"/>
    </row>
    <row r="922">
      <c r="B922" s="39" t="n"/>
    </row>
    <row r="923">
      <c r="B923" s="39" t="n"/>
    </row>
    <row r="924">
      <c r="B924" s="39" t="n"/>
    </row>
    <row r="925">
      <c r="B925" s="39" t="n"/>
    </row>
    <row r="926">
      <c r="B926" s="39" t="n"/>
    </row>
    <row r="927">
      <c r="B927" s="39" t="n"/>
    </row>
    <row r="928">
      <c r="B928" s="39" t="n"/>
    </row>
    <row r="929">
      <c r="B929" s="39" t="n"/>
    </row>
    <row r="930">
      <c r="B930" s="39" t="n"/>
    </row>
    <row r="931">
      <c r="B931" s="39" t="n"/>
    </row>
    <row r="932">
      <c r="B932" s="39" t="n"/>
    </row>
    <row r="933">
      <c r="B933" s="39" t="n"/>
    </row>
    <row r="934">
      <c r="B934" s="39" t="n"/>
    </row>
    <row r="935">
      <c r="B935" s="39" t="n"/>
    </row>
    <row r="936">
      <c r="B936" s="39" t="n"/>
    </row>
    <row r="937">
      <c r="B937" s="39" t="n"/>
    </row>
    <row r="938">
      <c r="B938" s="39" t="n"/>
    </row>
    <row r="939">
      <c r="B939" s="39" t="n"/>
    </row>
    <row r="940">
      <c r="B940" s="39" t="n"/>
    </row>
    <row r="941">
      <c r="B941" s="39" t="n"/>
    </row>
    <row r="942">
      <c r="B942" s="39" t="n"/>
    </row>
    <row r="943">
      <c r="B943" s="39" t="n"/>
    </row>
    <row r="944">
      <c r="B944" s="39" t="n"/>
    </row>
    <row r="945">
      <c r="B945" s="39" t="n"/>
    </row>
    <row r="946">
      <c r="B946" s="39" t="n"/>
    </row>
    <row r="947">
      <c r="B947" s="39" t="n"/>
    </row>
    <row r="948">
      <c r="B948" s="39" t="n"/>
    </row>
    <row r="949">
      <c r="B949" s="39" t="n"/>
    </row>
    <row r="950">
      <c r="B950" s="39" t="n"/>
    </row>
    <row r="951">
      <c r="B951" s="39" t="n"/>
    </row>
    <row r="952">
      <c r="B952" s="39" t="n"/>
    </row>
    <row r="953">
      <c r="B953" s="39" t="n"/>
    </row>
    <row r="954">
      <c r="B954" s="39" t="n"/>
    </row>
    <row r="955">
      <c r="B955" s="39" t="n"/>
    </row>
    <row r="956">
      <c r="B956" s="39" t="n"/>
    </row>
    <row r="957">
      <c r="B957" s="39" t="n"/>
    </row>
    <row r="958">
      <c r="B958" s="39" t="n"/>
    </row>
    <row r="959">
      <c r="B959" s="39" t="n"/>
    </row>
    <row r="960">
      <c r="B960" s="39" t="n"/>
    </row>
    <row r="961">
      <c r="B961" s="39" t="n"/>
    </row>
    <row r="962">
      <c r="B962" s="39" t="n"/>
    </row>
    <row r="963">
      <c r="B963" s="39" t="n"/>
    </row>
    <row r="964">
      <c r="B964" s="39" t="n"/>
    </row>
    <row r="965">
      <c r="B965" s="39" t="n"/>
    </row>
    <row r="966">
      <c r="B966" s="39" t="n"/>
    </row>
    <row r="967">
      <c r="B967" s="39" t="n"/>
    </row>
    <row r="968">
      <c r="B968" s="39" t="n"/>
    </row>
    <row r="969">
      <c r="B969" s="39" t="n"/>
    </row>
    <row r="970">
      <c r="B970" s="39" t="n"/>
    </row>
    <row r="971">
      <c r="B971" s="39" t="n"/>
    </row>
    <row r="972">
      <c r="B972" s="39" t="n"/>
    </row>
    <row r="973">
      <c r="B973" s="39" t="n"/>
    </row>
    <row r="974">
      <c r="B974" s="39" t="n"/>
    </row>
    <row r="975">
      <c r="B975" s="39" t="n"/>
    </row>
    <row r="976">
      <c r="B976" s="39" t="n"/>
    </row>
    <row r="977">
      <c r="B977" s="39" t="n"/>
    </row>
    <row r="978">
      <c r="B978" s="39" t="n"/>
    </row>
    <row r="979">
      <c r="B979" s="39" t="n"/>
    </row>
    <row r="980">
      <c r="B980" s="39" t="n"/>
    </row>
    <row r="981">
      <c r="B981" s="39" t="n"/>
    </row>
    <row r="982">
      <c r="B982" s="39" t="n"/>
    </row>
    <row r="983">
      <c r="B983" s="39" t="n"/>
    </row>
    <row r="984">
      <c r="B984" s="39" t="n"/>
    </row>
    <row r="985">
      <c r="B985" s="39" t="n"/>
    </row>
    <row r="986">
      <c r="B986" s="39" t="n"/>
    </row>
    <row r="987">
      <c r="B987" s="39" t="n"/>
    </row>
    <row r="988">
      <c r="B988" s="39" t="n"/>
    </row>
    <row r="989">
      <c r="B989" s="39" t="n"/>
    </row>
  </sheetData>
  <mergeCells count="2">
    <mergeCell ref="B1:E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42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25" customWidth="1" style="114" min="1" max="1"/>
    <col width="20.88" customWidth="1" style="114" min="2" max="2"/>
    <col width="13.75" customWidth="1" style="114" min="3" max="3"/>
    <col hidden="1" width="19.25" customWidth="1" style="114" min="6" max="6"/>
  </cols>
  <sheetData>
    <row r="1">
      <c r="A1" s="102" t="inlineStr">
        <is>
          <t>Personnel</t>
        </is>
      </c>
      <c r="B1" s="102" t="n"/>
      <c r="C1" s="27" t="n"/>
      <c r="D1" s="27" t="n"/>
      <c r="E1" s="45" t="n"/>
    </row>
    <row r="2">
      <c r="C2" s="27" t="inlineStr">
        <is>
          <t>Name (optional)</t>
        </is>
      </c>
      <c r="D2" s="27" t="inlineStr">
        <is>
          <t>Yearly Cost (tax included)</t>
        </is>
      </c>
      <c r="E2" s="45" t="inlineStr">
        <is>
          <t>Starting month</t>
        </is>
      </c>
      <c r="F2" s="45" t="inlineStr">
        <is>
          <t>Category</t>
        </is>
      </c>
    </row>
    <row r="3">
      <c r="A3" s="45" t="n"/>
      <c r="B3" s="40" t="inlineStr">
        <is>
          <t>CEO</t>
        </is>
      </c>
      <c r="C3" s="42" t="inlineStr">
        <is>
          <t>David Youssef</t>
        </is>
      </c>
      <c r="D3" s="42" t="n">
        <v>120000</v>
      </c>
      <c r="E3" s="40" t="n">
        <v>1</v>
      </c>
      <c r="F3" s="0">
        <f>if(or(B3="CEO",B3="CTO"),"General &amp; Administrative",if(B3="Engineer","Research &amp; Development",if(or(B3="Customer Success",B3="Sales",B3="Marketing"),"Sales &amp; Marketing",if(B3="Support","Support","N/A"))))</f>
        <v/>
      </c>
    </row>
    <row r="4">
      <c r="A4" s="45" t="n"/>
      <c r="B4" s="40" t="inlineStr">
        <is>
          <t>Engineer</t>
        </is>
      </c>
      <c r="C4" s="42" t="inlineStr">
        <is>
          <t>Igor Malovitsa (CTO)</t>
        </is>
      </c>
      <c r="D4" s="42" t="n">
        <v>120000</v>
      </c>
      <c r="E4" s="40" t="n">
        <v>1</v>
      </c>
      <c r="F4" s="0">
        <f>if(or(B4="CEO",B4="CTO"),"General &amp; Administrative",if(B4="Engineer","Research &amp; Development",if(or(B4="Customer Success",B4="Sales",B4="Marketing"),"Sales &amp; Marketing",if(B4="Support","Support","N/A"))))</f>
        <v/>
      </c>
    </row>
    <row r="5">
      <c r="A5" s="45" t="n"/>
      <c r="B5" s="40" t="inlineStr">
        <is>
          <t>Engineer</t>
        </is>
      </c>
      <c r="C5" s="42" t="inlineStr">
        <is>
          <t>Eng Hire #1</t>
        </is>
      </c>
      <c r="D5" s="42" t="n">
        <v>120000</v>
      </c>
      <c r="E5" s="40" t="n">
        <v>4</v>
      </c>
      <c r="F5" s="0">
        <f>if(or(B5="CEO",B5="CTO"),"General &amp; Administrative",if(B5="Engineer","Research &amp; Development",if(or(B5="Customer Success",B5="Sales",B5="Marketing"),"Sales &amp; Marketing",if(B5="Support","Support","N/A"))))</f>
        <v/>
      </c>
    </row>
    <row r="6">
      <c r="A6" s="45" t="n"/>
      <c r="B6" s="40" t="inlineStr">
        <is>
          <t>Engineer</t>
        </is>
      </c>
      <c r="C6" s="42" t="inlineStr">
        <is>
          <t>Eng Hire #2</t>
        </is>
      </c>
      <c r="D6" s="42" t="n">
        <v>120000</v>
      </c>
      <c r="E6" s="40" t="n">
        <v>10</v>
      </c>
      <c r="F6" s="0">
        <f>if(or(B6="CEO",B6="CTO"),"General &amp; Administrative",if(B6="Engineer","Research &amp; Development",if(or(B6="Customer Success",B6="Sales",B6="Marketing"),"Sales &amp; Marketing",if(B6="Support","Support","N/A"))))</f>
        <v/>
      </c>
    </row>
    <row r="7">
      <c r="A7" s="45" t="n"/>
      <c r="B7" s="40" t="n"/>
      <c r="C7" s="42" t="n"/>
      <c r="D7" s="42" t="n"/>
      <c r="E7" s="40" t="n"/>
      <c r="F7" s="0">
        <f>if(or(B7="CEO",B7="CTO"),"General &amp; Administrative",if(B7="Engineer","Research &amp; Development",if(or(B7="Customer Success",B7="Sales",B7="Marketing"),"Sales &amp; Marketing",if(B7="Support","Support","N/A"))))</f>
        <v/>
      </c>
    </row>
    <row r="8">
      <c r="A8" s="45" t="n"/>
      <c r="B8" s="40" t="n"/>
      <c r="C8" s="42" t="n"/>
      <c r="D8" s="42" t="n"/>
      <c r="E8" s="40" t="n"/>
      <c r="F8" s="0">
        <f>if(or(B8="CEO",B8="CTO"),"General &amp; Administrative",if(B8="Engineer","Research &amp; Development",if(or(B8="Customer Success",B8="Sales",B8="Marketing"),"Sales &amp; Marketing",if(B8="Support","Support","N/A"))))</f>
        <v/>
      </c>
    </row>
    <row r="9">
      <c r="A9" s="45" t="n"/>
      <c r="B9" s="40" t="n"/>
      <c r="C9" s="42" t="n"/>
      <c r="D9" s="42" t="n"/>
      <c r="E9" s="40" t="n"/>
      <c r="F9" s="0">
        <f>if(or(B9="CEO",B9="CTO"),"General &amp; Administrative",if(B9="Engineer","Research &amp; Development",if(or(B9="Customer Success",B9="Sales",B9="Marketing"),"Sales &amp; Marketing",if(B9="Support","Support","N/A"))))</f>
        <v/>
      </c>
    </row>
    <row r="10">
      <c r="A10" s="45" t="n"/>
      <c r="B10" s="40" t="n"/>
      <c r="C10" s="42" t="n"/>
      <c r="D10" s="42" t="n"/>
      <c r="E10" s="40" t="n"/>
      <c r="F10" s="0">
        <f>if(or(B10="CEO",B10="CTO"),"General &amp; Administrative",if(B10="Engineer","Research &amp; Development",if(or(B10="Customer Success",B10="Sales",B10="Marketing"),"Sales &amp; Marketing",if(B10="Support","Support","N/A"))))</f>
        <v/>
      </c>
    </row>
    <row r="11">
      <c r="A11" s="45" t="n"/>
      <c r="B11" s="40" t="n"/>
      <c r="C11" s="42" t="n"/>
      <c r="D11" s="42" t="n"/>
      <c r="E11" s="40" t="n"/>
      <c r="F11" s="0">
        <f>if(or(B11="CEO",B11="CTO"),"General &amp; Administrative",if(B11="Engineer","Research &amp; Development",if(or(B11="Customer Success",B11="Sales",B11="Marketing"),"Sales &amp; Marketing",if(B11="Support","Support","N/A"))))</f>
        <v/>
      </c>
    </row>
    <row r="12">
      <c r="A12" s="45" t="n"/>
      <c r="B12" s="40" t="n"/>
      <c r="C12" s="42" t="n"/>
      <c r="D12" s="42" t="n"/>
      <c r="E12" s="40" t="n"/>
      <c r="F12" s="0">
        <f>if(or(B12="CEO",B12="CTO"),"General &amp; Administrative",if(B12="Engineer","Research &amp; Development",if(or(B12="Customer Success",B12="Sales",B12="Marketing"),"Sales &amp; Marketing",if(B12="Support","Support","N/A"))))</f>
        <v/>
      </c>
    </row>
    <row r="13">
      <c r="A13" s="45" t="n"/>
      <c r="B13" s="40" t="n"/>
      <c r="C13" s="42" t="n"/>
      <c r="D13" s="42" t="n"/>
      <c r="E13" s="40" t="n"/>
      <c r="F13" s="0">
        <f>if(or(B13="CEO",B13="CTO"),"General &amp; Administrative",if(B13="Engineer","Research &amp; Development",if(or(B13="Customer Success",B13="Sales",B13="Marketing"),"Sales &amp; Marketing",if(B13="Support","Support","N/A"))))</f>
        <v/>
      </c>
    </row>
    <row r="14">
      <c r="A14" s="45" t="n"/>
      <c r="B14" s="40" t="n"/>
      <c r="C14" s="42" t="n"/>
      <c r="D14" s="42" t="n"/>
      <c r="E14" s="40" t="n"/>
      <c r="F14" s="0">
        <f>if(or(B14="CEO",B14="CTO"),"General &amp; Administrative",if(B14="Engineer","Research &amp; Development",if(or(B14="Customer Success",B14="Sales",B14="Marketing"),"Sales &amp; Marketing",if(B14="Support","Support","N/A"))))</f>
        <v/>
      </c>
    </row>
    <row r="15">
      <c r="A15" s="45" t="n"/>
      <c r="B15" s="40" t="n"/>
      <c r="C15" s="42" t="n"/>
      <c r="D15" s="42" t="n"/>
      <c r="E15" s="40" t="n"/>
      <c r="F15" s="0">
        <f>if(or(B15="CEO",B15="CTO"),"General &amp; Administrative",if(B15="Engineer","Research &amp; Development",if(or(B15="Customer Success",B15="Sales",B15="Marketing"),"Sales &amp; Marketing",if(B15="Support","Support","N/A"))))</f>
        <v/>
      </c>
    </row>
    <row r="16">
      <c r="A16" s="45" t="n"/>
      <c r="B16" s="40" t="n"/>
      <c r="C16" s="42" t="n"/>
      <c r="D16" s="42" t="n"/>
      <c r="E16" s="40" t="n"/>
      <c r="F16" s="0">
        <f>if(or(B16="CEO",B16="CTO"),"General &amp; Administrative",if(B16="Engineer","Research &amp; Development",if(or(B16="Customer Success",B16="Sales",B16="Marketing"),"Sales &amp; Marketing",if(B16="Support","Support","N/A"))))</f>
        <v/>
      </c>
    </row>
    <row r="17">
      <c r="A17" s="45" t="n"/>
      <c r="B17" s="40" t="n"/>
      <c r="C17" s="42" t="n"/>
      <c r="D17" s="42" t="n"/>
      <c r="E17" s="40" t="n"/>
      <c r="F17" s="0">
        <f>if(or(B17="CEO",B17="CTO"),"General &amp; Administrative",if(B17="Engineer","Research &amp; Development",if(or(B17="Customer Success",B17="Sales",B17="Marketing"),"Sales &amp; Marketing",if(B17="Support","Support","N/A"))))</f>
        <v/>
      </c>
    </row>
    <row r="18">
      <c r="A18" s="45" t="n"/>
      <c r="B18" s="40" t="n"/>
      <c r="C18" s="42" t="n"/>
      <c r="D18" s="42" t="n"/>
      <c r="E18" s="40" t="n"/>
      <c r="F18" s="0">
        <f>if(or(B18="CEO",B18="CTO"),"General &amp; Administrative",if(B18="Engineer","Research &amp; Development",if(or(B18="Customer Success",B18="Sales",B18="Marketing"),"Sales &amp; Marketing",if(B18="Support","Support","N/A"))))</f>
        <v/>
      </c>
    </row>
    <row r="19">
      <c r="A19" s="45" t="n"/>
      <c r="B19" s="40" t="n"/>
      <c r="C19" s="42" t="n"/>
      <c r="D19" s="42" t="n"/>
      <c r="E19" s="40" t="n"/>
      <c r="F19" s="0">
        <f>if(or(B19="CEO",B19="CTO"),"General &amp; Administrative",if(B19="Engineer","Research &amp; Development",if(or(B19="Customer Success",B19="Sales",B19="Marketing"),"Sales &amp; Marketing",if(B19="Support","Support","N/A"))))</f>
        <v/>
      </c>
    </row>
    <row r="20">
      <c r="A20" s="45" t="n"/>
      <c r="B20" s="40" t="n"/>
      <c r="C20" s="42" t="n"/>
      <c r="D20" s="42" t="n"/>
      <c r="E20" s="40" t="n"/>
      <c r="F20" s="0">
        <f>if(or(B20="CEO",B20="CTO"),"General &amp; Administrative",if(B20="Engineer","Research &amp; Development",if(or(B20="Customer Success",B20="Sales",B20="Marketing"),"Sales &amp; Marketing",if(B20="Support","Support","N/A"))))</f>
        <v/>
      </c>
    </row>
    <row r="21">
      <c r="A21" s="45" t="n"/>
      <c r="B21" s="40" t="n"/>
      <c r="C21" s="42" t="n"/>
      <c r="D21" s="42" t="n"/>
      <c r="E21" s="40" t="n"/>
      <c r="F21" s="0">
        <f>if(or(B21="CEO",B21="CTO"),"General &amp; Administrative",if(B21="Engineer","Research &amp; Development",if(or(B21="Customer Success",B21="Sales",B21="Marketing"),"Sales &amp; Marketing",if(B21="Support","Support","N/A"))))</f>
        <v/>
      </c>
    </row>
    <row r="22">
      <c r="A22" s="45" t="n"/>
      <c r="B22" s="40" t="n"/>
      <c r="C22" s="42" t="n"/>
      <c r="D22" s="42" t="n"/>
      <c r="E22" s="40" t="n"/>
      <c r="F22" s="0">
        <f>if(or(B22="CEO",B22="CTO"),"General &amp; Administrative",if(B22="Engineer","Research &amp; Development",if(or(B22="Customer Success",B22="Sales",B22="Marketing"),"Sales &amp; Marketing",if(B22="Support","Support","N/A"))))</f>
        <v/>
      </c>
    </row>
    <row r="23"/>
    <row r="24">
      <c r="A24" s="102" t="inlineStr">
        <is>
          <t>Marketing spending</t>
        </is>
      </c>
    </row>
    <row r="25">
      <c r="B25" s="45" t="n"/>
      <c r="C25" s="45" t="n"/>
      <c r="D25" s="45" t="inlineStr">
        <is>
          <t>% of MRR</t>
        </is>
      </c>
    </row>
    <row r="26">
      <c r="B26" s="45" t="inlineStr">
        <is>
          <t>Adwords</t>
        </is>
      </c>
      <c r="C26" s="46" t="n"/>
      <c r="D26" s="47" t="n">
        <v>0.02</v>
      </c>
    </row>
    <row r="27">
      <c r="B27" s="45" t="inlineStr">
        <is>
          <t>Social / display ads</t>
        </is>
      </c>
      <c r="C27" s="46" t="n"/>
      <c r="D27" s="47" t="n">
        <v>0.01</v>
      </c>
    </row>
    <row r="28"/>
    <row r="29">
      <c r="A29" s="102" t="inlineStr">
        <is>
          <t>Cost of good sold</t>
        </is>
      </c>
    </row>
    <row r="30">
      <c r="B30" s="45" t="inlineStr">
        <is>
          <t>Payement Processing fees</t>
        </is>
      </c>
      <c r="C30" s="46" t="n"/>
      <c r="D30" s="47" t="n">
        <v>0.03</v>
      </c>
    </row>
    <row r="31">
      <c r="B31" s="45" t="inlineStr">
        <is>
          <t>Hosting &amp; Bandwidth</t>
        </is>
      </c>
      <c r="C31" s="100" t="n"/>
      <c r="D31" s="49" t="n">
        <v>1500</v>
      </c>
    </row>
    <row r="32"/>
    <row r="33">
      <c r="A33" s="102" t="inlineStr">
        <is>
          <t>Miscellaneous</t>
        </is>
      </c>
    </row>
    <row r="34">
      <c r="B34" s="45" t="inlineStr">
        <is>
          <t>AI Agent APIs (3 x $1K/mo)</t>
        </is>
      </c>
      <c r="C34" s="97" t="n"/>
      <c r="D34" s="42" t="n">
        <v>3000</v>
      </c>
    </row>
    <row r="35">
      <c r="B35" s="45" t="inlineStr">
        <is>
          <t>Software subscriptions (CRM, monitoring)</t>
        </is>
      </c>
      <c r="C35" s="97" t="n"/>
      <c r="D35" s="42" t="n">
        <v>1000</v>
      </c>
    </row>
    <row r="36">
      <c r="B36" s="45" t="inlineStr">
        <is>
          <t>Legal, accountants, IP/patents</t>
        </is>
      </c>
      <c r="C36" s="97" t="n"/>
      <c r="D36" s="42" t="n">
        <v>2000</v>
      </c>
    </row>
    <row r="37">
      <c r="B37" s="45" t="inlineStr">
        <is>
          <t>Travel / conferences</t>
        </is>
      </c>
      <c r="C37" s="97" t="n"/>
      <c r="D37" s="42" t="n">
        <v>500</v>
      </c>
    </row>
    <row r="38">
      <c r="B38" s="45" t="inlineStr">
        <is>
          <t>Remote work (no office)</t>
        </is>
      </c>
      <c r="C38" s="97" t="n"/>
      <c r="D38" s="42" t="n">
        <v>0</v>
      </c>
    </row>
    <row r="39">
      <c r="B39" s="45" t="inlineStr">
        <is>
          <t>Internet, supplies</t>
        </is>
      </c>
      <c r="C39" s="97" t="n"/>
      <c r="D39" s="42" t="n">
        <v>200</v>
      </c>
    </row>
    <row r="40">
      <c r="B40" s="45" t="inlineStr">
        <is>
          <t>Insurance (D&amp;O, E&amp;O)</t>
        </is>
      </c>
      <c r="C40" s="97" t="n"/>
      <c r="D40" s="42" t="n">
        <v>667</v>
      </c>
    </row>
    <row r="41">
      <c r="B41" s="45" t="inlineStr">
        <is>
          <t>Content / SEO / community</t>
        </is>
      </c>
      <c r="C41" s="97" t="n"/>
      <c r="D41" s="42" t="n">
        <v>500</v>
      </c>
    </row>
    <row r="42">
      <c r="B42" s="45" t="inlineStr">
        <is>
          <t>Cognitive attestation license (future)</t>
        </is>
      </c>
      <c r="C42" s="97" t="n"/>
      <c r="D42" s="42" t="n">
        <v>0</v>
      </c>
    </row>
  </sheetData>
  <dataValidations count="1">
    <dataValidation sqref="B3:B22" showDropDown="0" showInputMessage="0" showErrorMessage="0" allowBlank="1" type="list">
      <formula1>"CEO,CTO,Engineer,Support,Customer success,Sales,Marketing,Not Applicable"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13"/>
  <sheetViews>
    <sheetView workbookViewId="0">
      <selection activeCell="A1" sqref="A1"/>
    </sheetView>
  </sheetViews>
  <sheetFormatPr baseColWidth="8" defaultColWidth="12.63" defaultRowHeight="15.75" customHeight="1"/>
  <cols>
    <col width="7.13" customWidth="1" style="114" min="1" max="1"/>
    <col width="33.63" customWidth="1" style="114" min="2" max="2"/>
    <col width="10.88" customWidth="1" style="114" min="3" max="14"/>
  </cols>
  <sheetData>
    <row r="1">
      <c r="A1" s="45" t="n"/>
      <c r="B1" s="45" t="n"/>
      <c r="C1" s="118" t="inlineStr">
        <is>
          <t>Year 1</t>
        </is>
      </c>
      <c r="D1" s="119" t="n"/>
      <c r="E1" s="119" t="n"/>
      <c r="F1" s="119" t="n"/>
      <c r="G1" s="119" t="n"/>
      <c r="H1" s="119" t="n"/>
      <c r="I1" s="119" t="n"/>
      <c r="J1" s="119" t="n"/>
      <c r="K1" s="119" t="n"/>
      <c r="L1" s="119" t="n"/>
      <c r="M1" s="119" t="n"/>
      <c r="N1" s="120" t="n"/>
      <c r="O1" s="118" t="inlineStr">
        <is>
          <t>Year 2</t>
        </is>
      </c>
      <c r="P1" s="119" t="n"/>
      <c r="Q1" s="119" t="n"/>
      <c r="R1" s="119" t="n"/>
      <c r="S1" s="119" t="n"/>
      <c r="T1" s="119" t="n"/>
      <c r="U1" s="119" t="n"/>
      <c r="V1" s="119" t="n"/>
      <c r="W1" s="119" t="n"/>
      <c r="X1" s="119" t="n"/>
      <c r="Y1" s="119" t="n"/>
      <c r="Z1" s="120" t="n"/>
    </row>
    <row r="2">
      <c r="A2" s="45" t="inlineStr">
        <is>
          <t>Month</t>
        </is>
      </c>
      <c r="B2" s="45" t="n"/>
      <c r="C2" s="54" t="n">
        <v>42736</v>
      </c>
      <c r="D2" s="55" t="n">
        <v>42767</v>
      </c>
      <c r="E2" s="55" t="n">
        <v>42795</v>
      </c>
      <c r="F2" s="55" t="n">
        <v>42826</v>
      </c>
      <c r="G2" s="55" t="n">
        <v>42856</v>
      </c>
      <c r="H2" s="55" t="n">
        <v>42887</v>
      </c>
      <c r="I2" s="55" t="n">
        <v>42917</v>
      </c>
      <c r="J2" s="55" t="n">
        <v>42948</v>
      </c>
      <c r="K2" s="55" t="n">
        <v>42979</v>
      </c>
      <c r="L2" s="55" t="n">
        <v>43009</v>
      </c>
      <c r="M2" s="55" t="n">
        <v>43040</v>
      </c>
      <c r="N2" s="56" t="n">
        <v>43070</v>
      </c>
      <c r="O2" s="54" t="n">
        <v>43101</v>
      </c>
      <c r="P2" s="55" t="n">
        <v>43132</v>
      </c>
      <c r="Q2" s="55" t="n">
        <v>43160</v>
      </c>
      <c r="R2" s="55" t="n">
        <v>43191</v>
      </c>
      <c r="S2" s="55" t="n">
        <v>43221</v>
      </c>
      <c r="T2" s="55" t="n">
        <v>43252</v>
      </c>
      <c r="U2" s="55" t="n">
        <v>43282</v>
      </c>
      <c r="V2" s="55" t="n">
        <v>43313</v>
      </c>
      <c r="W2" s="55" t="n">
        <v>43344</v>
      </c>
      <c r="X2" s="55" t="n">
        <v>43374</v>
      </c>
      <c r="Y2" s="55" t="n">
        <v>43405</v>
      </c>
      <c r="Z2" s="56" t="n">
        <v>43435</v>
      </c>
    </row>
    <row r="3">
      <c r="A3" s="45" t="inlineStr">
        <is>
          <t>Month N</t>
        </is>
      </c>
      <c r="B3" s="45" t="n"/>
      <c r="C3" s="60" t="n">
        <v>1</v>
      </c>
      <c r="D3" s="45" t="n">
        <v>2</v>
      </c>
      <c r="E3" s="45" t="n">
        <v>3</v>
      </c>
      <c r="F3" s="45" t="n">
        <v>4</v>
      </c>
      <c r="G3" s="45" t="n">
        <v>5</v>
      </c>
      <c r="H3" s="45" t="n">
        <v>6</v>
      </c>
      <c r="I3" s="45" t="n">
        <v>7</v>
      </c>
      <c r="J3" s="45" t="n">
        <v>8</v>
      </c>
      <c r="K3" s="45" t="n">
        <v>9</v>
      </c>
      <c r="L3" s="45" t="n">
        <v>10</v>
      </c>
      <c r="M3" s="45" t="n">
        <v>11</v>
      </c>
      <c r="N3" s="61" t="n">
        <v>12</v>
      </c>
      <c r="O3" s="60" t="n">
        <v>13</v>
      </c>
      <c r="P3" s="45" t="n">
        <v>14</v>
      </c>
      <c r="Q3" s="45" t="n">
        <v>15</v>
      </c>
      <c r="R3" s="45" t="n">
        <v>16</v>
      </c>
      <c r="S3" s="45" t="n">
        <v>17</v>
      </c>
      <c r="T3" s="45" t="n">
        <v>18</v>
      </c>
      <c r="U3" s="45" t="n">
        <v>19</v>
      </c>
      <c r="V3" s="45" t="n">
        <v>20</v>
      </c>
      <c r="W3" s="45" t="n">
        <v>21</v>
      </c>
      <c r="X3" s="45" t="n">
        <v>22</v>
      </c>
      <c r="Y3" s="45" t="n">
        <v>23</v>
      </c>
      <c r="Z3" s="61" t="n">
        <v>24</v>
      </c>
    </row>
    <row r="4">
      <c r="A4" s="59" t="inlineStr">
        <is>
          <t>REVENUE</t>
        </is>
      </c>
    </row>
    <row r="5" ht="9" customHeight="1" s="114">
      <c r="A5" s="102" t="n"/>
      <c r="B5" s="102" t="n"/>
      <c r="C5" s="60" t="n"/>
      <c r="N5" s="61" t="n"/>
      <c r="O5" s="60" t="n"/>
      <c r="Z5" s="61" t="n"/>
    </row>
    <row r="6">
      <c r="A6" s="102" t="inlineStr">
        <is>
          <t>Revenue &amp; customer Growth</t>
        </is>
      </c>
      <c r="B6" s="102" t="n"/>
      <c r="C6" s="60" t="n"/>
      <c r="N6" s="61" t="n"/>
      <c r="O6" s="60" t="n"/>
      <c r="Z6" s="61" t="n"/>
    </row>
    <row r="7">
      <c r="A7" s="45" t="n"/>
      <c r="B7" s="45" t="inlineStr">
        <is>
          <t>Average revenue per new customer</t>
        </is>
      </c>
      <c r="C7" s="62">
        <f>'Growth Hypotheses'!B3</f>
        <v/>
      </c>
      <c r="D7" s="74">
        <f>'Growth Hypotheses'!B3</f>
        <v/>
      </c>
      <c r="E7" s="74">
        <f>'Growth Hypotheses'!B3</f>
        <v/>
      </c>
      <c r="F7" s="74">
        <f>'Growth Hypotheses'!C3</f>
        <v/>
      </c>
      <c r="G7" s="74">
        <f>'Growth Hypotheses'!C3</f>
        <v/>
      </c>
      <c r="H7" s="74">
        <f>'Growth Hypotheses'!C3</f>
        <v/>
      </c>
      <c r="I7" s="74">
        <f>'Growth Hypotheses'!D3</f>
        <v/>
      </c>
      <c r="J7" s="74">
        <f>'Growth Hypotheses'!D3</f>
        <v/>
      </c>
      <c r="K7" s="74">
        <f>'Growth Hypotheses'!D3</f>
        <v/>
      </c>
      <c r="L7" s="74">
        <f>'Growth Hypotheses'!E3</f>
        <v/>
      </c>
      <c r="M7" s="74">
        <f>'Growth Hypotheses'!E3</f>
        <v/>
      </c>
      <c r="N7" s="64">
        <f>'Growth Hypotheses'!E3</f>
        <v/>
      </c>
      <c r="O7" s="62">
        <f>'Growth Hypotheses'!F3</f>
        <v/>
      </c>
      <c r="P7" s="74">
        <f>'Growth Hypotheses'!F3</f>
        <v/>
      </c>
      <c r="Q7" s="74">
        <f>'Growth Hypotheses'!F3</f>
        <v/>
      </c>
      <c r="R7" s="74">
        <f>'Growth Hypotheses'!G3</f>
        <v/>
      </c>
      <c r="S7" s="74">
        <f>'Growth Hypotheses'!G3</f>
        <v/>
      </c>
      <c r="T7" s="74">
        <f>'Growth Hypotheses'!G3</f>
        <v/>
      </c>
      <c r="U7" s="74">
        <f>'Growth Hypotheses'!H3</f>
        <v/>
      </c>
      <c r="V7" s="74">
        <f>'Growth Hypotheses'!H3</f>
        <v/>
      </c>
      <c r="W7" s="74">
        <f>'Growth Hypotheses'!H3</f>
        <v/>
      </c>
      <c r="X7" s="74">
        <f>'Growth Hypotheses'!I3</f>
        <v/>
      </c>
      <c r="Y7" s="74">
        <f>'Growth Hypotheses'!I3</f>
        <v/>
      </c>
      <c r="Z7" s="64">
        <f>'Growth Hypotheses'!I3</f>
        <v/>
      </c>
    </row>
    <row r="8">
      <c r="A8" s="67" t="n"/>
      <c r="B8" s="67" t="inlineStr">
        <is>
          <t>New customers</t>
        </is>
      </c>
      <c r="C8" s="66">
        <f>'Growth Hypotheses'!B8+('Growth Hypotheses'!B8*'Growth Hypotheses'!B4)</f>
        <v/>
      </c>
      <c r="D8" s="67">
        <f>C8+(C8*'Growth Hypotheses'!B4)</f>
        <v/>
      </c>
      <c r="E8" s="67">
        <f>D8+(D8*'Growth Hypotheses'!B4)</f>
        <v/>
      </c>
      <c r="F8" s="67">
        <f>E8+(E8*'Growth Hypotheses'!C4)</f>
        <v/>
      </c>
      <c r="G8" s="67">
        <f>F8+(F8*'Growth Hypotheses'!C4)</f>
        <v/>
      </c>
      <c r="H8" s="67">
        <f>G8+(G8*'Growth Hypotheses'!C4)</f>
        <v/>
      </c>
      <c r="I8" s="67">
        <f>H8+(H8*'Growth Hypotheses'!D4)</f>
        <v/>
      </c>
      <c r="J8" s="67">
        <f>I8+(I8*'Growth Hypotheses'!D4)</f>
        <v/>
      </c>
      <c r="K8" s="67">
        <f>J8+(J8*'Growth Hypotheses'!D4)</f>
        <v/>
      </c>
      <c r="L8" s="67">
        <f>K8+(K8*'Growth Hypotheses'!E4)</f>
        <v/>
      </c>
      <c r="M8" s="67">
        <f>L8+(L8*'Growth Hypotheses'!E4)</f>
        <v/>
      </c>
      <c r="N8" s="68">
        <f>M8+(M8*'Growth Hypotheses'!E4)</f>
        <v/>
      </c>
      <c r="O8" s="66">
        <f>N8+(N8*'Growth Hypotheses'!F4)</f>
        <v/>
      </c>
      <c r="P8" s="67">
        <f>O8+(O8*'Growth Hypotheses'!F4)</f>
        <v/>
      </c>
      <c r="Q8" s="67">
        <f>P8+(P8*'Growth Hypotheses'!F4)</f>
        <v/>
      </c>
      <c r="R8" s="67">
        <f>Q8+(Q8*'Growth Hypotheses'!G4)</f>
        <v/>
      </c>
      <c r="S8" s="67">
        <f>R8+(R8*'Growth Hypotheses'!G4)</f>
        <v/>
      </c>
      <c r="T8" s="67">
        <f>S8+(S8*'Growth Hypotheses'!G4)</f>
        <v/>
      </c>
      <c r="U8" s="67">
        <f>T8+(T8*'Growth Hypotheses'!H4)</f>
        <v/>
      </c>
      <c r="V8" s="67">
        <f>U8+(U8*'Growth Hypotheses'!H4)</f>
        <v/>
      </c>
      <c r="W8" s="67">
        <f>V8+(V8*'Growth Hypotheses'!H4)</f>
        <v/>
      </c>
      <c r="X8" s="67">
        <f>W8+(W8*'Growth Hypotheses'!I4)</f>
        <v/>
      </c>
      <c r="Y8" s="67">
        <f>X8+(X8*'Growth Hypotheses'!I4)</f>
        <v/>
      </c>
      <c r="Z8" s="68">
        <f>Y8+(Y8*'Growth Hypotheses'!I4)</f>
        <v/>
      </c>
    </row>
    <row r="9">
      <c r="A9" s="45" t="n"/>
      <c r="B9" s="45" t="inlineStr">
        <is>
          <t>Churn Rate</t>
        </is>
      </c>
      <c r="C9" s="69">
        <f>'Growth Hypotheses'!B5</f>
        <v/>
      </c>
      <c r="D9" s="39">
        <f>'Growth Hypotheses'!B5</f>
        <v/>
      </c>
      <c r="E9" s="39">
        <f>'Growth Hypotheses'!B5</f>
        <v/>
      </c>
      <c r="F9" s="39">
        <f>'Growth Hypotheses'!C5</f>
        <v/>
      </c>
      <c r="G9" s="39">
        <f>'Growth Hypotheses'!C5</f>
        <v/>
      </c>
      <c r="H9" s="39">
        <f>'Growth Hypotheses'!C5</f>
        <v/>
      </c>
      <c r="I9" s="39">
        <f>'Growth Hypotheses'!D5</f>
        <v/>
      </c>
      <c r="J9" s="39">
        <f>'Growth Hypotheses'!D5</f>
        <v/>
      </c>
      <c r="K9" s="39">
        <f>'Growth Hypotheses'!D5</f>
        <v/>
      </c>
      <c r="L9" s="39">
        <f>'Growth Hypotheses'!E5</f>
        <v/>
      </c>
      <c r="M9" s="39">
        <f>'Growth Hypotheses'!E5</f>
        <v/>
      </c>
      <c r="N9" s="70">
        <f>'Growth Hypotheses'!E5</f>
        <v/>
      </c>
      <c r="O9" s="69">
        <f>'Growth Hypotheses'!F5</f>
        <v/>
      </c>
      <c r="P9" s="39">
        <f>'Growth Hypotheses'!F5</f>
        <v/>
      </c>
      <c r="Q9" s="39">
        <f>'Growth Hypotheses'!F5</f>
        <v/>
      </c>
      <c r="R9" s="39">
        <f>'Growth Hypotheses'!G5</f>
        <v/>
      </c>
      <c r="S9" s="39">
        <f>'Growth Hypotheses'!G5</f>
        <v/>
      </c>
      <c r="T9" s="39">
        <f>'Growth Hypotheses'!G5</f>
        <v/>
      </c>
      <c r="U9" s="39">
        <f>'Growth Hypotheses'!H5</f>
        <v/>
      </c>
      <c r="V9" s="39">
        <f>'Growth Hypotheses'!H5</f>
        <v/>
      </c>
      <c r="W9" s="39">
        <f>'Growth Hypotheses'!H5</f>
        <v/>
      </c>
      <c r="X9" s="39">
        <f>'Growth Hypotheses'!I5</f>
        <v/>
      </c>
      <c r="Y9" s="39">
        <f>'Growth Hypotheses'!I5</f>
        <v/>
      </c>
      <c r="Z9" s="70">
        <f>'Growth Hypotheses'!I5</f>
        <v/>
      </c>
    </row>
    <row r="10">
      <c r="A10" s="102" t="inlineStr">
        <is>
          <t>Month Recurring Revenue</t>
        </is>
      </c>
      <c r="B10" s="45" t="n"/>
      <c r="C10" s="71" t="n"/>
      <c r="D10" s="72" t="n"/>
      <c r="E10" s="72" t="n"/>
      <c r="F10" s="72" t="n"/>
      <c r="G10" s="72" t="n"/>
      <c r="H10" s="72" t="n"/>
      <c r="I10" s="72" t="n"/>
      <c r="J10" s="72" t="n"/>
      <c r="K10" s="72" t="n"/>
      <c r="L10" s="72" t="n"/>
      <c r="M10" s="72" t="n"/>
      <c r="N10" s="73" t="n"/>
      <c r="O10" s="71" t="n"/>
      <c r="P10" s="72" t="n"/>
      <c r="Q10" s="72" t="n"/>
      <c r="R10" s="72" t="n"/>
      <c r="S10" s="72" t="n"/>
      <c r="T10" s="72" t="n"/>
      <c r="U10" s="72" t="n"/>
      <c r="V10" s="72" t="n"/>
      <c r="W10" s="72" t="n"/>
      <c r="X10" s="72" t="n"/>
      <c r="Y10" s="72" t="n"/>
      <c r="Z10" s="73" t="n"/>
    </row>
    <row r="11">
      <c r="A11" s="74" t="n"/>
      <c r="B11" s="74" t="inlineStr">
        <is>
          <t>New MRR</t>
        </is>
      </c>
      <c r="C11" s="75">
        <f>C8*C7</f>
        <v/>
      </c>
      <c r="D11" s="76">
        <f>D8*D7</f>
        <v/>
      </c>
      <c r="E11" s="76">
        <f>E8*E7</f>
        <v/>
      </c>
      <c r="F11" s="76">
        <f>F8*F7</f>
        <v/>
      </c>
      <c r="G11" s="76">
        <f>G8*G7</f>
        <v/>
      </c>
      <c r="H11" s="76">
        <f>H8*H7</f>
        <v/>
      </c>
      <c r="I11" s="76">
        <f>I8*I7</f>
        <v/>
      </c>
      <c r="J11" s="76">
        <f>J8*J7</f>
        <v/>
      </c>
      <c r="K11" s="76">
        <f>K8*K7</f>
        <v/>
      </c>
      <c r="L11" s="76">
        <f>L8*L7</f>
        <v/>
      </c>
      <c r="M11" s="76">
        <f>M8*M7</f>
        <v/>
      </c>
      <c r="N11" s="77">
        <f>N8*N7</f>
        <v/>
      </c>
      <c r="O11" s="75">
        <f>O8*O7</f>
        <v/>
      </c>
      <c r="P11" s="76">
        <f>P8*P7</f>
        <v/>
      </c>
      <c r="Q11" s="76">
        <f>Q8*Q7</f>
        <v/>
      </c>
      <c r="R11" s="76">
        <f>R8*R7</f>
        <v/>
      </c>
      <c r="S11" s="76">
        <f>S8*S7</f>
        <v/>
      </c>
      <c r="T11" s="76">
        <f>T8*T7</f>
        <v/>
      </c>
      <c r="U11" s="76">
        <f>U8*U7</f>
        <v/>
      </c>
      <c r="V11" s="76">
        <f>V8*V7</f>
        <v/>
      </c>
      <c r="W11" s="76">
        <f>W8*W7</f>
        <v/>
      </c>
      <c r="X11" s="76">
        <f>X8*X7</f>
        <v/>
      </c>
      <c r="Y11" s="76">
        <f>Y8*Y7</f>
        <v/>
      </c>
      <c r="Z11" s="77">
        <f>Z8*Z7</f>
        <v/>
      </c>
    </row>
    <row r="12">
      <c r="A12" s="74" t="n"/>
      <c r="B12" s="74" t="inlineStr">
        <is>
          <t>Lost MRR</t>
        </is>
      </c>
      <c r="C12" s="78">
        <f>C13*C9</f>
        <v/>
      </c>
      <c r="D12" s="79">
        <f>D13*D9</f>
        <v/>
      </c>
      <c r="E12" s="79">
        <f>E13*E9</f>
        <v/>
      </c>
      <c r="F12" s="79">
        <f>F13*F9</f>
        <v/>
      </c>
      <c r="G12" s="79">
        <f>G13*G9</f>
        <v/>
      </c>
      <c r="H12" s="79">
        <f>H13*H9</f>
        <v/>
      </c>
      <c r="I12" s="79">
        <f>I13*I9</f>
        <v/>
      </c>
      <c r="J12" s="79">
        <f>J13*J9</f>
        <v/>
      </c>
      <c r="K12" s="79">
        <f>K13*K9</f>
        <v/>
      </c>
      <c r="L12" s="79">
        <f>L13*L9</f>
        <v/>
      </c>
      <c r="M12" s="79">
        <f>M13*M9</f>
        <v/>
      </c>
      <c r="N12" s="80">
        <f>N13*N9</f>
        <v/>
      </c>
      <c r="O12" s="78">
        <f>O13*O9</f>
        <v/>
      </c>
      <c r="P12" s="79">
        <f>P13*P9</f>
        <v/>
      </c>
      <c r="Q12" s="79">
        <f>Q13*Q9</f>
        <v/>
      </c>
      <c r="R12" s="79">
        <f>R13*R9</f>
        <v/>
      </c>
      <c r="S12" s="79">
        <f>S13*S9</f>
        <v/>
      </c>
      <c r="T12" s="79">
        <f>T13*T9</f>
        <v/>
      </c>
      <c r="U12" s="79">
        <f>U13*U9</f>
        <v/>
      </c>
      <c r="V12" s="79">
        <f>V13*V9</f>
        <v/>
      </c>
      <c r="W12" s="79">
        <f>W13*W9</f>
        <v/>
      </c>
      <c r="X12" s="79">
        <f>X13*X9</f>
        <v/>
      </c>
      <c r="Y12" s="79">
        <f>Y13*Y9</f>
        <v/>
      </c>
      <c r="Z12" s="80">
        <f>Z13*Z9</f>
        <v/>
      </c>
    </row>
    <row r="13">
      <c r="A13" s="74" t="n"/>
      <c r="B13" s="74" t="inlineStr">
        <is>
          <t>MRR from last month</t>
        </is>
      </c>
      <c r="C13" s="62">
        <f>'Growth Hypotheses'!B9</f>
        <v/>
      </c>
      <c r="D13" s="74">
        <f>C14</f>
        <v/>
      </c>
      <c r="E13" s="74">
        <f>D14</f>
        <v/>
      </c>
      <c r="F13" s="74">
        <f>E14</f>
        <v/>
      </c>
      <c r="G13" s="74">
        <f>F14</f>
        <v/>
      </c>
      <c r="H13" s="74">
        <f>G14</f>
        <v/>
      </c>
      <c r="I13" s="74">
        <f>H14</f>
        <v/>
      </c>
      <c r="J13" s="74">
        <f>I14</f>
        <v/>
      </c>
      <c r="K13" s="74">
        <f>J14</f>
        <v/>
      </c>
      <c r="L13" s="74">
        <f>K14</f>
        <v/>
      </c>
      <c r="M13" s="74">
        <f>L14</f>
        <v/>
      </c>
      <c r="N13" s="64">
        <f>M14</f>
        <v/>
      </c>
      <c r="O13" s="62">
        <f>N14</f>
        <v/>
      </c>
      <c r="P13" s="74">
        <f>O14</f>
        <v/>
      </c>
      <c r="Q13" s="74">
        <f>P14</f>
        <v/>
      </c>
      <c r="R13" s="74">
        <f>Q14</f>
        <v/>
      </c>
      <c r="S13" s="74">
        <f>R14</f>
        <v/>
      </c>
      <c r="T13" s="74">
        <f>S14</f>
        <v/>
      </c>
      <c r="U13" s="74">
        <f>T14</f>
        <v/>
      </c>
      <c r="V13" s="74">
        <f>U14</f>
        <v/>
      </c>
      <c r="W13" s="74">
        <f>V14</f>
        <v/>
      </c>
      <c r="X13" s="74">
        <f>W14</f>
        <v/>
      </c>
      <c r="Y13" s="74">
        <f>X14</f>
        <v/>
      </c>
      <c r="Z13" s="64">
        <f>Y14</f>
        <v/>
      </c>
    </row>
    <row r="14">
      <c r="A14" s="83" t="n"/>
      <c r="B14" s="83" t="inlineStr">
        <is>
          <t>Gross MRR</t>
        </is>
      </c>
      <c r="C14" s="82">
        <f>C13+C11-C12</f>
        <v/>
      </c>
      <c r="D14" s="83">
        <f>D13+D11-D12</f>
        <v/>
      </c>
      <c r="E14" s="83">
        <f>E13+E11-E12</f>
        <v/>
      </c>
      <c r="F14" s="83">
        <f>F13+F11-F12</f>
        <v/>
      </c>
      <c r="G14" s="83">
        <f>G13+G11-G12</f>
        <v/>
      </c>
      <c r="H14" s="83">
        <f>H13+H11-H12</f>
        <v/>
      </c>
      <c r="I14" s="83">
        <f>I13+I11-I12</f>
        <v/>
      </c>
      <c r="J14" s="83">
        <f>J13+J11-J12</f>
        <v/>
      </c>
      <c r="K14" s="83">
        <f>K13+K11-K12</f>
        <v/>
      </c>
      <c r="L14" s="83">
        <f>L13+L11-L12</f>
        <v/>
      </c>
      <c r="M14" s="83">
        <f>M13+M11-M12</f>
        <v/>
      </c>
      <c r="N14" s="84">
        <f>N13+N11-N12</f>
        <v/>
      </c>
      <c r="O14" s="82">
        <f>O13+O11-O12</f>
        <v/>
      </c>
      <c r="P14" s="83">
        <f>P13+P11-P12</f>
        <v/>
      </c>
      <c r="Q14" s="83">
        <f>Q13+Q11-Q12</f>
        <v/>
      </c>
      <c r="R14" s="83">
        <f>R13+R11-R12</f>
        <v/>
      </c>
      <c r="S14" s="83">
        <f>S13+S11-S12</f>
        <v/>
      </c>
      <c r="T14" s="83">
        <f>T13+T11-T12</f>
        <v/>
      </c>
      <c r="U14" s="83">
        <f>U13+U11-U12</f>
        <v/>
      </c>
      <c r="V14" s="83">
        <f>V13+V11-V12</f>
        <v/>
      </c>
      <c r="W14" s="83">
        <f>W13+W11-W12</f>
        <v/>
      </c>
      <c r="X14" s="83">
        <f>X13+X11-X12</f>
        <v/>
      </c>
      <c r="Y14" s="83">
        <f>Y13+Y11-Y12</f>
        <v/>
      </c>
      <c r="Z14" s="84">
        <f>Z13+Z11-Z12</f>
        <v/>
      </c>
    </row>
    <row r="15">
      <c r="A15" s="87" t="n"/>
      <c r="B15" s="87" t="inlineStr">
        <is>
          <t>MRR Growth rate</t>
        </is>
      </c>
      <c r="C15" s="86" t="n"/>
      <c r="D15" s="87">
        <f>(D14-C14)/C14</f>
        <v/>
      </c>
      <c r="E15" s="87">
        <f>(E14-D14)/D14</f>
        <v/>
      </c>
      <c r="F15" s="87">
        <f>(F14-E14)/E14</f>
        <v/>
      </c>
      <c r="G15" s="87">
        <f>(G14-F14)/F14</f>
        <v/>
      </c>
      <c r="H15" s="87">
        <f>(H14-G14)/G14</f>
        <v/>
      </c>
      <c r="I15" s="87">
        <f>(I14-H14)/H14</f>
        <v/>
      </c>
      <c r="J15" s="87">
        <f>(J14-I14)/I14</f>
        <v/>
      </c>
      <c r="K15" s="87">
        <f>(K14-J14)/J14</f>
        <v/>
      </c>
      <c r="L15" s="87">
        <f>(L14-K14)/K14</f>
        <v/>
      </c>
      <c r="M15" s="87">
        <f>(M14-L14)/L14</f>
        <v/>
      </c>
      <c r="N15" s="87">
        <f>(N14-M14)/M14</f>
        <v/>
      </c>
      <c r="O15" s="86">
        <f>(O14-N14)/N14</f>
        <v/>
      </c>
      <c r="P15" s="87">
        <f>(P14-O14)/O14</f>
        <v/>
      </c>
      <c r="Q15" s="87">
        <f>(Q14-P14)/P14</f>
        <v/>
      </c>
      <c r="R15" s="87">
        <f>(R14-Q14)/Q14</f>
        <v/>
      </c>
      <c r="S15" s="87">
        <f>(S14-R14)/R14</f>
        <v/>
      </c>
      <c r="T15" s="87">
        <f>(T14-S14)/S14</f>
        <v/>
      </c>
      <c r="U15" s="87">
        <f>(U14-T14)/T14</f>
        <v/>
      </c>
      <c r="V15" s="87">
        <f>(V14-U14)/U14</f>
        <v/>
      </c>
      <c r="W15" s="87">
        <f>(W14-V14)/V14</f>
        <v/>
      </c>
      <c r="X15" s="87">
        <f>(X14-W14)/W14</f>
        <v/>
      </c>
      <c r="Y15" s="87">
        <f>(Y14-X14)/X14</f>
        <v/>
      </c>
      <c r="Z15" s="88">
        <f>(Z14-Y14)/Y14</f>
        <v/>
      </c>
    </row>
    <row r="16">
      <c r="A16" s="87" t="n"/>
      <c r="B16" s="74" t="inlineStr">
        <is>
          <t>Payment Processing</t>
        </is>
      </c>
      <c r="C16" s="89">
        <f>C14*'Costs Hypotheses'!$D$30</f>
        <v/>
      </c>
      <c r="D16" s="90">
        <f>D14*'Costs Hypotheses'!$D$30</f>
        <v/>
      </c>
      <c r="E16" s="90">
        <f>E14*'Costs Hypotheses'!$D$30</f>
        <v/>
      </c>
      <c r="F16" s="90">
        <f>F14*'Costs Hypotheses'!$D$30</f>
        <v/>
      </c>
      <c r="G16" s="90">
        <f>G14*'Costs Hypotheses'!$D$30</f>
        <v/>
      </c>
      <c r="H16" s="90">
        <f>H14*'Costs Hypotheses'!$D$30</f>
        <v/>
      </c>
      <c r="I16" s="90">
        <f>I14*'Costs Hypotheses'!$D$30</f>
        <v/>
      </c>
      <c r="J16" s="90">
        <f>J14*'Costs Hypotheses'!$D$30</f>
        <v/>
      </c>
      <c r="K16" s="90">
        <f>K14*'Costs Hypotheses'!$D$30</f>
        <v/>
      </c>
      <c r="L16" s="90">
        <f>L14*'Costs Hypotheses'!$D$30</f>
        <v/>
      </c>
      <c r="M16" s="90">
        <f>M14*'Costs Hypotheses'!$D$30</f>
        <v/>
      </c>
      <c r="N16" s="90">
        <f>N14*'Costs Hypotheses'!$D$30</f>
        <v/>
      </c>
      <c r="O16" s="89">
        <f>O14*'Costs Hypotheses'!$D$30</f>
        <v/>
      </c>
      <c r="P16" s="90">
        <f>P14*'Costs Hypotheses'!$D$30</f>
        <v/>
      </c>
      <c r="Q16" s="90">
        <f>Q14*'Costs Hypotheses'!$D$30</f>
        <v/>
      </c>
      <c r="R16" s="90">
        <f>R14*'Costs Hypotheses'!$D$30</f>
        <v/>
      </c>
      <c r="S16" s="90">
        <f>S14*'Costs Hypotheses'!$D$30</f>
        <v/>
      </c>
      <c r="T16" s="90">
        <f>T14*'Costs Hypotheses'!$D$30</f>
        <v/>
      </c>
      <c r="U16" s="90">
        <f>U14*'Costs Hypotheses'!$D$30</f>
        <v/>
      </c>
      <c r="V16" s="90">
        <f>V14*'Costs Hypotheses'!$D$30</f>
        <v/>
      </c>
      <c r="W16" s="90">
        <f>W14*'Costs Hypotheses'!$D$30</f>
        <v/>
      </c>
      <c r="X16" s="90">
        <f>X14*'Costs Hypotheses'!$D$30</f>
        <v/>
      </c>
      <c r="Y16" s="90">
        <f>Y14*'Costs Hypotheses'!$D$30</f>
        <v/>
      </c>
      <c r="Z16" s="91">
        <f>Z14*'Costs Hypotheses'!$D$30</f>
        <v/>
      </c>
    </row>
    <row r="17">
      <c r="A17" s="94" t="n"/>
      <c r="B17" s="94" t="inlineStr">
        <is>
          <t>Net MRR</t>
        </is>
      </c>
      <c r="C17" s="93">
        <f>C14-C16</f>
        <v/>
      </c>
      <c r="D17" s="94">
        <f>D14-D16</f>
        <v/>
      </c>
      <c r="E17" s="94">
        <f>E14-E16</f>
        <v/>
      </c>
      <c r="F17" s="94">
        <f>F14-F16</f>
        <v/>
      </c>
      <c r="G17" s="94">
        <f>G14-G16</f>
        <v/>
      </c>
      <c r="H17" s="94">
        <f>H14-H16</f>
        <v/>
      </c>
      <c r="I17" s="94">
        <f>I14-I16</f>
        <v/>
      </c>
      <c r="J17" s="94">
        <f>J14-J16</f>
        <v/>
      </c>
      <c r="K17" s="94">
        <f>K14-K16</f>
        <v/>
      </c>
      <c r="L17" s="94">
        <f>L14-L16</f>
        <v/>
      </c>
      <c r="M17" s="94">
        <f>M14-M16</f>
        <v/>
      </c>
      <c r="N17" s="94">
        <f>N14-N16</f>
        <v/>
      </c>
      <c r="O17" s="93">
        <f>O14-O16</f>
        <v/>
      </c>
      <c r="P17" s="94">
        <f>P14-P16</f>
        <v/>
      </c>
      <c r="Q17" s="94">
        <f>Q14-Q16</f>
        <v/>
      </c>
      <c r="R17" s="94">
        <f>R14-R16</f>
        <v/>
      </c>
      <c r="S17" s="94">
        <f>S14-S16</f>
        <v/>
      </c>
      <c r="T17" s="94">
        <f>T14-T16</f>
        <v/>
      </c>
      <c r="U17" s="94">
        <f>U14-U16</f>
        <v/>
      </c>
      <c r="V17" s="94">
        <f>V14-V16</f>
        <v/>
      </c>
      <c r="W17" s="94">
        <f>W14-W16</f>
        <v/>
      </c>
      <c r="X17" s="94">
        <f>X14-X16</f>
        <v/>
      </c>
      <c r="Y17" s="94">
        <f>Y14-Y16</f>
        <v/>
      </c>
      <c r="Z17" s="95">
        <f>Z14-Z16</f>
        <v/>
      </c>
    </row>
    <row r="18">
      <c r="C18" s="60" t="n"/>
      <c r="N18" s="61" t="n"/>
      <c r="O18" s="60" t="n"/>
      <c r="Z18" s="61" t="n"/>
    </row>
    <row r="19">
      <c r="A19" s="59" t="inlineStr">
        <is>
          <t>COSTS</t>
        </is>
      </c>
    </row>
    <row r="20" ht="9.75" customHeight="1" s="114">
      <c r="C20" s="60" t="n"/>
      <c r="N20" s="61" t="n"/>
      <c r="O20" s="60" t="n"/>
      <c r="Z20" s="61" t="n"/>
    </row>
    <row r="21">
      <c r="A21" s="102" t="inlineStr">
        <is>
          <t>Personnel</t>
        </is>
      </c>
      <c r="C21" s="60" t="n"/>
      <c r="N21" s="61" t="n"/>
      <c r="O21" s="60" t="n"/>
      <c r="Z21" s="61" t="n"/>
    </row>
    <row r="22">
      <c r="B22" s="0">
        <f>+CONCATENATE('Costs Hypotheses'!B3," - ",'Costs Hypotheses'!C3)</f>
        <v/>
      </c>
      <c r="C22" s="96">
        <f>if('Costs Hypotheses'!$E3&lt;=C$3,('Costs Hypotheses'!$D3/12),0)</f>
        <v/>
      </c>
      <c r="D22" s="97">
        <f>if('Costs Hypotheses'!$E3&lt;=D$3,('Costs Hypotheses'!$D3/12),0)</f>
        <v/>
      </c>
      <c r="E22" s="97">
        <f>if('Costs Hypotheses'!$E3&lt;=E$3,('Costs Hypotheses'!$D3/12),0)</f>
        <v/>
      </c>
      <c r="F22" s="97">
        <f>if('Costs Hypotheses'!$E3&lt;=F$3,('Costs Hypotheses'!$D3/12),0)</f>
        <v/>
      </c>
      <c r="G22" s="97">
        <f>if('Costs Hypotheses'!$E3&lt;=G$3,('Costs Hypotheses'!$D3/12),0)</f>
        <v/>
      </c>
      <c r="H22" s="97">
        <f>if('Costs Hypotheses'!$E3&lt;=H$3,('Costs Hypotheses'!$D3/12),0)</f>
        <v/>
      </c>
      <c r="I22" s="97">
        <f>if('Costs Hypotheses'!$E3&lt;=I$3,('Costs Hypotheses'!$D3/12),0)</f>
        <v/>
      </c>
      <c r="J22" s="97">
        <f>if('Costs Hypotheses'!$E3&lt;=J$3,('Costs Hypotheses'!$D3/12),0)</f>
        <v/>
      </c>
      <c r="K22" s="97">
        <f>if('Costs Hypotheses'!$E3&lt;=K$3,('Costs Hypotheses'!$D3/12),0)</f>
        <v/>
      </c>
      <c r="L22" s="97">
        <f>if('Costs Hypotheses'!$E3&lt;=L$3,('Costs Hypotheses'!$D3/12),0)</f>
        <v/>
      </c>
      <c r="M22" s="97">
        <f>if('Costs Hypotheses'!$E3&lt;=M$3,('Costs Hypotheses'!$D3/12),0)</f>
        <v/>
      </c>
      <c r="N22" s="97">
        <f>if('Costs Hypotheses'!$E3&lt;=N$3,('Costs Hypotheses'!$D3/12),0)</f>
        <v/>
      </c>
      <c r="O22" s="96">
        <f>if('Costs Hypotheses'!$E3&lt;=O$3,('Costs Hypotheses'!$D3/12),0)</f>
        <v/>
      </c>
      <c r="P22" s="97">
        <f>if('Costs Hypotheses'!$E3&lt;=P$3,('Costs Hypotheses'!$D3/12),0)</f>
        <v/>
      </c>
      <c r="Q22" s="97">
        <f>if('Costs Hypotheses'!$E3&lt;=Q$3,('Costs Hypotheses'!$D3/12),0)</f>
        <v/>
      </c>
      <c r="R22" s="97">
        <f>if('Costs Hypotheses'!$E3&lt;=R$3,('Costs Hypotheses'!$D3/12),0)</f>
        <v/>
      </c>
      <c r="S22" s="97">
        <f>if('Costs Hypotheses'!$E3&lt;=S$3,('Costs Hypotheses'!$D3/12),0)</f>
        <v/>
      </c>
      <c r="T22" s="97">
        <f>if('Costs Hypotheses'!$E3&lt;=T$3,('Costs Hypotheses'!$D3/12),0)</f>
        <v/>
      </c>
      <c r="U22" s="97">
        <f>if('Costs Hypotheses'!$E3&lt;=U$3,('Costs Hypotheses'!$D3/12),0)</f>
        <v/>
      </c>
      <c r="V22" s="97">
        <f>if('Costs Hypotheses'!$E3&lt;=V$3,('Costs Hypotheses'!$D3/12),0)</f>
        <v/>
      </c>
      <c r="W22" s="97">
        <f>if('Costs Hypotheses'!$E3&lt;=W$3,('Costs Hypotheses'!$D3/12),0)</f>
        <v/>
      </c>
      <c r="X22" s="97">
        <f>if('Costs Hypotheses'!$E3&lt;=X$3,('Costs Hypotheses'!$D3/12),0)</f>
        <v/>
      </c>
      <c r="Y22" s="97">
        <f>if('Costs Hypotheses'!$E3&lt;=Y$3,('Costs Hypotheses'!$D3/12),0)</f>
        <v/>
      </c>
      <c r="Z22" s="98">
        <f>if('Costs Hypotheses'!$E3&lt;=Z$3,('Costs Hypotheses'!$D3/12),0)</f>
        <v/>
      </c>
    </row>
    <row r="23">
      <c r="B23" s="0">
        <f>+CONCATENATE('Costs Hypotheses'!B4," - ",'Costs Hypotheses'!C4)</f>
        <v/>
      </c>
      <c r="C23" s="96">
        <f>if('Costs Hypotheses'!$E4&lt;=C$3,('Costs Hypotheses'!$D4/12),0)</f>
        <v/>
      </c>
      <c r="D23" s="97">
        <f>if('Costs Hypotheses'!$E4&lt;=D$3,('Costs Hypotheses'!$D4/12),0)</f>
        <v/>
      </c>
      <c r="E23" s="97">
        <f>if('Costs Hypotheses'!$E4&lt;=E$3,('Costs Hypotheses'!$D4/12),0)</f>
        <v/>
      </c>
      <c r="F23" s="97">
        <f>if('Costs Hypotheses'!$E4&lt;=F$3,('Costs Hypotheses'!$D4/12),0)</f>
        <v/>
      </c>
      <c r="G23" s="97">
        <f>if('Costs Hypotheses'!$E4&lt;=G$3,('Costs Hypotheses'!$D4/12),0)</f>
        <v/>
      </c>
      <c r="H23" s="97">
        <f>if('Costs Hypotheses'!$E4&lt;=H$3,('Costs Hypotheses'!$D4/12),0)</f>
        <v/>
      </c>
      <c r="I23" s="97">
        <f>if('Costs Hypotheses'!$E4&lt;=I$3,('Costs Hypotheses'!$D4/12),0)</f>
        <v/>
      </c>
      <c r="J23" s="97">
        <f>if('Costs Hypotheses'!$E4&lt;=J$3,('Costs Hypotheses'!$D4/12),0)</f>
        <v/>
      </c>
      <c r="K23" s="97">
        <f>if('Costs Hypotheses'!$E4&lt;=K$3,('Costs Hypotheses'!$D4/12),0)</f>
        <v/>
      </c>
      <c r="L23" s="97">
        <f>if('Costs Hypotheses'!$E4&lt;=L$3,('Costs Hypotheses'!$D4/12),0)</f>
        <v/>
      </c>
      <c r="M23" s="97">
        <f>if('Costs Hypotheses'!$E4&lt;=M$3,('Costs Hypotheses'!$D4/12),0)</f>
        <v/>
      </c>
      <c r="N23" s="97">
        <f>if('Costs Hypotheses'!$E4&lt;=N$3,('Costs Hypotheses'!$D4/12),0)</f>
        <v/>
      </c>
      <c r="O23" s="96">
        <f>if('Costs Hypotheses'!$E4&lt;=O$3,('Costs Hypotheses'!$D4/12),0)</f>
        <v/>
      </c>
      <c r="P23" s="97">
        <f>if('Costs Hypotheses'!$E4&lt;=P$3,('Costs Hypotheses'!$D4/12),0)</f>
        <v/>
      </c>
      <c r="Q23" s="97">
        <f>if('Costs Hypotheses'!$E4&lt;=Q$3,('Costs Hypotheses'!$D4/12),0)</f>
        <v/>
      </c>
      <c r="R23" s="97">
        <f>if('Costs Hypotheses'!$E4&lt;=R$3,('Costs Hypotheses'!$D4/12),0)</f>
        <v/>
      </c>
      <c r="S23" s="97">
        <f>if('Costs Hypotheses'!$E4&lt;=S$3,('Costs Hypotheses'!$D4/12),0)</f>
        <v/>
      </c>
      <c r="T23" s="97">
        <f>if('Costs Hypotheses'!$E4&lt;=T$3,('Costs Hypotheses'!$D4/12),0)</f>
        <v/>
      </c>
      <c r="U23" s="97">
        <f>if('Costs Hypotheses'!$E4&lt;=U$3,('Costs Hypotheses'!$D4/12),0)</f>
        <v/>
      </c>
      <c r="V23" s="97">
        <f>if('Costs Hypotheses'!$E4&lt;=V$3,('Costs Hypotheses'!$D4/12),0)</f>
        <v/>
      </c>
      <c r="W23" s="97">
        <f>if('Costs Hypotheses'!$E4&lt;=W$3,('Costs Hypotheses'!$D4/12),0)</f>
        <v/>
      </c>
      <c r="X23" s="97">
        <f>if('Costs Hypotheses'!$E4&lt;=X$3,('Costs Hypotheses'!$D4/12),0)</f>
        <v/>
      </c>
      <c r="Y23" s="97">
        <f>if('Costs Hypotheses'!$E4&lt;=Y$3,('Costs Hypotheses'!$D4/12),0)</f>
        <v/>
      </c>
      <c r="Z23" s="98">
        <f>if('Costs Hypotheses'!$E4&lt;=Z$3,('Costs Hypotheses'!$D4/12),0)</f>
        <v/>
      </c>
    </row>
    <row r="24">
      <c r="B24" s="0">
        <f>+CONCATENATE('Costs Hypotheses'!B5," - ",'Costs Hypotheses'!C5)</f>
        <v/>
      </c>
      <c r="C24" s="96">
        <f>if('Costs Hypotheses'!$E5&lt;=C$3,('Costs Hypotheses'!$D5/12),0)</f>
        <v/>
      </c>
      <c r="D24" s="97">
        <f>if('Costs Hypotheses'!$E5&lt;=D$3,('Costs Hypotheses'!$D5/12),0)</f>
        <v/>
      </c>
      <c r="E24" s="97">
        <f>if('Costs Hypotheses'!$E5&lt;=E$3,('Costs Hypotheses'!$D5/12),0)</f>
        <v/>
      </c>
      <c r="F24" s="97">
        <f>if('Costs Hypotheses'!$E5&lt;=F$3,('Costs Hypotheses'!$D5/12),0)</f>
        <v/>
      </c>
      <c r="G24" s="97">
        <f>if('Costs Hypotheses'!$E5&lt;=G$3,('Costs Hypotheses'!$D5/12),0)</f>
        <v/>
      </c>
      <c r="H24" s="97">
        <f>if('Costs Hypotheses'!$E5&lt;=H$3,('Costs Hypotheses'!$D5/12),0)</f>
        <v/>
      </c>
      <c r="I24" s="97">
        <f>if('Costs Hypotheses'!$E5&lt;=I$3,('Costs Hypotheses'!$D5/12),0)</f>
        <v/>
      </c>
      <c r="J24" s="97">
        <f>if('Costs Hypotheses'!$E5&lt;=J$3,('Costs Hypotheses'!$D5/12),0)</f>
        <v/>
      </c>
      <c r="K24" s="97">
        <f>if('Costs Hypotheses'!$E5&lt;=K$3,('Costs Hypotheses'!$D5/12),0)</f>
        <v/>
      </c>
      <c r="L24" s="97">
        <f>if('Costs Hypotheses'!$E5&lt;=L$3,('Costs Hypotheses'!$D5/12),0)</f>
        <v/>
      </c>
      <c r="M24" s="97">
        <f>if('Costs Hypotheses'!$E5&lt;=M$3,('Costs Hypotheses'!$D5/12),0)</f>
        <v/>
      </c>
      <c r="N24" s="97">
        <f>if('Costs Hypotheses'!$E5&lt;=N$3,('Costs Hypotheses'!$D5/12),0)</f>
        <v/>
      </c>
      <c r="O24" s="96">
        <f>if('Costs Hypotheses'!$E5&lt;=O$3,('Costs Hypotheses'!$D5/12),0)</f>
        <v/>
      </c>
      <c r="P24" s="97">
        <f>if('Costs Hypotheses'!$E5&lt;=P$3,('Costs Hypotheses'!$D5/12),0)</f>
        <v/>
      </c>
      <c r="Q24" s="97">
        <f>if('Costs Hypotheses'!$E5&lt;=Q$3,('Costs Hypotheses'!$D5/12),0)</f>
        <v/>
      </c>
      <c r="R24" s="97">
        <f>if('Costs Hypotheses'!$E5&lt;=R$3,('Costs Hypotheses'!$D5/12),0)</f>
        <v/>
      </c>
      <c r="S24" s="97">
        <f>if('Costs Hypotheses'!$E5&lt;=S$3,('Costs Hypotheses'!$D5/12),0)</f>
        <v/>
      </c>
      <c r="T24" s="97">
        <f>if('Costs Hypotheses'!$E5&lt;=T$3,('Costs Hypotheses'!$D5/12),0)</f>
        <v/>
      </c>
      <c r="U24" s="97">
        <f>if('Costs Hypotheses'!$E5&lt;=U$3,('Costs Hypotheses'!$D5/12),0)</f>
        <v/>
      </c>
      <c r="V24" s="97">
        <f>if('Costs Hypotheses'!$E5&lt;=V$3,('Costs Hypotheses'!$D5/12),0)</f>
        <v/>
      </c>
      <c r="W24" s="97">
        <f>if('Costs Hypotheses'!$E5&lt;=W$3,('Costs Hypotheses'!$D5/12),0)</f>
        <v/>
      </c>
      <c r="X24" s="97">
        <f>if('Costs Hypotheses'!$E5&lt;=X$3,('Costs Hypotheses'!$D5/12),0)</f>
        <v/>
      </c>
      <c r="Y24" s="97">
        <f>if('Costs Hypotheses'!$E5&lt;=Y$3,('Costs Hypotheses'!$D5/12),0)</f>
        <v/>
      </c>
      <c r="Z24" s="98">
        <f>if('Costs Hypotheses'!$E5&lt;=Z$3,('Costs Hypotheses'!$D5/12),0)</f>
        <v/>
      </c>
    </row>
    <row r="25">
      <c r="B25" s="0">
        <f>+CONCATENATE('Costs Hypotheses'!B6," - ",'Costs Hypotheses'!C6)</f>
        <v/>
      </c>
      <c r="C25" s="96">
        <f>if('Costs Hypotheses'!$E6&lt;=C$3,('Costs Hypotheses'!$D6/12),0)</f>
        <v/>
      </c>
      <c r="D25" s="97">
        <f>if('Costs Hypotheses'!$E6&lt;=D$3,('Costs Hypotheses'!$D6/12),0)</f>
        <v/>
      </c>
      <c r="E25" s="97">
        <f>if('Costs Hypotheses'!$E6&lt;=E$3,('Costs Hypotheses'!$D6/12),0)</f>
        <v/>
      </c>
      <c r="F25" s="97">
        <f>if('Costs Hypotheses'!$E6&lt;=F$3,('Costs Hypotheses'!$D6/12),0)</f>
        <v/>
      </c>
      <c r="G25" s="97">
        <f>if('Costs Hypotheses'!$E6&lt;=G$3,('Costs Hypotheses'!$D6/12),0)</f>
        <v/>
      </c>
      <c r="H25" s="97">
        <f>if('Costs Hypotheses'!$E6&lt;=H$3,('Costs Hypotheses'!$D6/12),0)</f>
        <v/>
      </c>
      <c r="I25" s="97">
        <f>if('Costs Hypotheses'!$E6&lt;=I$3,('Costs Hypotheses'!$D6/12),0)</f>
        <v/>
      </c>
      <c r="J25" s="97">
        <f>if('Costs Hypotheses'!$E6&lt;=J$3,('Costs Hypotheses'!$D6/12),0)</f>
        <v/>
      </c>
      <c r="K25" s="97">
        <f>if('Costs Hypotheses'!$E6&lt;=K$3,('Costs Hypotheses'!$D6/12),0)</f>
        <v/>
      </c>
      <c r="L25" s="97">
        <f>if('Costs Hypotheses'!$E6&lt;=L$3,('Costs Hypotheses'!$D6/12),0)</f>
        <v/>
      </c>
      <c r="M25" s="97">
        <f>if('Costs Hypotheses'!$E6&lt;=M$3,('Costs Hypotheses'!$D6/12),0)</f>
        <v/>
      </c>
      <c r="N25" s="97">
        <f>if('Costs Hypotheses'!$E6&lt;=N$3,('Costs Hypotheses'!$D6/12),0)</f>
        <v/>
      </c>
      <c r="O25" s="96">
        <f>if('Costs Hypotheses'!$E6&lt;=O$3,('Costs Hypotheses'!$D6/12),0)</f>
        <v/>
      </c>
      <c r="P25" s="97">
        <f>if('Costs Hypotheses'!$E6&lt;=P$3,('Costs Hypotheses'!$D6/12),0)</f>
        <v/>
      </c>
      <c r="Q25" s="97">
        <f>if('Costs Hypotheses'!$E6&lt;=Q$3,('Costs Hypotheses'!$D6/12),0)</f>
        <v/>
      </c>
      <c r="R25" s="97">
        <f>if('Costs Hypotheses'!$E6&lt;=R$3,('Costs Hypotheses'!$D6/12),0)</f>
        <v/>
      </c>
      <c r="S25" s="97">
        <f>if('Costs Hypotheses'!$E6&lt;=S$3,('Costs Hypotheses'!$D6/12),0)</f>
        <v/>
      </c>
      <c r="T25" s="97">
        <f>if('Costs Hypotheses'!$E6&lt;=T$3,('Costs Hypotheses'!$D6/12),0)</f>
        <v/>
      </c>
      <c r="U25" s="97">
        <f>if('Costs Hypotheses'!$E6&lt;=U$3,('Costs Hypotheses'!$D6/12),0)</f>
        <v/>
      </c>
      <c r="V25" s="97">
        <f>if('Costs Hypotheses'!$E6&lt;=V$3,('Costs Hypotheses'!$D6/12),0)</f>
        <v/>
      </c>
      <c r="W25" s="97">
        <f>if('Costs Hypotheses'!$E6&lt;=W$3,('Costs Hypotheses'!$D6/12),0)</f>
        <v/>
      </c>
      <c r="X25" s="97">
        <f>if('Costs Hypotheses'!$E6&lt;=X$3,('Costs Hypotheses'!$D6/12),0)</f>
        <v/>
      </c>
      <c r="Y25" s="97">
        <f>if('Costs Hypotheses'!$E6&lt;=Y$3,('Costs Hypotheses'!$D6/12),0)</f>
        <v/>
      </c>
      <c r="Z25" s="98">
        <f>if('Costs Hypotheses'!$E6&lt;=Z$3,('Costs Hypotheses'!$D6/12),0)</f>
        <v/>
      </c>
    </row>
    <row r="26">
      <c r="B26" s="0">
        <f>+CONCATENATE('Costs Hypotheses'!B7," - ",'Costs Hypotheses'!C7)</f>
        <v/>
      </c>
      <c r="C26" s="60">
        <f>if('Costs Hypotheses'!$E7&lt;=C$3,('Costs Hypotheses'!$D7/12),0)</f>
        <v/>
      </c>
      <c r="D26" s="0">
        <f>if('Costs Hypotheses'!$E7&lt;=D$3,('Costs Hypotheses'!$D7/12),0)</f>
        <v/>
      </c>
      <c r="E26" s="0">
        <f>if('Costs Hypotheses'!$E7&lt;=E$3,('Costs Hypotheses'!$D7/12),0)</f>
        <v/>
      </c>
      <c r="F26" s="0">
        <f>if('Costs Hypotheses'!$E7&lt;=F$3,('Costs Hypotheses'!$D7/12),0)</f>
        <v/>
      </c>
      <c r="G26" s="97">
        <f>if('Costs Hypotheses'!$E7&lt;=G$3,('Costs Hypotheses'!$D7/12),0)</f>
        <v/>
      </c>
      <c r="H26" s="97">
        <f>if('Costs Hypotheses'!$E7&lt;=H$3,('Costs Hypotheses'!$D7/12),0)</f>
        <v/>
      </c>
      <c r="I26" s="97">
        <f>if('Costs Hypotheses'!$E7&lt;=I$3,('Costs Hypotheses'!$D7/12),0)</f>
        <v/>
      </c>
      <c r="J26" s="97">
        <f>if('Costs Hypotheses'!$E7&lt;=J$3,('Costs Hypotheses'!$D7/12),0)</f>
        <v/>
      </c>
      <c r="K26" s="97">
        <f>if('Costs Hypotheses'!$E7&lt;=K$3,('Costs Hypotheses'!$D7/12),0)</f>
        <v/>
      </c>
      <c r="L26" s="97">
        <f>if('Costs Hypotheses'!$E7&lt;=L$3,('Costs Hypotheses'!$D7/12),0)</f>
        <v/>
      </c>
      <c r="M26" s="97">
        <f>if('Costs Hypotheses'!$E7&lt;=M$3,('Costs Hypotheses'!$D7/12),0)</f>
        <v/>
      </c>
      <c r="N26" s="97">
        <f>if('Costs Hypotheses'!$E7&lt;=N$3,('Costs Hypotheses'!$D7/12),0)</f>
        <v/>
      </c>
      <c r="O26" s="96">
        <f>if('Costs Hypotheses'!$E7&lt;=O$3,('Costs Hypotheses'!$D7/12),0)</f>
        <v/>
      </c>
      <c r="P26" s="97">
        <f>if('Costs Hypotheses'!$E7&lt;=P$3,('Costs Hypotheses'!$D7/12),0)</f>
        <v/>
      </c>
      <c r="Q26" s="97">
        <f>if('Costs Hypotheses'!$E7&lt;=Q$3,('Costs Hypotheses'!$D7/12),0)</f>
        <v/>
      </c>
      <c r="R26" s="97">
        <f>if('Costs Hypotheses'!$E7&lt;=R$3,('Costs Hypotheses'!$D7/12),0)</f>
        <v/>
      </c>
      <c r="S26" s="97">
        <f>if('Costs Hypotheses'!$E7&lt;=S$3,('Costs Hypotheses'!$D7/12),0)</f>
        <v/>
      </c>
      <c r="T26" s="97">
        <f>if('Costs Hypotheses'!$E7&lt;=T$3,('Costs Hypotheses'!$D7/12),0)</f>
        <v/>
      </c>
      <c r="U26" s="97">
        <f>if('Costs Hypotheses'!$E7&lt;=U$3,('Costs Hypotheses'!$D7/12),0)</f>
        <v/>
      </c>
      <c r="V26" s="97">
        <f>if('Costs Hypotheses'!$E7&lt;=V$3,('Costs Hypotheses'!$D7/12),0)</f>
        <v/>
      </c>
      <c r="W26" s="97">
        <f>if('Costs Hypotheses'!$E7&lt;=W$3,('Costs Hypotheses'!$D7/12),0)</f>
        <v/>
      </c>
      <c r="X26" s="97">
        <f>if('Costs Hypotheses'!$E7&lt;=X$3,('Costs Hypotheses'!$D7/12),0)</f>
        <v/>
      </c>
      <c r="Y26" s="97">
        <f>if('Costs Hypotheses'!$E7&lt;=Y$3,('Costs Hypotheses'!$D7/12),0)</f>
        <v/>
      </c>
      <c r="Z26" s="98">
        <f>if('Costs Hypotheses'!$E7&lt;=Z$3,('Costs Hypotheses'!$D7/12),0)</f>
        <v/>
      </c>
    </row>
    <row r="27">
      <c r="B27" s="0">
        <f>+CONCATENATE('Costs Hypotheses'!B8," - ",'Costs Hypotheses'!C8)</f>
        <v/>
      </c>
      <c r="C27" s="60">
        <f>if('Costs Hypotheses'!$E8&lt;=C$3,('Costs Hypotheses'!$D8/12),0)</f>
        <v/>
      </c>
      <c r="D27" s="0">
        <f>if('Costs Hypotheses'!$E8&lt;=D$3,('Costs Hypotheses'!$D8/12),0)</f>
        <v/>
      </c>
      <c r="E27" s="0">
        <f>if('Costs Hypotheses'!$E8&lt;=E$3,('Costs Hypotheses'!$D8/12),0)</f>
        <v/>
      </c>
      <c r="F27" s="0">
        <f>if('Costs Hypotheses'!$E8&lt;=F$3,('Costs Hypotheses'!$D8/12),0)</f>
        <v/>
      </c>
      <c r="G27" s="97">
        <f>if('Costs Hypotheses'!$E8&lt;=G$3,('Costs Hypotheses'!$D8/12),0)</f>
        <v/>
      </c>
      <c r="H27" s="97">
        <f>if('Costs Hypotheses'!$E8&lt;=H$3,('Costs Hypotheses'!$D8/12),0)</f>
        <v/>
      </c>
      <c r="I27" s="97">
        <f>if('Costs Hypotheses'!$E8&lt;=I$3,('Costs Hypotheses'!$D8/12),0)</f>
        <v/>
      </c>
      <c r="J27" s="97">
        <f>if('Costs Hypotheses'!$E8&lt;=J$3,('Costs Hypotheses'!$D8/12),0)</f>
        <v/>
      </c>
      <c r="K27" s="97">
        <f>if('Costs Hypotheses'!$E8&lt;=K$3,('Costs Hypotheses'!$D8/12),0)</f>
        <v/>
      </c>
      <c r="L27" s="97">
        <f>if('Costs Hypotheses'!$E8&lt;=L$3,('Costs Hypotheses'!$D8/12),0)</f>
        <v/>
      </c>
      <c r="M27" s="97">
        <f>if('Costs Hypotheses'!$E8&lt;=M$3,('Costs Hypotheses'!$D8/12),0)</f>
        <v/>
      </c>
      <c r="N27" s="97">
        <f>if('Costs Hypotheses'!$E8&lt;=N$3,('Costs Hypotheses'!$D8/12),0)</f>
        <v/>
      </c>
      <c r="O27" s="96">
        <f>if('Costs Hypotheses'!$E8&lt;=O$3,('Costs Hypotheses'!$D8/12),0)</f>
        <v/>
      </c>
      <c r="P27" s="97">
        <f>if('Costs Hypotheses'!$E8&lt;=P$3,('Costs Hypotheses'!$D8/12),0)</f>
        <v/>
      </c>
      <c r="Q27" s="97">
        <f>if('Costs Hypotheses'!$E8&lt;=Q$3,('Costs Hypotheses'!$D8/12),0)</f>
        <v/>
      </c>
      <c r="R27" s="97">
        <f>if('Costs Hypotheses'!$E8&lt;=R$3,('Costs Hypotheses'!$D8/12),0)</f>
        <v/>
      </c>
      <c r="S27" s="97">
        <f>if('Costs Hypotheses'!$E8&lt;=S$3,('Costs Hypotheses'!$D8/12),0)</f>
        <v/>
      </c>
      <c r="T27" s="97">
        <f>if('Costs Hypotheses'!$E8&lt;=T$3,('Costs Hypotheses'!$D8/12),0)</f>
        <v/>
      </c>
      <c r="U27" s="97">
        <f>if('Costs Hypotheses'!$E8&lt;=U$3,('Costs Hypotheses'!$D8/12),0)</f>
        <v/>
      </c>
      <c r="V27" s="97">
        <f>if('Costs Hypotheses'!$E8&lt;=V$3,('Costs Hypotheses'!$D8/12),0)</f>
        <v/>
      </c>
      <c r="W27" s="97">
        <f>if('Costs Hypotheses'!$E8&lt;=W$3,('Costs Hypotheses'!$D8/12),0)</f>
        <v/>
      </c>
      <c r="X27" s="97">
        <f>if('Costs Hypotheses'!$E8&lt;=X$3,('Costs Hypotheses'!$D8/12),0)</f>
        <v/>
      </c>
      <c r="Y27" s="97">
        <f>if('Costs Hypotheses'!$E8&lt;=Y$3,('Costs Hypotheses'!$D8/12),0)</f>
        <v/>
      </c>
      <c r="Z27" s="98">
        <f>if('Costs Hypotheses'!$E8&lt;=Z$3,('Costs Hypotheses'!$D8/12),0)</f>
        <v/>
      </c>
    </row>
    <row r="28">
      <c r="B28" s="0">
        <f>+CONCATENATE('Costs Hypotheses'!B9," - ",'Costs Hypotheses'!C9)</f>
        <v/>
      </c>
      <c r="C28" s="60">
        <f>if('Costs Hypotheses'!$E9&lt;=C$3,('Costs Hypotheses'!$D9/12),0)</f>
        <v/>
      </c>
      <c r="D28" s="0">
        <f>if('Costs Hypotheses'!$E9&lt;=D$3,('Costs Hypotheses'!$D9/12),0)</f>
        <v/>
      </c>
      <c r="E28" s="0">
        <f>if('Costs Hypotheses'!$E9&lt;=E$3,('Costs Hypotheses'!$D9/12),0)</f>
        <v/>
      </c>
      <c r="F28" s="0">
        <f>if('Costs Hypotheses'!$E9&lt;=F$3,('Costs Hypotheses'!$D9/12),0)</f>
        <v/>
      </c>
      <c r="G28" s="0">
        <f>if('Costs Hypotheses'!$E9&lt;=G$3,('Costs Hypotheses'!$D9/12),0)</f>
        <v/>
      </c>
      <c r="H28" s="0">
        <f>if('Costs Hypotheses'!$E9&lt;=H$3,('Costs Hypotheses'!$D9/12),0)</f>
        <v/>
      </c>
      <c r="I28" s="0">
        <f>if('Costs Hypotheses'!$E9&lt;=I$3,('Costs Hypotheses'!$D9/12),0)</f>
        <v/>
      </c>
      <c r="J28" s="0">
        <f>if('Costs Hypotheses'!$E9&lt;=J$3,('Costs Hypotheses'!$D9/12),0)</f>
        <v/>
      </c>
      <c r="K28" s="0">
        <f>if('Costs Hypotheses'!$E9&lt;=K$3,('Costs Hypotheses'!$D9/12),0)</f>
        <v/>
      </c>
      <c r="L28" s="0">
        <f>if('Costs Hypotheses'!$E9&lt;=L$3,('Costs Hypotheses'!$D9/12),0)</f>
        <v/>
      </c>
      <c r="M28" s="0">
        <f>if('Costs Hypotheses'!$E9&lt;=M$3,('Costs Hypotheses'!$D9/12),0)</f>
        <v/>
      </c>
      <c r="N28" s="0">
        <f>if('Costs Hypotheses'!$E9&lt;=N$3,('Costs Hypotheses'!$D9/12),0)</f>
        <v/>
      </c>
      <c r="O28" s="96">
        <f>if('Costs Hypotheses'!$E9&lt;=O$3,('Costs Hypotheses'!$D9/12),0)</f>
        <v/>
      </c>
      <c r="P28" s="97">
        <f>if('Costs Hypotheses'!$E9&lt;=P$3,('Costs Hypotheses'!$D9/12),0)</f>
        <v/>
      </c>
      <c r="Q28" s="97">
        <f>if('Costs Hypotheses'!$E9&lt;=Q$3,('Costs Hypotheses'!$D9/12),0)</f>
        <v/>
      </c>
      <c r="R28" s="97">
        <f>if('Costs Hypotheses'!$E9&lt;=R$3,('Costs Hypotheses'!$D9/12),0)</f>
        <v/>
      </c>
      <c r="S28" s="97">
        <f>if('Costs Hypotheses'!$E9&lt;=S$3,('Costs Hypotheses'!$D9/12),0)</f>
        <v/>
      </c>
      <c r="T28" s="97">
        <f>if('Costs Hypotheses'!$E9&lt;=T$3,('Costs Hypotheses'!$D9/12),0)</f>
        <v/>
      </c>
      <c r="U28" s="97">
        <f>if('Costs Hypotheses'!$E9&lt;=U$3,('Costs Hypotheses'!$D9/12),0)</f>
        <v/>
      </c>
      <c r="V28" s="97">
        <f>if('Costs Hypotheses'!$E9&lt;=V$3,('Costs Hypotheses'!$D9/12),0)</f>
        <v/>
      </c>
      <c r="W28" s="97">
        <f>if('Costs Hypotheses'!$E9&lt;=W$3,('Costs Hypotheses'!$D9/12),0)</f>
        <v/>
      </c>
      <c r="X28" s="97">
        <f>if('Costs Hypotheses'!$E9&lt;=X$3,('Costs Hypotheses'!$D9/12),0)</f>
        <v/>
      </c>
      <c r="Y28" s="97">
        <f>if('Costs Hypotheses'!$E9&lt;=Y$3,('Costs Hypotheses'!$D9/12),0)</f>
        <v/>
      </c>
      <c r="Z28" s="98">
        <f>if('Costs Hypotheses'!$E9&lt;=Z$3,('Costs Hypotheses'!$D9/12),0)</f>
        <v/>
      </c>
    </row>
    <row r="29">
      <c r="B29" s="0">
        <f>+CONCATENATE('Costs Hypotheses'!B10," - ",'Costs Hypotheses'!C10)</f>
        <v/>
      </c>
      <c r="C29" s="60">
        <f>if('Costs Hypotheses'!$E10&lt;=C$3,('Costs Hypotheses'!$D10/12),0)</f>
        <v/>
      </c>
      <c r="D29" s="0">
        <f>if('Costs Hypotheses'!$E10&lt;=D$3,('Costs Hypotheses'!$D10/12),0)</f>
        <v/>
      </c>
      <c r="E29" s="0">
        <f>if('Costs Hypotheses'!$E10&lt;=E$3,('Costs Hypotheses'!$D10/12),0)</f>
        <v/>
      </c>
      <c r="F29" s="0">
        <f>if('Costs Hypotheses'!$E10&lt;=F$3,('Costs Hypotheses'!$D10/12),0)</f>
        <v/>
      </c>
      <c r="G29" s="0">
        <f>if('Costs Hypotheses'!$E10&lt;=G$3,('Costs Hypotheses'!$D10/12),0)</f>
        <v/>
      </c>
      <c r="H29" s="0">
        <f>if('Costs Hypotheses'!$E10&lt;=H$3,('Costs Hypotheses'!$D10/12),0)</f>
        <v/>
      </c>
      <c r="I29" s="0">
        <f>if('Costs Hypotheses'!$E10&lt;=I$3,('Costs Hypotheses'!$D10/12),0)</f>
        <v/>
      </c>
      <c r="J29" s="0">
        <f>if('Costs Hypotheses'!$E10&lt;=J$3,('Costs Hypotheses'!$D10/12),0)</f>
        <v/>
      </c>
      <c r="K29" s="0">
        <f>if('Costs Hypotheses'!$E10&lt;=K$3,('Costs Hypotheses'!$D10/12),0)</f>
        <v/>
      </c>
      <c r="L29" s="0">
        <f>if('Costs Hypotheses'!$E10&lt;=L$3,('Costs Hypotheses'!$D10/12),0)</f>
        <v/>
      </c>
      <c r="M29" s="0">
        <f>if('Costs Hypotheses'!$E10&lt;=M$3,('Costs Hypotheses'!$D10/12),0)</f>
        <v/>
      </c>
      <c r="N29" s="0">
        <f>if('Costs Hypotheses'!$E10&lt;=N$3,('Costs Hypotheses'!$D10/12),0)</f>
        <v/>
      </c>
      <c r="O29" s="60">
        <f>if('Costs Hypotheses'!$E10&lt;=O$3,('Costs Hypotheses'!$D10/12),0)</f>
        <v/>
      </c>
      <c r="P29" s="0">
        <f>if('Costs Hypotheses'!$E10&lt;=P$3,('Costs Hypotheses'!$D10/12),0)</f>
        <v/>
      </c>
      <c r="Q29" s="97">
        <f>if('Costs Hypotheses'!$E10&lt;=Q$3,('Costs Hypotheses'!$D10/12),0)</f>
        <v/>
      </c>
      <c r="R29" s="97">
        <f>if('Costs Hypotheses'!$E10&lt;=R$3,('Costs Hypotheses'!$D10/12),0)</f>
        <v/>
      </c>
      <c r="S29" s="97">
        <f>if('Costs Hypotheses'!$E10&lt;=S$3,('Costs Hypotheses'!$D10/12),0)</f>
        <v/>
      </c>
      <c r="T29" s="97">
        <f>if('Costs Hypotheses'!$E10&lt;=T$3,('Costs Hypotheses'!$D10/12),0)</f>
        <v/>
      </c>
      <c r="U29" s="97">
        <f>if('Costs Hypotheses'!$E10&lt;=U$3,('Costs Hypotheses'!$D10/12),0)</f>
        <v/>
      </c>
      <c r="V29" s="97">
        <f>if('Costs Hypotheses'!$E10&lt;=V$3,('Costs Hypotheses'!$D10/12),0)</f>
        <v/>
      </c>
      <c r="W29" s="97">
        <f>if('Costs Hypotheses'!$E10&lt;=W$3,('Costs Hypotheses'!$D10/12),0)</f>
        <v/>
      </c>
      <c r="X29" s="97">
        <f>if('Costs Hypotheses'!$E10&lt;=X$3,('Costs Hypotheses'!$D10/12),0)</f>
        <v/>
      </c>
      <c r="Y29" s="97">
        <f>if('Costs Hypotheses'!$E10&lt;=Y$3,('Costs Hypotheses'!$D10/12),0)</f>
        <v/>
      </c>
      <c r="Z29" s="98">
        <f>if('Costs Hypotheses'!$E10&lt;=Z$3,('Costs Hypotheses'!$D10/12),0)</f>
        <v/>
      </c>
    </row>
    <row r="30">
      <c r="B30" s="0">
        <f>+CONCATENATE('Costs Hypotheses'!B11," - ",'Costs Hypotheses'!C11)</f>
        <v/>
      </c>
      <c r="C30" s="60">
        <f>if('Costs Hypotheses'!$E11&lt;=C$3,('Costs Hypotheses'!$D11/12),0)</f>
        <v/>
      </c>
      <c r="D30" s="0">
        <f>if('Costs Hypotheses'!$E11&lt;=D$3,('Costs Hypotheses'!$D11/12),0)</f>
        <v/>
      </c>
      <c r="E30" s="97">
        <f>if('Costs Hypotheses'!$E11&lt;=E$3,('Costs Hypotheses'!$D11/12),0)</f>
        <v/>
      </c>
      <c r="F30" s="97">
        <f>if('Costs Hypotheses'!$E11&lt;=F$3,('Costs Hypotheses'!$D11/12),0)</f>
        <v/>
      </c>
      <c r="G30" s="97">
        <f>if('Costs Hypotheses'!$E11&lt;=G$3,('Costs Hypotheses'!$D11/12),0)</f>
        <v/>
      </c>
      <c r="H30" s="97">
        <f>if('Costs Hypotheses'!$E11&lt;=H$3,('Costs Hypotheses'!$D11/12),0)</f>
        <v/>
      </c>
      <c r="I30" s="97">
        <f>if('Costs Hypotheses'!$E11&lt;=I$3,('Costs Hypotheses'!$D11/12),0)</f>
        <v/>
      </c>
      <c r="J30" s="97">
        <f>if('Costs Hypotheses'!$E11&lt;=J$3,('Costs Hypotheses'!$D11/12),0)</f>
        <v/>
      </c>
      <c r="K30" s="97">
        <f>if('Costs Hypotheses'!$E11&lt;=K$3,('Costs Hypotheses'!$D11/12),0)</f>
        <v/>
      </c>
      <c r="L30" s="97">
        <f>if('Costs Hypotheses'!$E11&lt;=L$3,('Costs Hypotheses'!$D11/12),0)</f>
        <v/>
      </c>
      <c r="M30" s="97">
        <f>if('Costs Hypotheses'!$E11&lt;=M$3,('Costs Hypotheses'!$D11/12),0)</f>
        <v/>
      </c>
      <c r="N30" s="97">
        <f>if('Costs Hypotheses'!$E11&lt;=N$3,('Costs Hypotheses'!$D11/12),0)</f>
        <v/>
      </c>
      <c r="O30" s="96">
        <f>if('Costs Hypotheses'!$E11&lt;=O$3,('Costs Hypotheses'!$D11/12),0)</f>
        <v/>
      </c>
      <c r="P30" s="97">
        <f>if('Costs Hypotheses'!$E11&lt;=P$3,('Costs Hypotheses'!$D11/12),0)</f>
        <v/>
      </c>
      <c r="Q30" s="97">
        <f>if('Costs Hypotheses'!$E11&lt;=Q$3,('Costs Hypotheses'!$D11/12),0)</f>
        <v/>
      </c>
      <c r="R30" s="97">
        <f>if('Costs Hypotheses'!$E11&lt;=R$3,('Costs Hypotheses'!$D11/12),0)</f>
        <v/>
      </c>
      <c r="S30" s="97">
        <f>if('Costs Hypotheses'!$E11&lt;=S$3,('Costs Hypotheses'!$D11/12),0)</f>
        <v/>
      </c>
      <c r="T30" s="97">
        <f>if('Costs Hypotheses'!$E11&lt;=T$3,('Costs Hypotheses'!$D11/12),0)</f>
        <v/>
      </c>
      <c r="U30" s="97">
        <f>if('Costs Hypotheses'!$E11&lt;=U$3,('Costs Hypotheses'!$D11/12),0)</f>
        <v/>
      </c>
      <c r="V30" s="97">
        <f>if('Costs Hypotheses'!$E11&lt;=V$3,('Costs Hypotheses'!$D11/12),0)</f>
        <v/>
      </c>
      <c r="W30" s="97">
        <f>if('Costs Hypotheses'!$E11&lt;=W$3,('Costs Hypotheses'!$D11/12),0)</f>
        <v/>
      </c>
      <c r="X30" s="97">
        <f>if('Costs Hypotheses'!$E11&lt;=X$3,('Costs Hypotheses'!$D11/12),0)</f>
        <v/>
      </c>
      <c r="Y30" s="97">
        <f>if('Costs Hypotheses'!$E11&lt;=Y$3,('Costs Hypotheses'!$D11/12),0)</f>
        <v/>
      </c>
      <c r="Z30" s="98">
        <f>if('Costs Hypotheses'!$E11&lt;=Z$3,('Costs Hypotheses'!$D11/12),0)</f>
        <v/>
      </c>
    </row>
    <row r="31">
      <c r="B31" s="0">
        <f>+CONCATENATE('Costs Hypotheses'!B12," - ",'Costs Hypotheses'!C12)</f>
        <v/>
      </c>
      <c r="C31" s="60">
        <f>if('Costs Hypotheses'!$E12&lt;=C$3,('Costs Hypotheses'!$D12/12),0)</f>
        <v/>
      </c>
      <c r="D31" s="0">
        <f>if('Costs Hypotheses'!$E12&lt;=D$3,('Costs Hypotheses'!$D12/12),0)</f>
        <v/>
      </c>
      <c r="E31" s="0">
        <f>if('Costs Hypotheses'!$E12&lt;=E$3,('Costs Hypotheses'!$D12/12),0)</f>
        <v/>
      </c>
      <c r="F31" s="0">
        <f>if('Costs Hypotheses'!$E12&lt;=F$3,('Costs Hypotheses'!$D12/12),0)</f>
        <v/>
      </c>
      <c r="G31" s="0">
        <f>if('Costs Hypotheses'!$E12&lt;=G$3,('Costs Hypotheses'!$D12/12),0)</f>
        <v/>
      </c>
      <c r="H31" s="0">
        <f>if('Costs Hypotheses'!$E12&lt;=H$3,('Costs Hypotheses'!$D12/12),0)</f>
        <v/>
      </c>
      <c r="I31" s="97">
        <f>if('Costs Hypotheses'!$E12&lt;=I$3,('Costs Hypotheses'!$D12/12),0)</f>
        <v/>
      </c>
      <c r="J31" s="97">
        <f>if('Costs Hypotheses'!$E12&lt;=J$3,('Costs Hypotheses'!$D12/12),0)</f>
        <v/>
      </c>
      <c r="K31" s="97">
        <f>if('Costs Hypotheses'!$E12&lt;=K$3,('Costs Hypotheses'!$D12/12),0)</f>
        <v/>
      </c>
      <c r="L31" s="97">
        <f>if('Costs Hypotheses'!$E12&lt;=L$3,('Costs Hypotheses'!$D12/12),0)</f>
        <v/>
      </c>
      <c r="M31" s="97">
        <f>if('Costs Hypotheses'!$E12&lt;=M$3,('Costs Hypotheses'!$D12/12),0)</f>
        <v/>
      </c>
      <c r="N31" s="97">
        <f>if('Costs Hypotheses'!$E12&lt;=N$3,('Costs Hypotheses'!$D12/12),0)</f>
        <v/>
      </c>
      <c r="O31" s="96">
        <f>if('Costs Hypotheses'!$E12&lt;=O$3,('Costs Hypotheses'!$D12/12),0)</f>
        <v/>
      </c>
      <c r="P31" s="97">
        <f>if('Costs Hypotheses'!$E12&lt;=P$3,('Costs Hypotheses'!$D12/12),0)</f>
        <v/>
      </c>
      <c r="Q31" s="97">
        <f>if('Costs Hypotheses'!$E12&lt;=Q$3,('Costs Hypotheses'!$D12/12),0)</f>
        <v/>
      </c>
      <c r="R31" s="97">
        <f>if('Costs Hypotheses'!$E12&lt;=R$3,('Costs Hypotheses'!$D12/12),0)</f>
        <v/>
      </c>
      <c r="S31" s="97">
        <f>if('Costs Hypotheses'!$E12&lt;=S$3,('Costs Hypotheses'!$D12/12),0)</f>
        <v/>
      </c>
      <c r="T31" s="97">
        <f>if('Costs Hypotheses'!$E12&lt;=T$3,('Costs Hypotheses'!$D12/12),0)</f>
        <v/>
      </c>
      <c r="U31" s="97">
        <f>if('Costs Hypotheses'!$E12&lt;=U$3,('Costs Hypotheses'!$D12/12),0)</f>
        <v/>
      </c>
      <c r="V31" s="97">
        <f>if('Costs Hypotheses'!$E12&lt;=V$3,('Costs Hypotheses'!$D12/12),0)</f>
        <v/>
      </c>
      <c r="W31" s="97">
        <f>if('Costs Hypotheses'!$E12&lt;=W$3,('Costs Hypotheses'!$D12/12),0)</f>
        <v/>
      </c>
      <c r="X31" s="97">
        <f>if('Costs Hypotheses'!$E12&lt;=X$3,('Costs Hypotheses'!$D12/12),0)</f>
        <v/>
      </c>
      <c r="Y31" s="97">
        <f>if('Costs Hypotheses'!$E12&lt;=Y$3,('Costs Hypotheses'!$D12/12),0)</f>
        <v/>
      </c>
      <c r="Z31" s="98">
        <f>if('Costs Hypotheses'!$E12&lt;=Z$3,('Costs Hypotheses'!$D12/12),0)</f>
        <v/>
      </c>
    </row>
    <row r="32">
      <c r="B32" s="0">
        <f>+CONCATENATE('Costs Hypotheses'!B13," - ",'Costs Hypotheses'!C13)</f>
        <v/>
      </c>
      <c r="C32" s="60">
        <f>if('Costs Hypotheses'!$E13&lt;=C$3,('Costs Hypotheses'!$D13/12),0)</f>
        <v/>
      </c>
      <c r="D32" s="0">
        <f>if('Costs Hypotheses'!$E13&lt;=D$3,('Costs Hypotheses'!$D13/12),0)</f>
        <v/>
      </c>
      <c r="E32" s="0">
        <f>if('Costs Hypotheses'!$E13&lt;=E$3,('Costs Hypotheses'!$D13/12),0)</f>
        <v/>
      </c>
      <c r="F32" s="0">
        <f>if('Costs Hypotheses'!$E13&lt;=F$3,('Costs Hypotheses'!$D13/12),0)</f>
        <v/>
      </c>
      <c r="G32" s="0">
        <f>if('Costs Hypotheses'!$E13&lt;=G$3,('Costs Hypotheses'!$D13/12),0)</f>
        <v/>
      </c>
      <c r="H32" s="0">
        <f>if('Costs Hypotheses'!$E13&lt;=H$3,('Costs Hypotheses'!$D13/12),0)</f>
        <v/>
      </c>
      <c r="I32" s="0">
        <f>if('Costs Hypotheses'!$E13&lt;=I$3,('Costs Hypotheses'!$D13/12),0)</f>
        <v/>
      </c>
      <c r="J32" s="97">
        <f>if('Costs Hypotheses'!$E13&lt;=J$3,('Costs Hypotheses'!$D13/12),0)</f>
        <v/>
      </c>
      <c r="K32" s="97">
        <f>if('Costs Hypotheses'!$E13&lt;=K$3,('Costs Hypotheses'!$D13/12),0)</f>
        <v/>
      </c>
      <c r="L32" s="97">
        <f>if('Costs Hypotheses'!$E13&lt;=L$3,('Costs Hypotheses'!$D13/12),0)</f>
        <v/>
      </c>
      <c r="M32" s="97">
        <f>if('Costs Hypotheses'!$E13&lt;=M$3,('Costs Hypotheses'!$D13/12),0)</f>
        <v/>
      </c>
      <c r="N32" s="97">
        <f>if('Costs Hypotheses'!$E13&lt;=N$3,('Costs Hypotheses'!$D13/12),0)</f>
        <v/>
      </c>
      <c r="O32" s="96">
        <f>if('Costs Hypotheses'!$E13&lt;=O$3,('Costs Hypotheses'!$D13/12),0)</f>
        <v/>
      </c>
      <c r="P32" s="97">
        <f>if('Costs Hypotheses'!$E13&lt;=P$3,('Costs Hypotheses'!$D13/12),0)</f>
        <v/>
      </c>
      <c r="Q32" s="97">
        <f>if('Costs Hypotheses'!$E13&lt;=Q$3,('Costs Hypotheses'!$D13/12),0)</f>
        <v/>
      </c>
      <c r="R32" s="97">
        <f>if('Costs Hypotheses'!$E13&lt;=R$3,('Costs Hypotheses'!$D13/12),0)</f>
        <v/>
      </c>
      <c r="S32" s="97">
        <f>if('Costs Hypotheses'!$E13&lt;=S$3,('Costs Hypotheses'!$D13/12),0)</f>
        <v/>
      </c>
      <c r="T32" s="97">
        <f>if('Costs Hypotheses'!$E13&lt;=T$3,('Costs Hypotheses'!$D13/12),0)</f>
        <v/>
      </c>
      <c r="U32" s="97">
        <f>if('Costs Hypotheses'!$E13&lt;=U$3,('Costs Hypotheses'!$D13/12),0)</f>
        <v/>
      </c>
      <c r="V32" s="97">
        <f>if('Costs Hypotheses'!$E13&lt;=V$3,('Costs Hypotheses'!$D13/12),0)</f>
        <v/>
      </c>
      <c r="W32" s="97">
        <f>if('Costs Hypotheses'!$E13&lt;=W$3,('Costs Hypotheses'!$D13/12),0)</f>
        <v/>
      </c>
      <c r="X32" s="97">
        <f>if('Costs Hypotheses'!$E13&lt;=X$3,('Costs Hypotheses'!$D13/12),0)</f>
        <v/>
      </c>
      <c r="Y32" s="97">
        <f>if('Costs Hypotheses'!$E13&lt;=Y$3,('Costs Hypotheses'!$D13/12),0)</f>
        <v/>
      </c>
      <c r="Z32" s="98">
        <f>if('Costs Hypotheses'!$E13&lt;=Z$3,('Costs Hypotheses'!$D13/12),0)</f>
        <v/>
      </c>
    </row>
    <row r="33">
      <c r="B33" s="0">
        <f>+CONCATENATE('Costs Hypotheses'!B14," - ",'Costs Hypotheses'!C14)</f>
        <v/>
      </c>
      <c r="C33" s="60">
        <f>if('Costs Hypotheses'!$E14&lt;=C$3,('Costs Hypotheses'!$D14/12),0)</f>
        <v/>
      </c>
      <c r="D33" s="0">
        <f>if('Costs Hypotheses'!$E14&lt;=D$3,('Costs Hypotheses'!$D14/12),0)</f>
        <v/>
      </c>
      <c r="E33" s="0">
        <f>if('Costs Hypotheses'!$E14&lt;=E$3,('Costs Hypotheses'!$D14/12),0)</f>
        <v/>
      </c>
      <c r="F33" s="0">
        <f>if('Costs Hypotheses'!$E14&lt;=F$3,('Costs Hypotheses'!$D14/12),0)</f>
        <v/>
      </c>
      <c r="G33" s="97">
        <f>if('Costs Hypotheses'!$E14&lt;=G$3,('Costs Hypotheses'!$D14/12),0)</f>
        <v/>
      </c>
      <c r="H33" s="97">
        <f>if('Costs Hypotheses'!$E14&lt;=H$3,('Costs Hypotheses'!$D14/12),0)</f>
        <v/>
      </c>
      <c r="I33" s="97">
        <f>if('Costs Hypotheses'!$E14&lt;=I$3,('Costs Hypotheses'!$D14/12),0)</f>
        <v/>
      </c>
      <c r="J33" s="97">
        <f>if('Costs Hypotheses'!$E14&lt;=J$3,('Costs Hypotheses'!$D14/12),0)</f>
        <v/>
      </c>
      <c r="K33" s="97">
        <f>if('Costs Hypotheses'!$E14&lt;=K$3,('Costs Hypotheses'!$D14/12),0)</f>
        <v/>
      </c>
      <c r="L33" s="97">
        <f>if('Costs Hypotheses'!$E14&lt;=L$3,('Costs Hypotheses'!$D14/12),0)</f>
        <v/>
      </c>
      <c r="M33" s="97">
        <f>if('Costs Hypotheses'!$E14&lt;=M$3,('Costs Hypotheses'!$D14/12),0)</f>
        <v/>
      </c>
      <c r="N33" s="97">
        <f>if('Costs Hypotheses'!$E14&lt;=N$3,('Costs Hypotheses'!$D14/12),0)</f>
        <v/>
      </c>
      <c r="O33" s="96">
        <f>if('Costs Hypotheses'!$E14&lt;=O$3,('Costs Hypotheses'!$D14/12),0)</f>
        <v/>
      </c>
      <c r="P33" s="97">
        <f>if('Costs Hypotheses'!$E14&lt;=P$3,('Costs Hypotheses'!$D14/12),0)</f>
        <v/>
      </c>
      <c r="Q33" s="97">
        <f>if('Costs Hypotheses'!$E14&lt;=Q$3,('Costs Hypotheses'!$D14/12),0)</f>
        <v/>
      </c>
      <c r="R33" s="97">
        <f>if('Costs Hypotheses'!$E14&lt;=R$3,('Costs Hypotheses'!$D14/12),0)</f>
        <v/>
      </c>
      <c r="S33" s="97">
        <f>if('Costs Hypotheses'!$E14&lt;=S$3,('Costs Hypotheses'!$D14/12),0)</f>
        <v/>
      </c>
      <c r="T33" s="97">
        <f>if('Costs Hypotheses'!$E14&lt;=T$3,('Costs Hypotheses'!$D14/12),0)</f>
        <v/>
      </c>
      <c r="U33" s="97">
        <f>if('Costs Hypotheses'!$E14&lt;=U$3,('Costs Hypotheses'!$D14/12),0)</f>
        <v/>
      </c>
      <c r="V33" s="97">
        <f>if('Costs Hypotheses'!$E14&lt;=V$3,('Costs Hypotheses'!$D14/12),0)</f>
        <v/>
      </c>
      <c r="W33" s="97">
        <f>if('Costs Hypotheses'!$E14&lt;=W$3,('Costs Hypotheses'!$D14/12),0)</f>
        <v/>
      </c>
      <c r="X33" s="97">
        <f>if('Costs Hypotheses'!$E14&lt;=X$3,('Costs Hypotheses'!$D14/12),0)</f>
        <v/>
      </c>
      <c r="Y33" s="97">
        <f>if('Costs Hypotheses'!$E14&lt;=Y$3,('Costs Hypotheses'!$D14/12),0)</f>
        <v/>
      </c>
      <c r="Z33" s="98">
        <f>if('Costs Hypotheses'!$E14&lt;=Z$3,('Costs Hypotheses'!$D14/12),0)</f>
        <v/>
      </c>
    </row>
    <row r="34">
      <c r="B34" s="0">
        <f>+CONCATENATE('Costs Hypotheses'!B15," - ",'Costs Hypotheses'!C15)</f>
        <v/>
      </c>
      <c r="C34" s="60">
        <f>if('Costs Hypotheses'!$E15&lt;=C$3,('Costs Hypotheses'!$D15/12),0)</f>
        <v/>
      </c>
      <c r="D34" s="0">
        <f>if('Costs Hypotheses'!$E15&lt;=D$3,('Costs Hypotheses'!$D15/12),0)</f>
        <v/>
      </c>
      <c r="E34" s="0">
        <f>if('Costs Hypotheses'!$E15&lt;=E$3,('Costs Hypotheses'!$D15/12),0)</f>
        <v/>
      </c>
      <c r="F34" s="0">
        <f>if('Costs Hypotheses'!$E15&lt;=F$3,('Costs Hypotheses'!$D15/12),0)</f>
        <v/>
      </c>
      <c r="G34" s="97">
        <f>if('Costs Hypotheses'!$E15&lt;=G$3,('Costs Hypotheses'!$D15/12),0)</f>
        <v/>
      </c>
      <c r="H34" s="97">
        <f>if('Costs Hypotheses'!$E15&lt;=H$3,('Costs Hypotheses'!$D15/12),0)</f>
        <v/>
      </c>
      <c r="I34" s="97">
        <f>if('Costs Hypotheses'!$E15&lt;=I$3,('Costs Hypotheses'!$D15/12),0)</f>
        <v/>
      </c>
      <c r="J34" s="97">
        <f>if('Costs Hypotheses'!$E15&lt;=J$3,('Costs Hypotheses'!$D15/12),0)</f>
        <v/>
      </c>
      <c r="K34" s="97">
        <f>if('Costs Hypotheses'!$E15&lt;=K$3,('Costs Hypotheses'!$D15/12),0)</f>
        <v/>
      </c>
      <c r="L34" s="97">
        <f>if('Costs Hypotheses'!$E15&lt;=L$3,('Costs Hypotheses'!$D15/12),0)</f>
        <v/>
      </c>
      <c r="M34" s="97">
        <f>if('Costs Hypotheses'!$E15&lt;=M$3,('Costs Hypotheses'!$D15/12),0)</f>
        <v/>
      </c>
      <c r="N34" s="97">
        <f>if('Costs Hypotheses'!$E15&lt;=N$3,('Costs Hypotheses'!$D15/12),0)</f>
        <v/>
      </c>
      <c r="O34" s="96">
        <f>if('Costs Hypotheses'!$E15&lt;=O$3,('Costs Hypotheses'!$D15/12),0)</f>
        <v/>
      </c>
      <c r="P34" s="97">
        <f>if('Costs Hypotheses'!$E15&lt;=P$3,('Costs Hypotheses'!$D15/12),0)</f>
        <v/>
      </c>
      <c r="Q34" s="97">
        <f>if('Costs Hypotheses'!$E15&lt;=Q$3,('Costs Hypotheses'!$D15/12),0)</f>
        <v/>
      </c>
      <c r="R34" s="97">
        <f>if('Costs Hypotheses'!$E15&lt;=R$3,('Costs Hypotheses'!$D15/12),0)</f>
        <v/>
      </c>
      <c r="S34" s="97">
        <f>if('Costs Hypotheses'!$E15&lt;=S$3,('Costs Hypotheses'!$D15/12),0)</f>
        <v/>
      </c>
      <c r="T34" s="97">
        <f>if('Costs Hypotheses'!$E15&lt;=T$3,('Costs Hypotheses'!$D15/12),0)</f>
        <v/>
      </c>
      <c r="U34" s="97">
        <f>if('Costs Hypotheses'!$E15&lt;=U$3,('Costs Hypotheses'!$D15/12),0)</f>
        <v/>
      </c>
      <c r="V34" s="97">
        <f>if('Costs Hypotheses'!$E15&lt;=V$3,('Costs Hypotheses'!$D15/12),0)</f>
        <v/>
      </c>
      <c r="W34" s="97">
        <f>if('Costs Hypotheses'!$E15&lt;=W$3,('Costs Hypotheses'!$D15/12),0)</f>
        <v/>
      </c>
      <c r="X34" s="97">
        <f>if('Costs Hypotheses'!$E15&lt;=X$3,('Costs Hypotheses'!$D15/12),0)</f>
        <v/>
      </c>
      <c r="Y34" s="97">
        <f>if('Costs Hypotheses'!$E15&lt;=Y$3,('Costs Hypotheses'!$D15/12),0)</f>
        <v/>
      </c>
      <c r="Z34" s="98">
        <f>if('Costs Hypotheses'!$E15&lt;=Z$3,('Costs Hypotheses'!$D15/12),0)</f>
        <v/>
      </c>
    </row>
    <row r="35">
      <c r="B35" s="0">
        <f>+CONCATENATE('Costs Hypotheses'!B16," - ",'Costs Hypotheses'!C16)</f>
        <v/>
      </c>
      <c r="C35" s="60">
        <f>if('Costs Hypotheses'!$E16&lt;=C$3,('Costs Hypotheses'!$D16/12),0)</f>
        <v/>
      </c>
      <c r="D35" s="0">
        <f>if('Costs Hypotheses'!$E16&lt;=D$3,('Costs Hypotheses'!$D16/12),0)</f>
        <v/>
      </c>
      <c r="E35" s="0">
        <f>if('Costs Hypotheses'!$E16&lt;=E$3,('Costs Hypotheses'!$D16/12),0)</f>
        <v/>
      </c>
      <c r="F35" s="0">
        <f>if('Costs Hypotheses'!$E16&lt;=F$3,('Costs Hypotheses'!$D16/12),0)</f>
        <v/>
      </c>
      <c r="G35" s="0">
        <f>if('Costs Hypotheses'!$E16&lt;=G$3,('Costs Hypotheses'!$D16/12),0)</f>
        <v/>
      </c>
      <c r="H35" s="0">
        <f>if('Costs Hypotheses'!$E16&lt;=H$3,('Costs Hypotheses'!$D16/12),0)</f>
        <v/>
      </c>
      <c r="I35" s="0">
        <f>if('Costs Hypotheses'!$E16&lt;=I$3,('Costs Hypotheses'!$D16/12),0)</f>
        <v/>
      </c>
      <c r="J35" s="0">
        <f>if('Costs Hypotheses'!$E16&lt;=J$3,('Costs Hypotheses'!$D16/12),0)</f>
        <v/>
      </c>
      <c r="K35" s="0">
        <f>if('Costs Hypotheses'!$E16&lt;=K$3,('Costs Hypotheses'!$D16/12),0)</f>
        <v/>
      </c>
      <c r="L35" s="97">
        <f>if('Costs Hypotheses'!$E16&lt;=L$3,('Costs Hypotheses'!$D16/12),0)</f>
        <v/>
      </c>
      <c r="M35" s="97">
        <f>if('Costs Hypotheses'!$E16&lt;=M$3,('Costs Hypotheses'!$D16/12),0)</f>
        <v/>
      </c>
      <c r="N35" s="97">
        <f>if('Costs Hypotheses'!$E16&lt;=N$3,('Costs Hypotheses'!$D16/12),0)</f>
        <v/>
      </c>
      <c r="O35" s="96">
        <f>if('Costs Hypotheses'!$E16&lt;=O$3,('Costs Hypotheses'!$D16/12),0)</f>
        <v/>
      </c>
      <c r="P35" s="97">
        <f>if('Costs Hypotheses'!$E16&lt;=P$3,('Costs Hypotheses'!$D16/12),0)</f>
        <v/>
      </c>
      <c r="Q35" s="97">
        <f>if('Costs Hypotheses'!$E16&lt;=Q$3,('Costs Hypotheses'!$D16/12),0)</f>
        <v/>
      </c>
      <c r="R35" s="97">
        <f>if('Costs Hypotheses'!$E16&lt;=R$3,('Costs Hypotheses'!$D16/12),0)</f>
        <v/>
      </c>
      <c r="S35" s="97">
        <f>if('Costs Hypotheses'!$E16&lt;=S$3,('Costs Hypotheses'!$D16/12),0)</f>
        <v/>
      </c>
      <c r="T35" s="97">
        <f>if('Costs Hypotheses'!$E16&lt;=T$3,('Costs Hypotheses'!$D16/12),0)</f>
        <v/>
      </c>
      <c r="U35" s="97">
        <f>if('Costs Hypotheses'!$E16&lt;=U$3,('Costs Hypotheses'!$D16/12),0)</f>
        <v/>
      </c>
      <c r="V35" s="97">
        <f>if('Costs Hypotheses'!$E16&lt;=V$3,('Costs Hypotheses'!$D16/12),0)</f>
        <v/>
      </c>
      <c r="W35" s="97">
        <f>if('Costs Hypotheses'!$E16&lt;=W$3,('Costs Hypotheses'!$D16/12),0)</f>
        <v/>
      </c>
      <c r="X35" s="97">
        <f>if('Costs Hypotheses'!$E16&lt;=X$3,('Costs Hypotheses'!$D16/12),0)</f>
        <v/>
      </c>
      <c r="Y35" s="97">
        <f>if('Costs Hypotheses'!$E16&lt;=Y$3,('Costs Hypotheses'!$D16/12),0)</f>
        <v/>
      </c>
      <c r="Z35" s="98">
        <f>if('Costs Hypotheses'!$E16&lt;=Z$3,('Costs Hypotheses'!$D16/12),0)</f>
        <v/>
      </c>
    </row>
    <row r="36">
      <c r="B36" s="0">
        <f>+CONCATENATE('Costs Hypotheses'!B17," - ",'Costs Hypotheses'!C17)</f>
        <v/>
      </c>
      <c r="C36" s="60">
        <f>if('Costs Hypotheses'!$E17&lt;=C$3,('Costs Hypotheses'!$D17/12),0)</f>
        <v/>
      </c>
      <c r="D36" s="0">
        <f>if('Costs Hypotheses'!$E17&lt;=D$3,('Costs Hypotheses'!$D17/12),0)</f>
        <v/>
      </c>
      <c r="E36" s="0">
        <f>if('Costs Hypotheses'!$E17&lt;=E$3,('Costs Hypotheses'!$D17/12),0)</f>
        <v/>
      </c>
      <c r="F36" s="0">
        <f>if('Costs Hypotheses'!$E17&lt;=F$3,('Costs Hypotheses'!$D17/12),0)</f>
        <v/>
      </c>
      <c r="G36" s="0">
        <f>if('Costs Hypotheses'!$E17&lt;=G$3,('Costs Hypotheses'!$D17/12),0)</f>
        <v/>
      </c>
      <c r="H36" s="0">
        <f>if('Costs Hypotheses'!$E17&lt;=H$3,('Costs Hypotheses'!$D17/12),0)</f>
        <v/>
      </c>
      <c r="I36" s="0">
        <f>if('Costs Hypotheses'!$E17&lt;=I$3,('Costs Hypotheses'!$D17/12),0)</f>
        <v/>
      </c>
      <c r="J36" s="0">
        <f>if('Costs Hypotheses'!$E17&lt;=J$3,('Costs Hypotheses'!$D17/12),0)</f>
        <v/>
      </c>
      <c r="K36" s="0">
        <f>if('Costs Hypotheses'!$E17&lt;=K$3,('Costs Hypotheses'!$D17/12),0)</f>
        <v/>
      </c>
      <c r="L36" s="0">
        <f>if('Costs Hypotheses'!$E17&lt;=L$3,('Costs Hypotheses'!$D17/12),0)</f>
        <v/>
      </c>
      <c r="M36" s="0">
        <f>if('Costs Hypotheses'!$E17&lt;=M$3,('Costs Hypotheses'!$D17/12),0)</f>
        <v/>
      </c>
      <c r="N36" s="0">
        <f>if('Costs Hypotheses'!$E17&lt;=N$3,('Costs Hypotheses'!$D17/12),0)</f>
        <v/>
      </c>
      <c r="O36" s="60">
        <f>if('Costs Hypotheses'!$E17&lt;=O$3,('Costs Hypotheses'!$D17/12),0)</f>
        <v/>
      </c>
      <c r="P36" s="0">
        <f>if('Costs Hypotheses'!$E17&lt;=P$3,('Costs Hypotheses'!$D17/12),0)</f>
        <v/>
      </c>
      <c r="Q36" s="97">
        <f>if('Costs Hypotheses'!$E17&lt;=Q$3,('Costs Hypotheses'!$D17/12),0)</f>
        <v/>
      </c>
      <c r="R36" s="97">
        <f>if('Costs Hypotheses'!$E17&lt;=R$3,('Costs Hypotheses'!$D17/12),0)</f>
        <v/>
      </c>
      <c r="S36" s="97">
        <f>if('Costs Hypotheses'!$E17&lt;=S$3,('Costs Hypotheses'!$D17/12),0)</f>
        <v/>
      </c>
      <c r="T36" s="97">
        <f>if('Costs Hypotheses'!$E17&lt;=T$3,('Costs Hypotheses'!$D17/12),0)</f>
        <v/>
      </c>
      <c r="U36" s="97">
        <f>if('Costs Hypotheses'!$E17&lt;=U$3,('Costs Hypotheses'!$D17/12),0)</f>
        <v/>
      </c>
      <c r="V36" s="97">
        <f>if('Costs Hypotheses'!$E17&lt;=V$3,('Costs Hypotheses'!$D17/12),0)</f>
        <v/>
      </c>
      <c r="W36" s="97">
        <f>if('Costs Hypotheses'!$E17&lt;=W$3,('Costs Hypotheses'!$D17/12),0)</f>
        <v/>
      </c>
      <c r="X36" s="97">
        <f>if('Costs Hypotheses'!$E17&lt;=X$3,('Costs Hypotheses'!$D17/12),0)</f>
        <v/>
      </c>
      <c r="Y36" s="97">
        <f>if('Costs Hypotheses'!$E17&lt;=Y$3,('Costs Hypotheses'!$D17/12),0)</f>
        <v/>
      </c>
      <c r="Z36" s="98">
        <f>if('Costs Hypotheses'!$E17&lt;=Z$3,('Costs Hypotheses'!$D17/12),0)</f>
        <v/>
      </c>
    </row>
    <row r="37">
      <c r="B37" s="0">
        <f>+CONCATENATE('Costs Hypotheses'!B18," - ",'Costs Hypotheses'!C18)</f>
        <v/>
      </c>
      <c r="C37" s="60">
        <f>if('Costs Hypotheses'!$E18&lt;=C$3,('Costs Hypotheses'!$D18/12),0)</f>
        <v/>
      </c>
      <c r="D37" s="0">
        <f>if('Costs Hypotheses'!$E18&lt;=D$3,('Costs Hypotheses'!$D18/12),0)</f>
        <v/>
      </c>
      <c r="E37" s="97">
        <f>if('Costs Hypotheses'!$E18&lt;=E$3,('Costs Hypotheses'!$D18/12),0)</f>
        <v/>
      </c>
      <c r="F37" s="97">
        <f>if('Costs Hypotheses'!$E18&lt;=F$3,('Costs Hypotheses'!$D18/12),0)</f>
        <v/>
      </c>
      <c r="G37" s="97">
        <f>if('Costs Hypotheses'!$E18&lt;=G$3,('Costs Hypotheses'!$D18/12),0)</f>
        <v/>
      </c>
      <c r="H37" s="97">
        <f>if('Costs Hypotheses'!$E18&lt;=H$3,('Costs Hypotheses'!$D18/12),0)</f>
        <v/>
      </c>
      <c r="I37" s="97">
        <f>if('Costs Hypotheses'!$E18&lt;=I$3,('Costs Hypotheses'!$D18/12),0)</f>
        <v/>
      </c>
      <c r="J37" s="97">
        <f>if('Costs Hypotheses'!$E18&lt;=J$3,('Costs Hypotheses'!$D18/12),0)</f>
        <v/>
      </c>
      <c r="K37" s="97">
        <f>if('Costs Hypotheses'!$E18&lt;=K$3,('Costs Hypotheses'!$D18/12),0)</f>
        <v/>
      </c>
      <c r="L37" s="97">
        <f>if('Costs Hypotheses'!$E18&lt;=L$3,('Costs Hypotheses'!$D18/12),0)</f>
        <v/>
      </c>
      <c r="M37" s="97">
        <f>if('Costs Hypotheses'!$E18&lt;=M$3,('Costs Hypotheses'!$D18/12),0)</f>
        <v/>
      </c>
      <c r="N37" s="97">
        <f>if('Costs Hypotheses'!$E18&lt;=N$3,('Costs Hypotheses'!$D18/12),0)</f>
        <v/>
      </c>
      <c r="O37" s="96">
        <f>if('Costs Hypotheses'!$E18&lt;=O$3,('Costs Hypotheses'!$D18/12),0)</f>
        <v/>
      </c>
      <c r="P37" s="97">
        <f>if('Costs Hypotheses'!$E18&lt;=P$3,('Costs Hypotheses'!$D18/12),0)</f>
        <v/>
      </c>
      <c r="Q37" s="97">
        <f>if('Costs Hypotheses'!$E18&lt;=Q$3,('Costs Hypotheses'!$D18/12),0)</f>
        <v/>
      </c>
      <c r="R37" s="97">
        <f>if('Costs Hypotheses'!$E18&lt;=R$3,('Costs Hypotheses'!$D18/12),0)</f>
        <v/>
      </c>
      <c r="S37" s="97">
        <f>if('Costs Hypotheses'!$E18&lt;=S$3,('Costs Hypotheses'!$D18/12),0)</f>
        <v/>
      </c>
      <c r="T37" s="97">
        <f>if('Costs Hypotheses'!$E18&lt;=T$3,('Costs Hypotheses'!$D18/12),0)</f>
        <v/>
      </c>
      <c r="U37" s="97">
        <f>if('Costs Hypotheses'!$E18&lt;=U$3,('Costs Hypotheses'!$D18/12),0)</f>
        <v/>
      </c>
      <c r="V37" s="97">
        <f>if('Costs Hypotheses'!$E18&lt;=V$3,('Costs Hypotheses'!$D18/12),0)</f>
        <v/>
      </c>
      <c r="W37" s="97">
        <f>if('Costs Hypotheses'!$E18&lt;=W$3,('Costs Hypotheses'!$D18/12),0)</f>
        <v/>
      </c>
      <c r="X37" s="97">
        <f>if('Costs Hypotheses'!$E18&lt;=X$3,('Costs Hypotheses'!$D18/12),0)</f>
        <v/>
      </c>
      <c r="Y37" s="97">
        <f>if('Costs Hypotheses'!$E18&lt;=Y$3,('Costs Hypotheses'!$D18/12),0)</f>
        <v/>
      </c>
      <c r="Z37" s="98">
        <f>if('Costs Hypotheses'!$E18&lt;=Z$3,('Costs Hypotheses'!$D18/12),0)</f>
        <v/>
      </c>
    </row>
    <row r="38">
      <c r="B38" s="0">
        <f>+CONCATENATE('Costs Hypotheses'!B19," - ",'Costs Hypotheses'!C19)</f>
        <v/>
      </c>
      <c r="C38" s="60">
        <f>if('Costs Hypotheses'!$E19&lt;=C$3,('Costs Hypotheses'!$D19/12),0)</f>
        <v/>
      </c>
      <c r="D38" s="0">
        <f>if('Costs Hypotheses'!$E19&lt;=D$3,('Costs Hypotheses'!$D19/12),0)</f>
        <v/>
      </c>
      <c r="E38" s="0">
        <f>if('Costs Hypotheses'!$E19&lt;=E$3,('Costs Hypotheses'!$D19/12),0)</f>
        <v/>
      </c>
      <c r="F38" s="0">
        <f>if('Costs Hypotheses'!$E19&lt;=F$3,('Costs Hypotheses'!$D19/12),0)</f>
        <v/>
      </c>
      <c r="G38" s="0">
        <f>if('Costs Hypotheses'!$E19&lt;=G$3,('Costs Hypotheses'!$D19/12),0)</f>
        <v/>
      </c>
      <c r="H38" s="0">
        <f>if('Costs Hypotheses'!$E19&lt;=H$3,('Costs Hypotheses'!$D19/12),0)</f>
        <v/>
      </c>
      <c r="I38" s="0">
        <f>if('Costs Hypotheses'!$E19&lt;=I$3,('Costs Hypotheses'!$D19/12),0)</f>
        <v/>
      </c>
      <c r="J38" s="97">
        <f>if('Costs Hypotheses'!$E19&lt;=J$3,('Costs Hypotheses'!$D19/12),0)</f>
        <v/>
      </c>
      <c r="K38" s="97">
        <f>if('Costs Hypotheses'!$E19&lt;=K$3,('Costs Hypotheses'!$D19/12),0)</f>
        <v/>
      </c>
      <c r="L38" s="97">
        <f>if('Costs Hypotheses'!$E19&lt;=L$3,('Costs Hypotheses'!$D19/12),0)</f>
        <v/>
      </c>
      <c r="M38" s="97">
        <f>if('Costs Hypotheses'!$E19&lt;=M$3,('Costs Hypotheses'!$D19/12),0)</f>
        <v/>
      </c>
      <c r="N38" s="97">
        <f>if('Costs Hypotheses'!$E19&lt;=N$3,('Costs Hypotheses'!$D19/12),0)</f>
        <v/>
      </c>
      <c r="O38" s="96">
        <f>if('Costs Hypotheses'!$E19&lt;=O$3,('Costs Hypotheses'!$D19/12),0)</f>
        <v/>
      </c>
      <c r="P38" s="97">
        <f>if('Costs Hypotheses'!$E19&lt;=P$3,('Costs Hypotheses'!$D19/12),0)</f>
        <v/>
      </c>
      <c r="Q38" s="97">
        <f>if('Costs Hypotheses'!$E19&lt;=Q$3,('Costs Hypotheses'!$D19/12),0)</f>
        <v/>
      </c>
      <c r="R38" s="97">
        <f>if('Costs Hypotheses'!$E19&lt;=R$3,('Costs Hypotheses'!$D19/12),0)</f>
        <v/>
      </c>
      <c r="S38" s="97">
        <f>if('Costs Hypotheses'!$E19&lt;=S$3,('Costs Hypotheses'!$D19/12),0)</f>
        <v/>
      </c>
      <c r="T38" s="97">
        <f>if('Costs Hypotheses'!$E19&lt;=T$3,('Costs Hypotheses'!$D19/12),0)</f>
        <v/>
      </c>
      <c r="U38" s="97">
        <f>if('Costs Hypotheses'!$E19&lt;=U$3,('Costs Hypotheses'!$D19/12),0)</f>
        <v/>
      </c>
      <c r="V38" s="97">
        <f>if('Costs Hypotheses'!$E19&lt;=V$3,('Costs Hypotheses'!$D19/12),0)</f>
        <v/>
      </c>
      <c r="W38" s="97">
        <f>if('Costs Hypotheses'!$E19&lt;=W$3,('Costs Hypotheses'!$D19/12),0)</f>
        <v/>
      </c>
      <c r="X38" s="97">
        <f>if('Costs Hypotheses'!$E19&lt;=X$3,('Costs Hypotheses'!$D19/12),0)</f>
        <v/>
      </c>
      <c r="Y38" s="97">
        <f>if('Costs Hypotheses'!$E19&lt;=Y$3,('Costs Hypotheses'!$D19/12),0)</f>
        <v/>
      </c>
      <c r="Z38" s="98">
        <f>if('Costs Hypotheses'!$E19&lt;=Z$3,('Costs Hypotheses'!$D19/12),0)</f>
        <v/>
      </c>
    </row>
    <row r="39">
      <c r="B39" s="0">
        <f>+CONCATENATE('Costs Hypotheses'!B20," - ",'Costs Hypotheses'!C20)</f>
        <v/>
      </c>
      <c r="C39" s="60">
        <f>if('Costs Hypotheses'!$E20&lt;=C$3,('Costs Hypotheses'!$D20/12),0)</f>
        <v/>
      </c>
      <c r="D39" s="0">
        <f>if('Costs Hypotheses'!$E20&lt;=D$3,('Costs Hypotheses'!$D20/12),0)</f>
        <v/>
      </c>
      <c r="E39" s="0">
        <f>if('Costs Hypotheses'!$E20&lt;=E$3,('Costs Hypotheses'!$D20/12),0)</f>
        <v/>
      </c>
      <c r="F39" s="0">
        <f>if('Costs Hypotheses'!$E20&lt;=F$3,('Costs Hypotheses'!$D20/12),0)</f>
        <v/>
      </c>
      <c r="G39" s="0">
        <f>if('Costs Hypotheses'!$E20&lt;=G$3,('Costs Hypotheses'!$D20/12),0)</f>
        <v/>
      </c>
      <c r="H39" s="0">
        <f>if('Costs Hypotheses'!$E20&lt;=H$3,('Costs Hypotheses'!$D20/12),0)</f>
        <v/>
      </c>
      <c r="I39" s="0">
        <f>if('Costs Hypotheses'!$E20&lt;=I$3,('Costs Hypotheses'!$D20/12),0)</f>
        <v/>
      </c>
      <c r="J39" s="0">
        <f>if('Costs Hypotheses'!$E20&lt;=J$3,('Costs Hypotheses'!$D20/12),0)</f>
        <v/>
      </c>
      <c r="K39" s="0">
        <f>if('Costs Hypotheses'!$E20&lt;=K$3,('Costs Hypotheses'!$D20/12),0)</f>
        <v/>
      </c>
      <c r="L39" s="0">
        <f>if('Costs Hypotheses'!$E20&lt;=L$3,('Costs Hypotheses'!$D20/12),0)</f>
        <v/>
      </c>
      <c r="M39" s="0">
        <f>if('Costs Hypotheses'!$E20&lt;=M$3,('Costs Hypotheses'!$D20/12),0)</f>
        <v/>
      </c>
      <c r="N39" s="97">
        <f>if('Costs Hypotheses'!$E20&lt;=N$3,('Costs Hypotheses'!$D20/12),0)</f>
        <v/>
      </c>
      <c r="O39" s="96">
        <f>if('Costs Hypotheses'!$E20&lt;=O$3,('Costs Hypotheses'!$D20/12),0)</f>
        <v/>
      </c>
      <c r="P39" s="97">
        <f>if('Costs Hypotheses'!$E20&lt;=P$3,('Costs Hypotheses'!$D20/12),0)</f>
        <v/>
      </c>
      <c r="Q39" s="97">
        <f>if('Costs Hypotheses'!$E20&lt;=Q$3,('Costs Hypotheses'!$D20/12),0)</f>
        <v/>
      </c>
      <c r="R39" s="97">
        <f>if('Costs Hypotheses'!$E20&lt;=R$3,('Costs Hypotheses'!$D20/12),0)</f>
        <v/>
      </c>
      <c r="S39" s="97">
        <f>if('Costs Hypotheses'!$E20&lt;=S$3,('Costs Hypotheses'!$D20/12),0)</f>
        <v/>
      </c>
      <c r="T39" s="97">
        <f>if('Costs Hypotheses'!$E20&lt;=T$3,('Costs Hypotheses'!$D20/12),0)</f>
        <v/>
      </c>
      <c r="U39" s="97">
        <f>if('Costs Hypotheses'!$E20&lt;=U$3,('Costs Hypotheses'!$D20/12),0)</f>
        <v/>
      </c>
      <c r="V39" s="97">
        <f>if('Costs Hypotheses'!$E20&lt;=V$3,('Costs Hypotheses'!$D20/12),0)</f>
        <v/>
      </c>
      <c r="W39" s="97">
        <f>if('Costs Hypotheses'!$E20&lt;=W$3,('Costs Hypotheses'!$D20/12),0)</f>
        <v/>
      </c>
      <c r="X39" s="97">
        <f>if('Costs Hypotheses'!$E20&lt;=X$3,('Costs Hypotheses'!$D20/12),0)</f>
        <v/>
      </c>
      <c r="Y39" s="97">
        <f>if('Costs Hypotheses'!$E20&lt;=Y$3,('Costs Hypotheses'!$D20/12),0)</f>
        <v/>
      </c>
      <c r="Z39" s="98">
        <f>if('Costs Hypotheses'!$E20&lt;=Z$3,('Costs Hypotheses'!$D20/12),0)</f>
        <v/>
      </c>
    </row>
    <row r="40">
      <c r="B40" s="0">
        <f>+CONCATENATE('Costs Hypotheses'!B21," - ",'Costs Hypotheses'!C21)</f>
        <v/>
      </c>
      <c r="C40" s="60">
        <f>if('Costs Hypotheses'!$E21&lt;=C$3,('Costs Hypotheses'!$D21/12),0)</f>
        <v/>
      </c>
      <c r="D40" s="0">
        <f>if('Costs Hypotheses'!$E21&lt;=D$3,('Costs Hypotheses'!$D21/12),0)</f>
        <v/>
      </c>
      <c r="E40" s="0">
        <f>if('Costs Hypotheses'!$E21&lt;=E$3,('Costs Hypotheses'!$D21/12),0)</f>
        <v/>
      </c>
      <c r="F40" s="0">
        <f>if('Costs Hypotheses'!$E21&lt;=F$3,('Costs Hypotheses'!$D21/12),0)</f>
        <v/>
      </c>
      <c r="G40" s="0">
        <f>if('Costs Hypotheses'!$E21&lt;=G$3,('Costs Hypotheses'!$D21/12),0)</f>
        <v/>
      </c>
      <c r="H40" s="0">
        <f>if('Costs Hypotheses'!$E21&lt;=H$3,('Costs Hypotheses'!$D21/12),0)</f>
        <v/>
      </c>
      <c r="I40" s="0">
        <f>if('Costs Hypotheses'!$E21&lt;=I$3,('Costs Hypotheses'!$D21/12),0)</f>
        <v/>
      </c>
      <c r="J40" s="0">
        <f>if('Costs Hypotheses'!$E21&lt;=J$3,('Costs Hypotheses'!$D21/12),0)</f>
        <v/>
      </c>
      <c r="K40" s="0">
        <f>if('Costs Hypotheses'!$E21&lt;=K$3,('Costs Hypotheses'!$D21/12),0)</f>
        <v/>
      </c>
      <c r="L40" s="0">
        <f>if('Costs Hypotheses'!$E21&lt;=L$3,('Costs Hypotheses'!$D21/12),0)</f>
        <v/>
      </c>
      <c r="M40" s="0">
        <f>if('Costs Hypotheses'!$E21&lt;=M$3,('Costs Hypotheses'!$D21/12),0)</f>
        <v/>
      </c>
      <c r="N40" s="0">
        <f>if('Costs Hypotheses'!$E21&lt;=N$3,('Costs Hypotheses'!$D21/12),0)</f>
        <v/>
      </c>
      <c r="O40" s="60">
        <f>if('Costs Hypotheses'!$E21&lt;=O$3,('Costs Hypotheses'!$D21/12),0)</f>
        <v/>
      </c>
      <c r="P40" s="0">
        <f>if('Costs Hypotheses'!$E21&lt;=P$3,('Costs Hypotheses'!$D21/12),0)</f>
        <v/>
      </c>
      <c r="Q40" s="97">
        <f>if('Costs Hypotheses'!$E21&lt;=Q$3,('Costs Hypotheses'!$D21/12),0)</f>
        <v/>
      </c>
      <c r="R40" s="97">
        <f>if('Costs Hypotheses'!$E21&lt;=R$3,('Costs Hypotheses'!$D21/12),0)</f>
        <v/>
      </c>
      <c r="S40" s="97">
        <f>if('Costs Hypotheses'!$E21&lt;=S$3,('Costs Hypotheses'!$D21/12),0)</f>
        <v/>
      </c>
      <c r="T40" s="97">
        <f>if('Costs Hypotheses'!$E21&lt;=T$3,('Costs Hypotheses'!$D21/12),0)</f>
        <v/>
      </c>
      <c r="U40" s="97">
        <f>if('Costs Hypotheses'!$E21&lt;=U$3,('Costs Hypotheses'!$D21/12),0)</f>
        <v/>
      </c>
      <c r="V40" s="97">
        <f>if('Costs Hypotheses'!$E21&lt;=V$3,('Costs Hypotheses'!$D21/12),0)</f>
        <v/>
      </c>
      <c r="W40" s="97">
        <f>if('Costs Hypotheses'!$E21&lt;=W$3,('Costs Hypotheses'!$D21/12),0)</f>
        <v/>
      </c>
      <c r="X40" s="97">
        <f>if('Costs Hypotheses'!$E21&lt;=X$3,('Costs Hypotheses'!$D21/12),0)</f>
        <v/>
      </c>
      <c r="Y40" s="97">
        <f>if('Costs Hypotheses'!$E21&lt;=Y$3,('Costs Hypotheses'!$D21/12),0)</f>
        <v/>
      </c>
      <c r="Z40" s="98">
        <f>if('Costs Hypotheses'!$E21&lt;=Z$3,('Costs Hypotheses'!$D21/12),0)</f>
        <v/>
      </c>
    </row>
    <row r="41">
      <c r="B41" s="0">
        <f>+CONCATENATE('Costs Hypotheses'!B22," - ",'Costs Hypotheses'!C22)</f>
        <v/>
      </c>
      <c r="C41" s="60">
        <f>if('Costs Hypotheses'!$E22&lt;=C$3,('Costs Hypotheses'!$D22/12),0)</f>
        <v/>
      </c>
      <c r="D41" s="0">
        <f>if('Costs Hypotheses'!$E22&lt;=D$3,('Costs Hypotheses'!$D22/12),0)</f>
        <v/>
      </c>
      <c r="E41" s="0">
        <f>if('Costs Hypotheses'!$E22&lt;=E$3,('Costs Hypotheses'!$D22/12),0)</f>
        <v/>
      </c>
      <c r="F41" s="0">
        <f>if('Costs Hypotheses'!$E22&lt;=F$3,('Costs Hypotheses'!$D22/12),0)</f>
        <v/>
      </c>
      <c r="G41" s="0">
        <f>if('Costs Hypotheses'!$E22&lt;=G$3,('Costs Hypotheses'!$D22/12),0)</f>
        <v/>
      </c>
      <c r="H41" s="0">
        <f>if('Costs Hypotheses'!$E22&lt;=H$3,('Costs Hypotheses'!$D22/12),0)</f>
        <v/>
      </c>
      <c r="I41" s="0">
        <f>if('Costs Hypotheses'!$E22&lt;=I$3,('Costs Hypotheses'!$D22/12),0)</f>
        <v/>
      </c>
      <c r="J41" s="0">
        <f>if('Costs Hypotheses'!$E22&lt;=J$3,('Costs Hypotheses'!$D22/12),0)</f>
        <v/>
      </c>
      <c r="K41" s="0">
        <f>if('Costs Hypotheses'!$E22&lt;=K$3,('Costs Hypotheses'!$D22/12),0)</f>
        <v/>
      </c>
      <c r="L41" s="0">
        <f>if('Costs Hypotheses'!$E22&lt;=L$3,('Costs Hypotheses'!$D22/12),0)</f>
        <v/>
      </c>
      <c r="M41" s="0">
        <f>if('Costs Hypotheses'!$E22&lt;=M$3,('Costs Hypotheses'!$D22/12),0)</f>
        <v/>
      </c>
      <c r="N41" s="0">
        <f>if('Costs Hypotheses'!$E22&lt;=N$3,('Costs Hypotheses'!$D22/12),0)</f>
        <v/>
      </c>
      <c r="O41" s="60">
        <f>if('Costs Hypotheses'!$E22&lt;=O$3,('Costs Hypotheses'!$D22/12),0)</f>
        <v/>
      </c>
      <c r="P41" s="0">
        <f>if('Costs Hypotheses'!$E22&lt;=P$3,('Costs Hypotheses'!$D22/12),0)</f>
        <v/>
      </c>
      <c r="Q41" s="0">
        <f>if('Costs Hypotheses'!$E22&lt;=Q$3,('Costs Hypotheses'!$D22/12),0)</f>
        <v/>
      </c>
      <c r="R41" s="0">
        <f>if('Costs Hypotheses'!$E22&lt;=R$3,('Costs Hypotheses'!$D22/12),0)</f>
        <v/>
      </c>
      <c r="S41" s="0">
        <f>if('Costs Hypotheses'!$E22&lt;=S$3,('Costs Hypotheses'!$D22/12),0)</f>
        <v/>
      </c>
      <c r="T41" s="97">
        <f>if('Costs Hypotheses'!$E22&lt;=T$3,('Costs Hypotheses'!$D22/12),0)</f>
        <v/>
      </c>
      <c r="U41" s="97">
        <f>if('Costs Hypotheses'!$E22&lt;=U$3,('Costs Hypotheses'!$D22/12),0)</f>
        <v/>
      </c>
      <c r="V41" s="97">
        <f>if('Costs Hypotheses'!$E22&lt;=V$3,('Costs Hypotheses'!$D22/12),0)</f>
        <v/>
      </c>
      <c r="W41" s="97">
        <f>if('Costs Hypotheses'!$E22&lt;=W$3,('Costs Hypotheses'!$D22/12),0)</f>
        <v/>
      </c>
      <c r="X41" s="97">
        <f>if('Costs Hypotheses'!$E22&lt;=X$3,('Costs Hypotheses'!$D22/12),0)</f>
        <v/>
      </c>
      <c r="Y41" s="97">
        <f>if('Costs Hypotheses'!$E22&lt;=Y$3,('Costs Hypotheses'!$D22/12),0)</f>
        <v/>
      </c>
      <c r="Z41" s="98">
        <f>if('Costs Hypotheses'!$E22&lt;=Z$3,('Costs Hypotheses'!$D22/12),0)</f>
        <v/>
      </c>
    </row>
    <row r="42">
      <c r="A42" s="94" t="n"/>
      <c r="B42" s="94" t="inlineStr">
        <is>
          <t>Total Payroll</t>
        </is>
      </c>
      <c r="C42" s="93">
        <f>sum(C22:C41)</f>
        <v/>
      </c>
      <c r="D42" s="94">
        <f>sum(D22:D41)</f>
        <v/>
      </c>
      <c r="E42" s="94">
        <f>sum(E22:E41)</f>
        <v/>
      </c>
      <c r="F42" s="94">
        <f>sum(F22:F41)</f>
        <v/>
      </c>
      <c r="G42" s="94">
        <f>sum(G22:G41)</f>
        <v/>
      </c>
      <c r="H42" s="94">
        <f>sum(H22:H41)</f>
        <v/>
      </c>
      <c r="I42" s="94">
        <f>sum(I22:I41)</f>
        <v/>
      </c>
      <c r="J42" s="94">
        <f>sum(J22:J41)</f>
        <v/>
      </c>
      <c r="K42" s="94">
        <f>sum(K22:K41)</f>
        <v/>
      </c>
      <c r="L42" s="94">
        <f>sum(L22:L41)</f>
        <v/>
      </c>
      <c r="M42" s="94">
        <f>sum(M22:M41)</f>
        <v/>
      </c>
      <c r="N42" s="94">
        <f>sum(N22:N41)</f>
        <v/>
      </c>
      <c r="O42" s="93">
        <f>sum(O22:O41)</f>
        <v/>
      </c>
      <c r="P42" s="94">
        <f>sum(P22:P41)</f>
        <v/>
      </c>
      <c r="Q42" s="94">
        <f>sum(Q22:Q41)</f>
        <v/>
      </c>
      <c r="R42" s="94">
        <f>sum(R22:R41)</f>
        <v/>
      </c>
      <c r="S42" s="94">
        <f>sum(S22:S41)</f>
        <v/>
      </c>
      <c r="T42" s="94">
        <f>sum(T22:T41)</f>
        <v/>
      </c>
      <c r="U42" s="94">
        <f>sum(U22:U41)</f>
        <v/>
      </c>
      <c r="V42" s="94">
        <f>sum(V22:V41)</f>
        <v/>
      </c>
      <c r="W42" s="94">
        <f>sum(W22:W41)</f>
        <v/>
      </c>
      <c r="X42" s="94">
        <f>sum(X22:X41)</f>
        <v/>
      </c>
      <c r="Y42" s="94">
        <f>sum(Y22:Y41)</f>
        <v/>
      </c>
      <c r="Z42" s="95">
        <f>sum(Z22:Z41)</f>
        <v/>
      </c>
    </row>
    <row r="43">
      <c r="A43" s="45" t="n"/>
      <c r="C43" s="60" t="n"/>
      <c r="O43" s="60" t="n"/>
      <c r="Z43" s="61" t="n"/>
    </row>
    <row r="44">
      <c r="A44" s="102" t="inlineStr">
        <is>
          <t>Marketing Spending</t>
        </is>
      </c>
      <c r="C44" s="60" t="n"/>
      <c r="O44" s="60" t="n"/>
      <c r="Z44" s="61" t="n"/>
    </row>
    <row r="45">
      <c r="B45" s="0">
        <f>'Costs Hypotheses'!B26</f>
        <v/>
      </c>
      <c r="C45" s="62">
        <f>'Costs Hypotheses'!$D26*C14</f>
        <v/>
      </c>
      <c r="D45" s="74">
        <f>'Costs Hypotheses'!$D26*D14</f>
        <v/>
      </c>
      <c r="E45" s="74">
        <f>'Costs Hypotheses'!$D26*E14</f>
        <v/>
      </c>
      <c r="F45" s="74">
        <f>'Costs Hypotheses'!$D26*F14</f>
        <v/>
      </c>
      <c r="G45" s="74">
        <f>'Costs Hypotheses'!$D26*G14</f>
        <v/>
      </c>
      <c r="H45" s="74">
        <f>'Costs Hypotheses'!$D26*H14</f>
        <v/>
      </c>
      <c r="I45" s="74">
        <f>'Costs Hypotheses'!$D26*I14</f>
        <v/>
      </c>
      <c r="J45" s="74">
        <f>'Costs Hypotheses'!$D26*J14</f>
        <v/>
      </c>
      <c r="K45" s="74">
        <f>'Costs Hypotheses'!$D26*K14</f>
        <v/>
      </c>
      <c r="L45" s="74">
        <f>'Costs Hypotheses'!$D26*L14</f>
        <v/>
      </c>
      <c r="M45" s="74">
        <f>'Costs Hypotheses'!$D26*M14</f>
        <v/>
      </c>
      <c r="N45" s="74">
        <f>'Costs Hypotheses'!$D26*N14</f>
        <v/>
      </c>
      <c r="O45" s="62">
        <f>'Costs Hypotheses'!$D26*O14</f>
        <v/>
      </c>
      <c r="P45" s="74">
        <f>'Costs Hypotheses'!$D26*P14</f>
        <v/>
      </c>
      <c r="Q45" s="74">
        <f>'Costs Hypotheses'!$D26*Q14</f>
        <v/>
      </c>
      <c r="R45" s="74">
        <f>'Costs Hypotheses'!$D26*R14</f>
        <v/>
      </c>
      <c r="S45" s="74">
        <f>'Costs Hypotheses'!$D26*S14</f>
        <v/>
      </c>
      <c r="T45" s="74">
        <f>'Costs Hypotheses'!$D26*T14</f>
        <v/>
      </c>
      <c r="U45" s="74">
        <f>'Costs Hypotheses'!$D26*U14</f>
        <v/>
      </c>
      <c r="V45" s="74">
        <f>'Costs Hypotheses'!$D26*V14</f>
        <v/>
      </c>
      <c r="W45" s="74">
        <f>'Costs Hypotheses'!$D26*W14</f>
        <v/>
      </c>
      <c r="X45" s="74">
        <f>'Costs Hypotheses'!$D26*X14</f>
        <v/>
      </c>
      <c r="Y45" s="74">
        <f>'Costs Hypotheses'!$D26*Y14</f>
        <v/>
      </c>
      <c r="Z45" s="64">
        <f>'Costs Hypotheses'!$D26*Z14</f>
        <v/>
      </c>
    </row>
    <row r="46">
      <c r="B46" s="0">
        <f>'Costs Hypotheses'!B27</f>
        <v/>
      </c>
      <c r="C46" s="62">
        <f>'Costs Hypotheses'!$D27*C14</f>
        <v/>
      </c>
      <c r="D46" s="74">
        <f>'Costs Hypotheses'!$D27*D14</f>
        <v/>
      </c>
      <c r="E46" s="74">
        <f>'Costs Hypotheses'!$D27*E14</f>
        <v/>
      </c>
      <c r="F46" s="74">
        <f>'Costs Hypotheses'!$D27*F14</f>
        <v/>
      </c>
      <c r="G46" s="74">
        <f>'Costs Hypotheses'!$D27*G14</f>
        <v/>
      </c>
      <c r="H46" s="74">
        <f>'Costs Hypotheses'!$D27*H14</f>
        <v/>
      </c>
      <c r="I46" s="74">
        <f>'Costs Hypotheses'!$D27*I14</f>
        <v/>
      </c>
      <c r="J46" s="74">
        <f>'Costs Hypotheses'!$D27*J14</f>
        <v/>
      </c>
      <c r="K46" s="74">
        <f>'Costs Hypotheses'!$D27*K14</f>
        <v/>
      </c>
      <c r="L46" s="74">
        <f>'Costs Hypotheses'!$D27*L14</f>
        <v/>
      </c>
      <c r="M46" s="74">
        <f>'Costs Hypotheses'!$D27*M14</f>
        <v/>
      </c>
      <c r="N46" s="74">
        <f>'Costs Hypotheses'!$D27*N14</f>
        <v/>
      </c>
      <c r="O46" s="62">
        <f>'Costs Hypotheses'!$D27*O14</f>
        <v/>
      </c>
      <c r="P46" s="74">
        <f>'Costs Hypotheses'!$D27*P14</f>
        <v/>
      </c>
      <c r="Q46" s="74">
        <f>'Costs Hypotheses'!$D27*Q14</f>
        <v/>
      </c>
      <c r="R46" s="74">
        <f>'Costs Hypotheses'!$D27*R14</f>
        <v/>
      </c>
      <c r="S46" s="74">
        <f>'Costs Hypotheses'!$D27*S14</f>
        <v/>
      </c>
      <c r="T46" s="74">
        <f>'Costs Hypotheses'!$D27*T14</f>
        <v/>
      </c>
      <c r="U46" s="74">
        <f>'Costs Hypotheses'!$D27*U14</f>
        <v/>
      </c>
      <c r="V46" s="74">
        <f>'Costs Hypotheses'!$D27*V14</f>
        <v/>
      </c>
      <c r="W46" s="74">
        <f>'Costs Hypotheses'!$D27*W14</f>
        <v/>
      </c>
      <c r="X46" s="74">
        <f>'Costs Hypotheses'!$D27*X14</f>
        <v/>
      </c>
      <c r="Y46" s="74">
        <f>'Costs Hypotheses'!$D27*Y14</f>
        <v/>
      </c>
      <c r="Z46" s="64">
        <f>'Costs Hypotheses'!$D27*Z14</f>
        <v/>
      </c>
    </row>
    <row r="47">
      <c r="A47" s="94" t="n"/>
      <c r="B47" s="94" t="inlineStr">
        <is>
          <t>Total Marketing Spending</t>
        </is>
      </c>
      <c r="C47" s="93">
        <f>sum(C45:C46)</f>
        <v/>
      </c>
      <c r="D47" s="94">
        <f>sum(D45:D46)</f>
        <v/>
      </c>
      <c r="E47" s="94">
        <f>sum(E45:E46)</f>
        <v/>
      </c>
      <c r="F47" s="94">
        <f>sum(F45:F46)</f>
        <v/>
      </c>
      <c r="G47" s="94">
        <f>sum(G45:G46)</f>
        <v/>
      </c>
      <c r="H47" s="94">
        <f>sum(H45:H46)</f>
        <v/>
      </c>
      <c r="I47" s="94">
        <f>sum(I45:I46)</f>
        <v/>
      </c>
      <c r="J47" s="94">
        <f>sum(J45:J46)</f>
        <v/>
      </c>
      <c r="K47" s="94">
        <f>sum(K45:K46)</f>
        <v/>
      </c>
      <c r="L47" s="94">
        <f>sum(L45:L46)</f>
        <v/>
      </c>
      <c r="M47" s="94">
        <f>sum(M45:M46)</f>
        <v/>
      </c>
      <c r="N47" s="94">
        <f>sum(N45:N46)</f>
        <v/>
      </c>
      <c r="O47" s="94">
        <f>sum(O45:O46)</f>
        <v/>
      </c>
      <c r="P47" s="94">
        <f>sum(P45:P46)</f>
        <v/>
      </c>
      <c r="Q47" s="94">
        <f>sum(Q45:Q46)</f>
        <v/>
      </c>
      <c r="R47" s="94">
        <f>sum(R45:R46)</f>
        <v/>
      </c>
      <c r="S47" s="94">
        <f>sum(S45:S46)</f>
        <v/>
      </c>
      <c r="T47" s="94">
        <f>sum(T45:T46)</f>
        <v/>
      </c>
      <c r="U47" s="94">
        <f>sum(U45:U46)</f>
        <v/>
      </c>
      <c r="V47" s="94">
        <f>sum(V45:V46)</f>
        <v/>
      </c>
      <c r="W47" s="94">
        <f>sum(W45:W46)</f>
        <v/>
      </c>
      <c r="X47" s="94">
        <f>sum(X45:X46)</f>
        <v/>
      </c>
      <c r="Y47" s="94">
        <f>sum(Y45:Y46)</f>
        <v/>
      </c>
      <c r="Z47" s="94">
        <f>sum(Z45:Z46)</f>
        <v/>
      </c>
    </row>
    <row r="48">
      <c r="A48" s="102" t="inlineStr">
        <is>
          <t>Hosting</t>
        </is>
      </c>
      <c r="C48" s="60" t="n"/>
      <c r="O48" s="60" t="n"/>
      <c r="Z48" s="61" t="n"/>
    </row>
    <row r="49">
      <c r="B49" s="0">
        <f>'Costs Hypotheses'!B31</f>
        <v/>
      </c>
      <c r="C49" s="99">
        <f>'Costs Hypotheses'!$D31</f>
        <v/>
      </c>
      <c r="D49" s="100">
        <f>'Costs Hypotheses'!$D31</f>
        <v/>
      </c>
      <c r="E49" s="100">
        <f>'Costs Hypotheses'!$D31</f>
        <v/>
      </c>
      <c r="F49" s="100">
        <f>'Costs Hypotheses'!$D31</f>
        <v/>
      </c>
      <c r="G49" s="100">
        <f>'Costs Hypotheses'!$D31</f>
        <v/>
      </c>
      <c r="H49" s="100">
        <f>'Costs Hypotheses'!$D31</f>
        <v/>
      </c>
      <c r="I49" s="100">
        <f>'Costs Hypotheses'!$D31</f>
        <v/>
      </c>
      <c r="J49" s="100">
        <f>'Costs Hypotheses'!$D31</f>
        <v/>
      </c>
      <c r="K49" s="100">
        <f>'Costs Hypotheses'!$D31</f>
        <v/>
      </c>
      <c r="L49" s="100">
        <f>'Costs Hypotheses'!$D31</f>
        <v/>
      </c>
      <c r="M49" s="100">
        <f>'Costs Hypotheses'!$D31</f>
        <v/>
      </c>
      <c r="N49" s="100">
        <f>'Costs Hypotheses'!$D31</f>
        <v/>
      </c>
      <c r="O49" s="99">
        <f>'Costs Hypotheses'!$D31</f>
        <v/>
      </c>
      <c r="P49" s="100">
        <f>'Costs Hypotheses'!$D31</f>
        <v/>
      </c>
      <c r="Q49" s="100">
        <f>'Costs Hypotheses'!$D31</f>
        <v/>
      </c>
      <c r="R49" s="100">
        <f>'Costs Hypotheses'!$D31</f>
        <v/>
      </c>
      <c r="S49" s="100">
        <f>'Costs Hypotheses'!$D31</f>
        <v/>
      </c>
      <c r="T49" s="100">
        <f>'Costs Hypotheses'!$D31</f>
        <v/>
      </c>
      <c r="U49" s="100">
        <f>'Costs Hypotheses'!$D31</f>
        <v/>
      </c>
      <c r="V49" s="100">
        <f>'Costs Hypotheses'!$D31</f>
        <v/>
      </c>
      <c r="W49" s="100">
        <f>'Costs Hypotheses'!$D31</f>
        <v/>
      </c>
      <c r="X49" s="100">
        <f>'Costs Hypotheses'!$D31</f>
        <v/>
      </c>
      <c r="Y49" s="100">
        <f>'Costs Hypotheses'!$D31</f>
        <v/>
      </c>
      <c r="Z49" s="101">
        <f>'Costs Hypotheses'!$D31</f>
        <v/>
      </c>
    </row>
    <row r="50">
      <c r="A50" s="94" t="n"/>
      <c r="B50" s="94" t="inlineStr">
        <is>
          <t>Total Hosting</t>
        </is>
      </c>
      <c r="C50" s="93">
        <f>C49</f>
        <v/>
      </c>
      <c r="D50" s="94">
        <f>D49</f>
        <v/>
      </c>
      <c r="E50" s="94">
        <f>E49</f>
        <v/>
      </c>
      <c r="F50" s="94">
        <f>F49</f>
        <v/>
      </c>
      <c r="G50" s="94">
        <f>G49</f>
        <v/>
      </c>
      <c r="H50" s="94">
        <f>H49</f>
        <v/>
      </c>
      <c r="I50" s="94">
        <f>I49</f>
        <v/>
      </c>
      <c r="J50" s="94">
        <f>J49</f>
        <v/>
      </c>
      <c r="K50" s="94">
        <f>K49</f>
        <v/>
      </c>
      <c r="L50" s="94">
        <f>L49</f>
        <v/>
      </c>
      <c r="M50" s="94">
        <f>M49</f>
        <v/>
      </c>
      <c r="N50" s="94">
        <f>N49</f>
        <v/>
      </c>
      <c r="O50" s="94">
        <f>O49</f>
        <v/>
      </c>
      <c r="P50" s="94">
        <f>P49</f>
        <v/>
      </c>
      <c r="Q50" s="94">
        <f>Q49</f>
        <v/>
      </c>
      <c r="R50" s="94">
        <f>R49</f>
        <v/>
      </c>
      <c r="S50" s="94">
        <f>S49</f>
        <v/>
      </c>
      <c r="T50" s="94">
        <f>T49</f>
        <v/>
      </c>
      <c r="U50" s="94">
        <f>U49</f>
        <v/>
      </c>
      <c r="V50" s="94">
        <f>V49</f>
        <v/>
      </c>
      <c r="W50" s="94">
        <f>W49</f>
        <v/>
      </c>
      <c r="X50" s="94">
        <f>X49</f>
        <v/>
      </c>
      <c r="Y50" s="94">
        <f>Y49</f>
        <v/>
      </c>
      <c r="Z50" s="94">
        <f>Z49</f>
        <v/>
      </c>
    </row>
    <row r="51">
      <c r="A51" s="102">
        <f>'Costs Hypotheses'!A33</f>
        <v/>
      </c>
      <c r="C51" s="60" t="n"/>
      <c r="O51" s="60" t="n"/>
      <c r="Z51" s="61" t="n"/>
    </row>
    <row r="52">
      <c r="B52" s="0">
        <f>'Costs Hypotheses'!B34</f>
        <v/>
      </c>
      <c r="C52" s="96">
        <f>'Costs Hypotheses'!$D34</f>
        <v/>
      </c>
      <c r="D52" s="97">
        <f>'Costs Hypotheses'!$D34</f>
        <v/>
      </c>
      <c r="E52" s="97">
        <f>'Costs Hypotheses'!$D34</f>
        <v/>
      </c>
      <c r="F52" s="97">
        <f>'Costs Hypotheses'!$D34</f>
        <v/>
      </c>
      <c r="G52" s="97">
        <f>'Costs Hypotheses'!$D34</f>
        <v/>
      </c>
      <c r="H52" s="97">
        <f>'Costs Hypotheses'!$D34</f>
        <v/>
      </c>
      <c r="I52" s="97">
        <f>'Costs Hypotheses'!$D34</f>
        <v/>
      </c>
      <c r="J52" s="97">
        <f>'Costs Hypotheses'!$D34</f>
        <v/>
      </c>
      <c r="K52" s="97">
        <f>'Costs Hypotheses'!$D34</f>
        <v/>
      </c>
      <c r="L52" s="97">
        <f>'Costs Hypotheses'!$D34</f>
        <v/>
      </c>
      <c r="M52" s="97">
        <f>'Costs Hypotheses'!$D34</f>
        <v/>
      </c>
      <c r="N52" s="97">
        <f>'Costs Hypotheses'!$D34</f>
        <v/>
      </c>
      <c r="O52" s="96">
        <f>'Costs Hypotheses'!$D34</f>
        <v/>
      </c>
      <c r="P52" s="97">
        <f>'Costs Hypotheses'!$D34</f>
        <v/>
      </c>
      <c r="Q52" s="97">
        <f>'Costs Hypotheses'!$D34</f>
        <v/>
      </c>
      <c r="R52" s="97">
        <f>'Costs Hypotheses'!$D34</f>
        <v/>
      </c>
      <c r="S52" s="97">
        <f>'Costs Hypotheses'!$D34</f>
        <v/>
      </c>
      <c r="T52" s="97">
        <f>'Costs Hypotheses'!$D34</f>
        <v/>
      </c>
      <c r="U52" s="97">
        <f>'Costs Hypotheses'!$D34</f>
        <v/>
      </c>
      <c r="V52" s="97">
        <f>'Costs Hypotheses'!$D34</f>
        <v/>
      </c>
      <c r="W52" s="97">
        <f>'Costs Hypotheses'!$D34</f>
        <v/>
      </c>
      <c r="X52" s="97">
        <f>'Costs Hypotheses'!$D34</f>
        <v/>
      </c>
      <c r="Y52" s="97">
        <f>'Costs Hypotheses'!$D34</f>
        <v/>
      </c>
      <c r="Z52" s="98">
        <f>'Costs Hypotheses'!$D34</f>
        <v/>
      </c>
    </row>
    <row r="53">
      <c r="B53" s="0">
        <f>'Costs Hypotheses'!B35</f>
        <v/>
      </c>
      <c r="C53" s="96">
        <f>'Costs Hypotheses'!$D35</f>
        <v/>
      </c>
      <c r="D53" s="97">
        <f>'Costs Hypotheses'!$D35</f>
        <v/>
      </c>
      <c r="E53" s="97">
        <f>'Costs Hypotheses'!$D35</f>
        <v/>
      </c>
      <c r="F53" s="97">
        <f>'Costs Hypotheses'!$D35</f>
        <v/>
      </c>
      <c r="G53" s="97">
        <f>'Costs Hypotheses'!$D35</f>
        <v/>
      </c>
      <c r="H53" s="97">
        <f>'Costs Hypotheses'!$D35</f>
        <v/>
      </c>
      <c r="I53" s="97">
        <f>'Costs Hypotheses'!$D35</f>
        <v/>
      </c>
      <c r="J53" s="97">
        <f>'Costs Hypotheses'!$D35</f>
        <v/>
      </c>
      <c r="K53" s="97">
        <f>'Costs Hypotheses'!$D35</f>
        <v/>
      </c>
      <c r="L53" s="97">
        <f>'Costs Hypotheses'!$D35</f>
        <v/>
      </c>
      <c r="M53" s="97">
        <f>'Costs Hypotheses'!$D35</f>
        <v/>
      </c>
      <c r="N53" s="97">
        <f>'Costs Hypotheses'!$D35</f>
        <v/>
      </c>
      <c r="O53" s="96">
        <f>'Costs Hypotheses'!$D35</f>
        <v/>
      </c>
      <c r="P53" s="97">
        <f>'Costs Hypotheses'!$D35</f>
        <v/>
      </c>
      <c r="Q53" s="97">
        <f>'Costs Hypotheses'!$D35</f>
        <v/>
      </c>
      <c r="R53" s="97">
        <f>'Costs Hypotheses'!$D35</f>
        <v/>
      </c>
      <c r="S53" s="97">
        <f>'Costs Hypotheses'!$D35</f>
        <v/>
      </c>
      <c r="T53" s="97">
        <f>'Costs Hypotheses'!$D35</f>
        <v/>
      </c>
      <c r="U53" s="97">
        <f>'Costs Hypotheses'!$D35</f>
        <v/>
      </c>
      <c r="V53" s="97">
        <f>'Costs Hypotheses'!$D35</f>
        <v/>
      </c>
      <c r="W53" s="97">
        <f>'Costs Hypotheses'!$D35</f>
        <v/>
      </c>
      <c r="X53" s="97">
        <f>'Costs Hypotheses'!$D35</f>
        <v/>
      </c>
      <c r="Y53" s="97">
        <f>'Costs Hypotheses'!$D35</f>
        <v/>
      </c>
      <c r="Z53" s="98">
        <f>'Costs Hypotheses'!$D35</f>
        <v/>
      </c>
    </row>
    <row r="54">
      <c r="B54" s="0">
        <f>'Costs Hypotheses'!B36</f>
        <v/>
      </c>
      <c r="C54" s="96">
        <f>'Costs Hypotheses'!$D36</f>
        <v/>
      </c>
      <c r="D54" s="97">
        <f>'Costs Hypotheses'!$D36</f>
        <v/>
      </c>
      <c r="E54" s="97">
        <f>'Costs Hypotheses'!$D36</f>
        <v/>
      </c>
      <c r="F54" s="97">
        <f>'Costs Hypotheses'!$D36</f>
        <v/>
      </c>
      <c r="G54" s="97">
        <f>'Costs Hypotheses'!$D36</f>
        <v/>
      </c>
      <c r="H54" s="97">
        <f>'Costs Hypotheses'!$D36</f>
        <v/>
      </c>
      <c r="I54" s="97">
        <f>'Costs Hypotheses'!$D36</f>
        <v/>
      </c>
      <c r="J54" s="97">
        <f>'Costs Hypotheses'!$D36</f>
        <v/>
      </c>
      <c r="K54" s="97">
        <f>'Costs Hypotheses'!$D36</f>
        <v/>
      </c>
      <c r="L54" s="97">
        <f>'Costs Hypotheses'!$D36</f>
        <v/>
      </c>
      <c r="M54" s="97">
        <f>'Costs Hypotheses'!$D36</f>
        <v/>
      </c>
      <c r="N54" s="97">
        <f>'Costs Hypotheses'!$D36</f>
        <v/>
      </c>
      <c r="O54" s="96">
        <f>'Costs Hypotheses'!$D36</f>
        <v/>
      </c>
      <c r="P54" s="97">
        <f>'Costs Hypotheses'!$D36</f>
        <v/>
      </c>
      <c r="Q54" s="97">
        <f>'Costs Hypotheses'!$D36</f>
        <v/>
      </c>
      <c r="R54" s="97">
        <f>'Costs Hypotheses'!$D36</f>
        <v/>
      </c>
      <c r="S54" s="97">
        <f>'Costs Hypotheses'!$D36</f>
        <v/>
      </c>
      <c r="T54" s="97">
        <f>'Costs Hypotheses'!$D36</f>
        <v/>
      </c>
      <c r="U54" s="97">
        <f>'Costs Hypotheses'!$D36</f>
        <v/>
      </c>
      <c r="V54" s="97">
        <f>'Costs Hypotheses'!$D36</f>
        <v/>
      </c>
      <c r="W54" s="97">
        <f>'Costs Hypotheses'!$D36</f>
        <v/>
      </c>
      <c r="X54" s="97">
        <f>'Costs Hypotheses'!$D36</f>
        <v/>
      </c>
      <c r="Y54" s="97">
        <f>'Costs Hypotheses'!$D36</f>
        <v/>
      </c>
      <c r="Z54" s="98">
        <f>'Costs Hypotheses'!$D36</f>
        <v/>
      </c>
    </row>
    <row r="55">
      <c r="B55" s="0">
        <f>'Costs Hypotheses'!B37</f>
        <v/>
      </c>
      <c r="C55" s="96">
        <f>'Costs Hypotheses'!$D37</f>
        <v/>
      </c>
      <c r="D55" s="97">
        <f>'Costs Hypotheses'!$D37</f>
        <v/>
      </c>
      <c r="E55" s="97">
        <f>'Costs Hypotheses'!$D37</f>
        <v/>
      </c>
      <c r="F55" s="97">
        <f>'Costs Hypotheses'!$D37</f>
        <v/>
      </c>
      <c r="G55" s="97">
        <f>'Costs Hypotheses'!$D37</f>
        <v/>
      </c>
      <c r="H55" s="97">
        <f>'Costs Hypotheses'!$D37</f>
        <v/>
      </c>
      <c r="I55" s="97">
        <f>'Costs Hypotheses'!$D37</f>
        <v/>
      </c>
      <c r="J55" s="97">
        <f>'Costs Hypotheses'!$D37</f>
        <v/>
      </c>
      <c r="K55" s="97">
        <f>'Costs Hypotheses'!$D37</f>
        <v/>
      </c>
      <c r="L55" s="97">
        <f>'Costs Hypotheses'!$D37</f>
        <v/>
      </c>
      <c r="M55" s="97">
        <f>'Costs Hypotheses'!$D37</f>
        <v/>
      </c>
      <c r="N55" s="97">
        <f>'Costs Hypotheses'!$D37</f>
        <v/>
      </c>
      <c r="O55" s="96">
        <f>'Costs Hypotheses'!$D37</f>
        <v/>
      </c>
      <c r="P55" s="97">
        <f>'Costs Hypotheses'!$D37</f>
        <v/>
      </c>
      <c r="Q55" s="97">
        <f>'Costs Hypotheses'!$D37</f>
        <v/>
      </c>
      <c r="R55" s="97">
        <f>'Costs Hypotheses'!$D37</f>
        <v/>
      </c>
      <c r="S55" s="97">
        <f>'Costs Hypotheses'!$D37</f>
        <v/>
      </c>
      <c r="T55" s="97">
        <f>'Costs Hypotheses'!$D37</f>
        <v/>
      </c>
      <c r="U55" s="97">
        <f>'Costs Hypotheses'!$D37</f>
        <v/>
      </c>
      <c r="V55" s="97">
        <f>'Costs Hypotheses'!$D37</f>
        <v/>
      </c>
      <c r="W55" s="97">
        <f>'Costs Hypotheses'!$D37</f>
        <v/>
      </c>
      <c r="X55" s="97">
        <f>'Costs Hypotheses'!$D37</f>
        <v/>
      </c>
      <c r="Y55" s="97">
        <f>'Costs Hypotheses'!$D37</f>
        <v/>
      </c>
      <c r="Z55" s="98">
        <f>'Costs Hypotheses'!$D37</f>
        <v/>
      </c>
    </row>
    <row r="56">
      <c r="B56" s="0">
        <f>'Costs Hypotheses'!B38</f>
        <v/>
      </c>
      <c r="C56" s="96">
        <f>'Costs Hypotheses'!$D38</f>
        <v/>
      </c>
      <c r="D56" s="97">
        <f>'Costs Hypotheses'!$D38</f>
        <v/>
      </c>
      <c r="E56" s="97">
        <f>'Costs Hypotheses'!$D38</f>
        <v/>
      </c>
      <c r="F56" s="97">
        <f>'Costs Hypotheses'!$D38</f>
        <v/>
      </c>
      <c r="G56" s="97">
        <f>'Costs Hypotheses'!$D38</f>
        <v/>
      </c>
      <c r="H56" s="97">
        <f>'Costs Hypotheses'!$D38</f>
        <v/>
      </c>
      <c r="I56" s="97">
        <f>'Costs Hypotheses'!$D38</f>
        <v/>
      </c>
      <c r="J56" s="97">
        <f>'Costs Hypotheses'!$D38</f>
        <v/>
      </c>
      <c r="K56" s="97">
        <f>'Costs Hypotheses'!$D38</f>
        <v/>
      </c>
      <c r="L56" s="97">
        <f>'Costs Hypotheses'!$D38</f>
        <v/>
      </c>
      <c r="M56" s="97">
        <f>'Costs Hypotheses'!$D38</f>
        <v/>
      </c>
      <c r="N56" s="97">
        <f>'Costs Hypotheses'!$D38</f>
        <v/>
      </c>
      <c r="O56" s="96">
        <f>'Costs Hypotheses'!$D38</f>
        <v/>
      </c>
      <c r="P56" s="97">
        <f>'Costs Hypotheses'!$D38</f>
        <v/>
      </c>
      <c r="Q56" s="97">
        <f>'Costs Hypotheses'!$D38</f>
        <v/>
      </c>
      <c r="R56" s="97">
        <f>'Costs Hypotheses'!$D38</f>
        <v/>
      </c>
      <c r="S56" s="97">
        <f>'Costs Hypotheses'!$D38</f>
        <v/>
      </c>
      <c r="T56" s="97">
        <f>'Costs Hypotheses'!$D38</f>
        <v/>
      </c>
      <c r="U56" s="97">
        <f>'Costs Hypotheses'!$D38</f>
        <v/>
      </c>
      <c r="V56" s="97">
        <f>'Costs Hypotheses'!$D38</f>
        <v/>
      </c>
      <c r="W56" s="97">
        <f>'Costs Hypotheses'!$D38</f>
        <v/>
      </c>
      <c r="X56" s="97">
        <f>'Costs Hypotheses'!$D38</f>
        <v/>
      </c>
      <c r="Y56" s="97">
        <f>'Costs Hypotheses'!$D38</f>
        <v/>
      </c>
      <c r="Z56" s="98">
        <f>'Costs Hypotheses'!$D38</f>
        <v/>
      </c>
    </row>
    <row r="57">
      <c r="B57" s="0">
        <f>'Costs Hypotheses'!B39</f>
        <v/>
      </c>
      <c r="C57" s="96">
        <f>'Costs Hypotheses'!$D39</f>
        <v/>
      </c>
      <c r="D57" s="97">
        <f>'Costs Hypotheses'!$D39</f>
        <v/>
      </c>
      <c r="E57" s="97">
        <f>'Costs Hypotheses'!$D39</f>
        <v/>
      </c>
      <c r="F57" s="97">
        <f>'Costs Hypotheses'!$D39</f>
        <v/>
      </c>
      <c r="G57" s="97">
        <f>'Costs Hypotheses'!$D39</f>
        <v/>
      </c>
      <c r="H57" s="97">
        <f>'Costs Hypotheses'!$D39</f>
        <v/>
      </c>
      <c r="I57" s="97">
        <f>'Costs Hypotheses'!$D39</f>
        <v/>
      </c>
      <c r="J57" s="97">
        <f>'Costs Hypotheses'!$D39</f>
        <v/>
      </c>
      <c r="K57" s="97">
        <f>'Costs Hypotheses'!$D39</f>
        <v/>
      </c>
      <c r="L57" s="97">
        <f>'Costs Hypotheses'!$D39</f>
        <v/>
      </c>
      <c r="M57" s="97">
        <f>'Costs Hypotheses'!$D39</f>
        <v/>
      </c>
      <c r="N57" s="97">
        <f>'Costs Hypotheses'!$D39</f>
        <v/>
      </c>
      <c r="O57" s="96">
        <f>'Costs Hypotheses'!$D39</f>
        <v/>
      </c>
      <c r="P57" s="97">
        <f>'Costs Hypotheses'!$D39</f>
        <v/>
      </c>
      <c r="Q57" s="97">
        <f>'Costs Hypotheses'!$D39</f>
        <v/>
      </c>
      <c r="R57" s="97">
        <f>'Costs Hypotheses'!$D39</f>
        <v/>
      </c>
      <c r="S57" s="97">
        <f>'Costs Hypotheses'!$D39</f>
        <v/>
      </c>
      <c r="T57" s="97">
        <f>'Costs Hypotheses'!$D39</f>
        <v/>
      </c>
      <c r="U57" s="97">
        <f>'Costs Hypotheses'!$D39</f>
        <v/>
      </c>
      <c r="V57" s="97">
        <f>'Costs Hypotheses'!$D39</f>
        <v/>
      </c>
      <c r="W57" s="97">
        <f>'Costs Hypotheses'!$D39</f>
        <v/>
      </c>
      <c r="X57" s="97">
        <f>'Costs Hypotheses'!$D39</f>
        <v/>
      </c>
      <c r="Y57" s="97">
        <f>'Costs Hypotheses'!$D39</f>
        <v/>
      </c>
      <c r="Z57" s="98">
        <f>'Costs Hypotheses'!$D39</f>
        <v/>
      </c>
    </row>
    <row r="58">
      <c r="B58" s="0">
        <f>'Costs Hypotheses'!B40</f>
        <v/>
      </c>
      <c r="C58" s="96">
        <f>'Costs Hypotheses'!$D40</f>
        <v/>
      </c>
      <c r="D58" s="97">
        <f>'Costs Hypotheses'!$D40</f>
        <v/>
      </c>
      <c r="E58" s="97">
        <f>'Costs Hypotheses'!$D40</f>
        <v/>
      </c>
      <c r="F58" s="97">
        <f>'Costs Hypotheses'!$D40</f>
        <v/>
      </c>
      <c r="G58" s="97">
        <f>'Costs Hypotheses'!$D40</f>
        <v/>
      </c>
      <c r="H58" s="97">
        <f>'Costs Hypotheses'!$D40</f>
        <v/>
      </c>
      <c r="I58" s="97">
        <f>'Costs Hypotheses'!$D40</f>
        <v/>
      </c>
      <c r="J58" s="97">
        <f>'Costs Hypotheses'!$D40</f>
        <v/>
      </c>
      <c r="K58" s="97">
        <f>'Costs Hypotheses'!$D40</f>
        <v/>
      </c>
      <c r="L58" s="97">
        <f>'Costs Hypotheses'!$D40</f>
        <v/>
      </c>
      <c r="M58" s="97">
        <f>'Costs Hypotheses'!$D40</f>
        <v/>
      </c>
      <c r="N58" s="97">
        <f>'Costs Hypotheses'!$D40</f>
        <v/>
      </c>
      <c r="O58" s="96">
        <f>'Costs Hypotheses'!$D40</f>
        <v/>
      </c>
      <c r="P58" s="97">
        <f>'Costs Hypotheses'!$D40</f>
        <v/>
      </c>
      <c r="Q58" s="97">
        <f>'Costs Hypotheses'!$D40</f>
        <v/>
      </c>
      <c r="R58" s="97">
        <f>'Costs Hypotheses'!$D40</f>
        <v/>
      </c>
      <c r="S58" s="97">
        <f>'Costs Hypotheses'!$D40</f>
        <v/>
      </c>
      <c r="T58" s="97">
        <f>'Costs Hypotheses'!$D40</f>
        <v/>
      </c>
      <c r="U58" s="97">
        <f>'Costs Hypotheses'!$D40</f>
        <v/>
      </c>
      <c r="V58" s="97">
        <f>'Costs Hypotheses'!$D40</f>
        <v/>
      </c>
      <c r="W58" s="97">
        <f>'Costs Hypotheses'!$D40</f>
        <v/>
      </c>
      <c r="X58" s="97">
        <f>'Costs Hypotheses'!$D40</f>
        <v/>
      </c>
      <c r="Y58" s="97">
        <f>'Costs Hypotheses'!$D40</f>
        <v/>
      </c>
      <c r="Z58" s="98">
        <f>'Costs Hypotheses'!$D40</f>
        <v/>
      </c>
    </row>
    <row r="59">
      <c r="B59" s="0">
        <f>'Costs Hypotheses'!B41</f>
        <v/>
      </c>
      <c r="C59" s="96">
        <f>'Costs Hypotheses'!$D41</f>
        <v/>
      </c>
      <c r="D59" s="97">
        <f>'Costs Hypotheses'!$D41</f>
        <v/>
      </c>
      <c r="E59" s="97">
        <f>'Costs Hypotheses'!$D41</f>
        <v/>
      </c>
      <c r="F59" s="97">
        <f>'Costs Hypotheses'!$D41</f>
        <v/>
      </c>
      <c r="G59" s="97">
        <f>'Costs Hypotheses'!$D41</f>
        <v/>
      </c>
      <c r="H59" s="97">
        <f>'Costs Hypotheses'!$D41</f>
        <v/>
      </c>
      <c r="I59" s="97">
        <f>'Costs Hypotheses'!$D41</f>
        <v/>
      </c>
      <c r="J59" s="97">
        <f>'Costs Hypotheses'!$D41</f>
        <v/>
      </c>
      <c r="K59" s="97">
        <f>'Costs Hypotheses'!$D41</f>
        <v/>
      </c>
      <c r="L59" s="97">
        <f>'Costs Hypotheses'!$D41</f>
        <v/>
      </c>
      <c r="M59" s="97">
        <f>'Costs Hypotheses'!$D41</f>
        <v/>
      </c>
      <c r="N59" s="97">
        <f>'Costs Hypotheses'!$D41</f>
        <v/>
      </c>
      <c r="O59" s="96">
        <f>'Costs Hypotheses'!$D41</f>
        <v/>
      </c>
      <c r="P59" s="97">
        <f>'Costs Hypotheses'!$D41</f>
        <v/>
      </c>
      <c r="Q59" s="97">
        <f>'Costs Hypotheses'!$D41</f>
        <v/>
      </c>
      <c r="R59" s="97">
        <f>'Costs Hypotheses'!$D41</f>
        <v/>
      </c>
      <c r="S59" s="97">
        <f>'Costs Hypotheses'!$D41</f>
        <v/>
      </c>
      <c r="T59" s="97">
        <f>'Costs Hypotheses'!$D41</f>
        <v/>
      </c>
      <c r="U59" s="97">
        <f>'Costs Hypotheses'!$D41</f>
        <v/>
      </c>
      <c r="V59" s="97">
        <f>'Costs Hypotheses'!$D41</f>
        <v/>
      </c>
      <c r="W59" s="97">
        <f>'Costs Hypotheses'!$D41</f>
        <v/>
      </c>
      <c r="X59" s="97">
        <f>'Costs Hypotheses'!$D41</f>
        <v/>
      </c>
      <c r="Y59" s="97">
        <f>'Costs Hypotheses'!$D41</f>
        <v/>
      </c>
      <c r="Z59" s="98">
        <f>'Costs Hypotheses'!$D41</f>
        <v/>
      </c>
    </row>
    <row r="60">
      <c r="B60" s="0">
        <f>'Costs Hypotheses'!B42</f>
        <v/>
      </c>
      <c r="C60" s="96">
        <f>'Costs Hypotheses'!$D42</f>
        <v/>
      </c>
      <c r="D60" s="97">
        <f>'Costs Hypotheses'!$D42</f>
        <v/>
      </c>
      <c r="E60" s="97">
        <f>'Costs Hypotheses'!$D42</f>
        <v/>
      </c>
      <c r="F60" s="97">
        <f>'Costs Hypotheses'!$D42</f>
        <v/>
      </c>
      <c r="G60" s="97">
        <f>'Costs Hypotheses'!$D42</f>
        <v/>
      </c>
      <c r="H60" s="97">
        <f>'Costs Hypotheses'!$D42</f>
        <v/>
      </c>
      <c r="I60" s="97">
        <f>'Costs Hypotheses'!$D42</f>
        <v/>
      </c>
      <c r="J60" s="97">
        <f>'Costs Hypotheses'!$D42</f>
        <v/>
      </c>
      <c r="K60" s="97">
        <f>'Costs Hypotheses'!$D42</f>
        <v/>
      </c>
      <c r="L60" s="97">
        <f>'Costs Hypotheses'!$D42</f>
        <v/>
      </c>
      <c r="M60" s="97">
        <f>'Costs Hypotheses'!$D42</f>
        <v/>
      </c>
      <c r="N60" s="97">
        <f>'Costs Hypotheses'!$D42</f>
        <v/>
      </c>
      <c r="O60" s="96">
        <f>'Costs Hypotheses'!$D42</f>
        <v/>
      </c>
      <c r="P60" s="97">
        <f>'Costs Hypotheses'!$D42</f>
        <v/>
      </c>
      <c r="Q60" s="97">
        <f>'Costs Hypotheses'!$D42</f>
        <v/>
      </c>
      <c r="R60" s="97">
        <f>'Costs Hypotheses'!$D42</f>
        <v/>
      </c>
      <c r="S60" s="97">
        <f>'Costs Hypotheses'!$D42</f>
        <v/>
      </c>
      <c r="T60" s="97">
        <f>'Costs Hypotheses'!$D42</f>
        <v/>
      </c>
      <c r="U60" s="97">
        <f>'Costs Hypotheses'!$D42</f>
        <v/>
      </c>
      <c r="V60" s="97">
        <f>'Costs Hypotheses'!$D42</f>
        <v/>
      </c>
      <c r="W60" s="97">
        <f>'Costs Hypotheses'!$D42</f>
        <v/>
      </c>
      <c r="X60" s="97">
        <f>'Costs Hypotheses'!$D42</f>
        <v/>
      </c>
      <c r="Y60" s="97">
        <f>'Costs Hypotheses'!$D42</f>
        <v/>
      </c>
      <c r="Z60" s="98">
        <f>'Costs Hypotheses'!$D42</f>
        <v/>
      </c>
    </row>
    <row r="61">
      <c r="A61" s="94" t="n"/>
      <c r="B61" s="94" t="inlineStr">
        <is>
          <t>Total Miscellaneous</t>
        </is>
      </c>
      <c r="C61" s="93">
        <f>sum(C52:C60)</f>
        <v/>
      </c>
      <c r="D61" s="94">
        <f>sum(D52:D60)</f>
        <v/>
      </c>
      <c r="E61" s="94">
        <f>sum(E52:E60)</f>
        <v/>
      </c>
      <c r="F61" s="94">
        <f>sum(F52:F60)</f>
        <v/>
      </c>
      <c r="G61" s="94">
        <f>sum(G52:G60)</f>
        <v/>
      </c>
      <c r="H61" s="94">
        <f>sum(H52:H60)</f>
        <v/>
      </c>
      <c r="I61" s="94">
        <f>sum(I52:I60)</f>
        <v/>
      </c>
      <c r="J61" s="94">
        <f>sum(J52:J60)</f>
        <v/>
      </c>
      <c r="K61" s="94">
        <f>sum(K52:K60)</f>
        <v/>
      </c>
      <c r="L61" s="94">
        <f>sum(L52:L60)</f>
        <v/>
      </c>
      <c r="M61" s="94">
        <f>sum(M52:M60)</f>
        <v/>
      </c>
      <c r="N61" s="95">
        <f>sum(N52:N60)</f>
        <v/>
      </c>
      <c r="O61" s="94">
        <f>sum(O52:O60)</f>
        <v/>
      </c>
      <c r="P61" s="94">
        <f>sum(P52:P60)</f>
        <v/>
      </c>
      <c r="Q61" s="94">
        <f>sum(Q52:Q60)</f>
        <v/>
      </c>
      <c r="R61" s="94">
        <f>sum(R52:R60)</f>
        <v/>
      </c>
      <c r="S61" s="94">
        <f>sum(S52:S60)</f>
        <v/>
      </c>
      <c r="T61" s="94">
        <f>sum(T52:T60)</f>
        <v/>
      </c>
      <c r="U61" s="94">
        <f>sum(U52:U60)</f>
        <v/>
      </c>
      <c r="V61" s="94">
        <f>sum(V52:V60)</f>
        <v/>
      </c>
      <c r="W61" s="94">
        <f>sum(W52:W60)</f>
        <v/>
      </c>
      <c r="X61" s="94">
        <f>sum(X52:X60)</f>
        <v/>
      </c>
      <c r="Y61" s="94">
        <f>sum(Y52:Y60)</f>
        <v/>
      </c>
      <c r="Z61" s="95">
        <f>sum(Z52:Z60)</f>
        <v/>
      </c>
    </row>
    <row r="62">
      <c r="C62" s="60" t="n"/>
      <c r="N62" s="61" t="n"/>
      <c r="O62" s="60" t="n"/>
      <c r="Z62" s="61" t="n"/>
    </row>
    <row r="63">
      <c r="A63" s="59" t="inlineStr">
        <is>
          <t>PROFIT &amp; LOSS</t>
        </is>
      </c>
    </row>
    <row r="64">
      <c r="C64" s="60" t="n"/>
      <c r="N64" s="61" t="n"/>
      <c r="O64" s="60" t="n"/>
      <c r="Z64" s="61" t="n"/>
    </row>
    <row r="65">
      <c r="A65" s="102" t="inlineStr">
        <is>
          <t>Revenue</t>
        </is>
      </c>
      <c r="C65" s="60" t="n"/>
      <c r="N65" s="61" t="n"/>
      <c r="O65" s="60" t="n"/>
      <c r="Z65" s="61" t="n"/>
    </row>
    <row r="66">
      <c r="B66" s="45" t="inlineStr">
        <is>
          <t>Gross MRR</t>
        </is>
      </c>
      <c r="C66" s="62">
        <f>C14</f>
        <v/>
      </c>
      <c r="D66" s="74">
        <f>D14</f>
        <v/>
      </c>
      <c r="E66" s="74">
        <f>E14</f>
        <v/>
      </c>
      <c r="F66" s="74">
        <f>F14</f>
        <v/>
      </c>
      <c r="G66" s="74">
        <f>G14</f>
        <v/>
      </c>
      <c r="H66" s="74">
        <f>H14</f>
        <v/>
      </c>
      <c r="I66" s="74">
        <f>I14</f>
        <v/>
      </c>
      <c r="J66" s="74">
        <f>J14</f>
        <v/>
      </c>
      <c r="K66" s="74">
        <f>K14</f>
        <v/>
      </c>
      <c r="L66" s="74">
        <f>L14</f>
        <v/>
      </c>
      <c r="M66" s="74">
        <f>M14</f>
        <v/>
      </c>
      <c r="N66" s="64">
        <f>N14</f>
        <v/>
      </c>
      <c r="O66" s="74">
        <f>O14</f>
        <v/>
      </c>
      <c r="P66" s="74">
        <f>P14</f>
        <v/>
      </c>
      <c r="Q66" s="74">
        <f>Q14</f>
        <v/>
      </c>
      <c r="R66" s="74">
        <f>R14</f>
        <v/>
      </c>
      <c r="S66" s="74">
        <f>S14</f>
        <v/>
      </c>
      <c r="T66" s="74">
        <f>T14</f>
        <v/>
      </c>
      <c r="U66" s="74">
        <f>U14</f>
        <v/>
      </c>
      <c r="V66" s="74">
        <f>V14</f>
        <v/>
      </c>
      <c r="W66" s="74">
        <f>W14</f>
        <v/>
      </c>
      <c r="X66" s="74">
        <f>X14</f>
        <v/>
      </c>
      <c r="Y66" s="74">
        <f>Y14</f>
        <v/>
      </c>
      <c r="Z66" s="64">
        <f>Z14</f>
        <v/>
      </c>
    </row>
    <row r="67">
      <c r="A67" s="102" t="inlineStr">
        <is>
          <t>Costs of Good sold</t>
        </is>
      </c>
      <c r="C67" s="60" t="n"/>
      <c r="N67" s="61" t="n"/>
      <c r="Z67" s="61" t="n"/>
    </row>
    <row r="68">
      <c r="B68" s="74">
        <f>B16</f>
        <v/>
      </c>
      <c r="C68" s="99">
        <f>C16</f>
        <v/>
      </c>
      <c r="D68" s="100">
        <f>D16</f>
        <v/>
      </c>
      <c r="E68" s="100">
        <f>E16</f>
        <v/>
      </c>
      <c r="F68" s="100">
        <f>F16</f>
        <v/>
      </c>
      <c r="G68" s="100">
        <f>G16</f>
        <v/>
      </c>
      <c r="H68" s="100">
        <f>H16</f>
        <v/>
      </c>
      <c r="I68" s="100">
        <f>I16</f>
        <v/>
      </c>
      <c r="J68" s="100">
        <f>J16</f>
        <v/>
      </c>
      <c r="K68" s="100">
        <f>K16</f>
        <v/>
      </c>
      <c r="L68" s="100">
        <f>L16</f>
        <v/>
      </c>
      <c r="M68" s="100">
        <f>M16</f>
        <v/>
      </c>
      <c r="N68" s="101">
        <f>N16</f>
        <v/>
      </c>
      <c r="O68" s="100">
        <f>O16</f>
        <v/>
      </c>
      <c r="P68" s="100">
        <f>P16</f>
        <v/>
      </c>
      <c r="Q68" s="100">
        <f>Q16</f>
        <v/>
      </c>
      <c r="R68" s="100">
        <f>R16</f>
        <v/>
      </c>
      <c r="S68" s="100">
        <f>S16</f>
        <v/>
      </c>
      <c r="T68" s="100">
        <f>T16</f>
        <v/>
      </c>
      <c r="U68" s="100">
        <f>U16</f>
        <v/>
      </c>
      <c r="V68" s="100">
        <f>V16</f>
        <v/>
      </c>
      <c r="W68" s="100">
        <f>W16</f>
        <v/>
      </c>
      <c r="X68" s="100">
        <f>X16</f>
        <v/>
      </c>
      <c r="Y68" s="100">
        <f>Y16</f>
        <v/>
      </c>
      <c r="Z68" s="101">
        <f>Z16</f>
        <v/>
      </c>
    </row>
    <row r="69">
      <c r="B69" s="0">
        <f>B49</f>
        <v/>
      </c>
      <c r="C69" s="99">
        <f>C49</f>
        <v/>
      </c>
      <c r="D69" s="100">
        <f>D49</f>
        <v/>
      </c>
      <c r="E69" s="100">
        <f>E49</f>
        <v/>
      </c>
      <c r="F69" s="100">
        <f>F49</f>
        <v/>
      </c>
      <c r="G69" s="100">
        <f>G49</f>
        <v/>
      </c>
      <c r="H69" s="100">
        <f>H49</f>
        <v/>
      </c>
      <c r="I69" s="100">
        <f>I49</f>
        <v/>
      </c>
      <c r="J69" s="100">
        <f>J49</f>
        <v/>
      </c>
      <c r="K69" s="100">
        <f>K49</f>
        <v/>
      </c>
      <c r="L69" s="100">
        <f>L49</f>
        <v/>
      </c>
      <c r="M69" s="100">
        <f>M49</f>
        <v/>
      </c>
      <c r="N69" s="101">
        <f>N49</f>
        <v/>
      </c>
      <c r="O69" s="100">
        <f>O49</f>
        <v/>
      </c>
      <c r="P69" s="100">
        <f>P49</f>
        <v/>
      </c>
      <c r="Q69" s="100">
        <f>Q49</f>
        <v/>
      </c>
      <c r="R69" s="100">
        <f>R49</f>
        <v/>
      </c>
      <c r="S69" s="100">
        <f>S49</f>
        <v/>
      </c>
      <c r="T69" s="100">
        <f>T49</f>
        <v/>
      </c>
      <c r="U69" s="100">
        <f>U49</f>
        <v/>
      </c>
      <c r="V69" s="100">
        <f>V49</f>
        <v/>
      </c>
      <c r="W69" s="100">
        <f>W49</f>
        <v/>
      </c>
      <c r="X69" s="100">
        <f>X49</f>
        <v/>
      </c>
      <c r="Y69" s="100">
        <f>Y49</f>
        <v/>
      </c>
      <c r="Z69" s="101">
        <f>Z49</f>
        <v/>
      </c>
    </row>
    <row r="70">
      <c r="B70" s="45" t="inlineStr">
        <is>
          <t>Support</t>
        </is>
      </c>
      <c r="C70" s="99">
        <f>sumif('Costs Hypotheses'!$F$3:$F$22,$B$70,C22:C41)</f>
        <v/>
      </c>
      <c r="D70" s="100">
        <f>sumif('Costs Hypotheses'!$F$3:$F$22,$B$70,D22:D41)</f>
        <v/>
      </c>
      <c r="E70" s="100">
        <f>sumif('Costs Hypotheses'!$F$3:$F$22,$B$70,E22:E41)</f>
        <v/>
      </c>
      <c r="F70" s="100">
        <f>sumif('Costs Hypotheses'!$F$3:$F$22,$B$70,F22:F41)</f>
        <v/>
      </c>
      <c r="G70" s="100">
        <f>sumif('Costs Hypotheses'!$F$3:$F$22,$B$70,G22:G41)</f>
        <v/>
      </c>
      <c r="H70" s="100">
        <f>sumif('Costs Hypotheses'!$F$3:$F$22,$B$70,H22:H41)</f>
        <v/>
      </c>
      <c r="I70" s="100">
        <f>sumif('Costs Hypotheses'!$F$3:$F$22,$B$70,I22:I41)</f>
        <v/>
      </c>
      <c r="J70" s="100">
        <f>sumif('Costs Hypotheses'!$F$3:$F$22,$B$70,J22:J41)</f>
        <v/>
      </c>
      <c r="K70" s="100">
        <f>sumif('Costs Hypotheses'!$F$3:$F$22,$B$70,K22:K41)</f>
        <v/>
      </c>
      <c r="L70" s="100">
        <f>sumif('Costs Hypotheses'!$F$3:$F$22,$B$70,L22:L41)</f>
        <v/>
      </c>
      <c r="M70" s="100">
        <f>sumif('Costs Hypotheses'!$F$3:$F$22,$B$70,M22:M41)</f>
        <v/>
      </c>
      <c r="N70" s="101">
        <f>sumif('Costs Hypotheses'!$F$3:$F$22,$B$70,N22:N41)</f>
        <v/>
      </c>
      <c r="O70" s="100">
        <f>sumif('Costs Hypotheses'!$F$3:$F$22,$B$70,O22:O41)</f>
        <v/>
      </c>
      <c r="P70" s="100">
        <f>sumif('Costs Hypotheses'!$F$3:$F$22,$B$70,P22:P41)</f>
        <v/>
      </c>
      <c r="Q70" s="100">
        <f>sumif('Costs Hypotheses'!$F$3:$F$22,$B$70,Q22:Q41)</f>
        <v/>
      </c>
      <c r="R70" s="100">
        <f>sumif('Costs Hypotheses'!$F$3:$F$22,$B$70,R22:R41)</f>
        <v/>
      </c>
      <c r="S70" s="100">
        <f>sumif('Costs Hypotheses'!$F$3:$F$22,$B$70,S22:S41)</f>
        <v/>
      </c>
      <c r="T70" s="100">
        <f>sumif('Costs Hypotheses'!$F$3:$F$22,$B$70,T22:T41)</f>
        <v/>
      </c>
      <c r="U70" s="100">
        <f>sumif('Costs Hypotheses'!$F$3:$F$22,$B$70,U22:U41)</f>
        <v/>
      </c>
      <c r="V70" s="100">
        <f>sumif('Costs Hypotheses'!$F$3:$F$22,$B$70,V22:V41)</f>
        <v/>
      </c>
      <c r="W70" s="100">
        <f>sumif('Costs Hypotheses'!$F$3:$F$22,$B$70,W22:W41)</f>
        <v/>
      </c>
      <c r="X70" s="100">
        <f>sumif('Costs Hypotheses'!$F$3:$F$22,$B$70,X22:X41)</f>
        <v/>
      </c>
      <c r="Y70" s="100">
        <f>sumif('Costs Hypotheses'!$F$3:$F$22,$B$70,Y22:Y41)</f>
        <v/>
      </c>
      <c r="Z70" s="101">
        <f>sumif('Costs Hypotheses'!$F$3:$F$22,$B$70,Z22:Z41)</f>
        <v/>
      </c>
    </row>
    <row r="71">
      <c r="A71" s="94" t="n"/>
      <c r="B71" s="94" t="inlineStr">
        <is>
          <t>Total Costs of Good Sold</t>
        </is>
      </c>
      <c r="C71" s="93">
        <f>sum(C68:C70)</f>
        <v/>
      </c>
      <c r="D71" s="94">
        <f>sum(D68:D70)</f>
        <v/>
      </c>
      <c r="E71" s="94">
        <f>sum(E68:E70)</f>
        <v/>
      </c>
      <c r="F71" s="94">
        <f>sum(F68:F70)</f>
        <v/>
      </c>
      <c r="G71" s="94">
        <f>sum(G68:G70)</f>
        <v/>
      </c>
      <c r="H71" s="94">
        <f>sum(H68:H70)</f>
        <v/>
      </c>
      <c r="I71" s="94">
        <f>sum(I68:I70)</f>
        <v/>
      </c>
      <c r="J71" s="94">
        <f>sum(J68:J70)</f>
        <v/>
      </c>
      <c r="K71" s="94">
        <f>sum(K68:K70)</f>
        <v/>
      </c>
      <c r="L71" s="94">
        <f>sum(L68:L70)</f>
        <v/>
      </c>
      <c r="M71" s="94">
        <f>sum(M68:M70)</f>
        <v/>
      </c>
      <c r="N71" s="94">
        <f>sum(N68:N70)</f>
        <v/>
      </c>
      <c r="O71" s="93">
        <f>sum(O68:O70)</f>
        <v/>
      </c>
      <c r="P71" s="94">
        <f>sum(P68:P70)</f>
        <v/>
      </c>
      <c r="Q71" s="94">
        <f>sum(Q68:Q70)</f>
        <v/>
      </c>
      <c r="R71" s="94">
        <f>sum(R68:R70)</f>
        <v/>
      </c>
      <c r="S71" s="94">
        <f>sum(S68:S70)</f>
        <v/>
      </c>
      <c r="T71" s="94">
        <f>sum(T68:T70)</f>
        <v/>
      </c>
      <c r="U71" s="94">
        <f>sum(U68:U70)</f>
        <v/>
      </c>
      <c r="V71" s="94">
        <f>sum(V68:V70)</f>
        <v/>
      </c>
      <c r="W71" s="94">
        <f>sum(W68:W70)</f>
        <v/>
      </c>
      <c r="X71" s="94">
        <f>sum(X68:X70)</f>
        <v/>
      </c>
      <c r="Y71" s="94">
        <f>sum(Y68:Y70)</f>
        <v/>
      </c>
      <c r="Z71" s="94">
        <f>sum(Z68:Z70)</f>
        <v/>
      </c>
    </row>
    <row r="72">
      <c r="A72" s="110" t="n"/>
      <c r="B72" s="110" t="n"/>
      <c r="C72" s="107">
        <f>C71/C66</f>
        <v/>
      </c>
      <c r="D72" s="108">
        <f>D71/D66</f>
        <v/>
      </c>
      <c r="E72" s="108">
        <f>E71/E66</f>
        <v/>
      </c>
      <c r="F72" s="108">
        <f>F71/F66</f>
        <v/>
      </c>
      <c r="G72" s="108">
        <f>G71/G66</f>
        <v/>
      </c>
      <c r="H72" s="108">
        <f>H71/H66</f>
        <v/>
      </c>
      <c r="I72" s="108">
        <f>I71/I66</f>
        <v/>
      </c>
      <c r="J72" s="108">
        <f>J71/J66</f>
        <v/>
      </c>
      <c r="K72" s="108">
        <f>K71/K66</f>
        <v/>
      </c>
      <c r="L72" s="108">
        <f>L71/L66</f>
        <v/>
      </c>
      <c r="M72" s="108">
        <f>M71/M66</f>
        <v/>
      </c>
      <c r="N72" s="109">
        <f>N71/N66</f>
        <v/>
      </c>
      <c r="O72" s="108">
        <f>O71/O66</f>
        <v/>
      </c>
      <c r="P72" s="108">
        <f>P71/P66</f>
        <v/>
      </c>
      <c r="Q72" s="108">
        <f>Q71/Q66</f>
        <v/>
      </c>
      <c r="R72" s="108">
        <f>R71/R66</f>
        <v/>
      </c>
      <c r="S72" s="108">
        <f>S71/S66</f>
        <v/>
      </c>
      <c r="T72" s="108">
        <f>T71/T66</f>
        <v/>
      </c>
      <c r="U72" s="108">
        <f>U71/U66</f>
        <v/>
      </c>
      <c r="V72" s="108">
        <f>V71/V66</f>
        <v/>
      </c>
      <c r="W72" s="108">
        <f>W71/W66</f>
        <v/>
      </c>
      <c r="X72" s="108">
        <f>X71/X66</f>
        <v/>
      </c>
      <c r="Y72" s="108">
        <f>Y71/Y66</f>
        <v/>
      </c>
      <c r="Z72" s="109">
        <f>Z71/Z66</f>
        <v/>
      </c>
    </row>
    <row r="73">
      <c r="A73" s="102" t="inlineStr">
        <is>
          <t>Gross Profit</t>
        </is>
      </c>
      <c r="C73" s="60" t="n"/>
      <c r="N73" s="61" t="n"/>
      <c r="Z73" s="61" t="n"/>
    </row>
    <row r="74">
      <c r="A74" s="94" t="n"/>
      <c r="B74" s="94" t="inlineStr">
        <is>
          <t>Gross Profit</t>
        </is>
      </c>
      <c r="C74" s="93">
        <f>C66-C71</f>
        <v/>
      </c>
      <c r="D74" s="94">
        <f>D66-D71</f>
        <v/>
      </c>
      <c r="E74" s="94">
        <f>E66-E71</f>
        <v/>
      </c>
      <c r="F74" s="94">
        <f>F66-F71</f>
        <v/>
      </c>
      <c r="G74" s="94">
        <f>G66-G71</f>
        <v/>
      </c>
      <c r="H74" s="94">
        <f>H66-H71</f>
        <v/>
      </c>
      <c r="I74" s="94">
        <f>I66-I71</f>
        <v/>
      </c>
      <c r="J74" s="94">
        <f>J66-J71</f>
        <v/>
      </c>
      <c r="K74" s="94">
        <f>K66-K71</f>
        <v/>
      </c>
      <c r="L74" s="94">
        <f>L66-L71</f>
        <v/>
      </c>
      <c r="M74" s="94">
        <f>M66-M71</f>
        <v/>
      </c>
      <c r="N74" s="94">
        <f>N66-N71</f>
        <v/>
      </c>
      <c r="O74" s="93">
        <f>O66-O71</f>
        <v/>
      </c>
      <c r="P74" s="94">
        <f>P66-P71</f>
        <v/>
      </c>
      <c r="Q74" s="94">
        <f>Q66-Q71</f>
        <v/>
      </c>
      <c r="R74" s="94">
        <f>R66-R71</f>
        <v/>
      </c>
      <c r="S74" s="94">
        <f>S66-S71</f>
        <v/>
      </c>
      <c r="T74" s="94">
        <f>T66-T71</f>
        <v/>
      </c>
      <c r="U74" s="94">
        <f>U66-U71</f>
        <v/>
      </c>
      <c r="V74" s="94">
        <f>V66-V71</f>
        <v/>
      </c>
      <c r="W74" s="94">
        <f>W66-W71</f>
        <v/>
      </c>
      <c r="X74" s="94">
        <f>X66-X71</f>
        <v/>
      </c>
      <c r="Y74" s="94">
        <f>Y66-Y71</f>
        <v/>
      </c>
      <c r="Z74" s="94">
        <f>Z66-Z71</f>
        <v/>
      </c>
    </row>
    <row r="75">
      <c r="A75" s="110" t="n"/>
      <c r="B75" s="110" t="n"/>
      <c r="C75" s="107">
        <f>C74/C66</f>
        <v/>
      </c>
      <c r="D75" s="108">
        <f>D74/D66</f>
        <v/>
      </c>
      <c r="E75" s="108">
        <f>E74/E66</f>
        <v/>
      </c>
      <c r="F75" s="108">
        <f>F74/F66</f>
        <v/>
      </c>
      <c r="G75" s="108">
        <f>G74/G66</f>
        <v/>
      </c>
      <c r="H75" s="108">
        <f>H74/H66</f>
        <v/>
      </c>
      <c r="I75" s="108">
        <f>I74/I66</f>
        <v/>
      </c>
      <c r="J75" s="108">
        <f>J74/J66</f>
        <v/>
      </c>
      <c r="K75" s="108">
        <f>K74/K66</f>
        <v/>
      </c>
      <c r="L75" s="108">
        <f>L74/L66</f>
        <v/>
      </c>
      <c r="M75" s="108">
        <f>M74/M66</f>
        <v/>
      </c>
      <c r="N75" s="109">
        <f>N74/N66</f>
        <v/>
      </c>
      <c r="O75" s="108">
        <f>O74/O66</f>
        <v/>
      </c>
      <c r="P75" s="108">
        <f>P74/P66</f>
        <v/>
      </c>
      <c r="Q75" s="108">
        <f>Q74/Q66</f>
        <v/>
      </c>
      <c r="R75" s="108">
        <f>R74/R66</f>
        <v/>
      </c>
      <c r="S75" s="108">
        <f>S74/S66</f>
        <v/>
      </c>
      <c r="T75" s="108">
        <f>T74/T66</f>
        <v/>
      </c>
      <c r="U75" s="108">
        <f>U74/U66</f>
        <v/>
      </c>
      <c r="V75" s="108">
        <f>V74/V66</f>
        <v/>
      </c>
      <c r="W75" s="108">
        <f>W74/W66</f>
        <v/>
      </c>
      <c r="X75" s="108">
        <f>X74/X66</f>
        <v/>
      </c>
      <c r="Y75" s="108">
        <f>Y74/Y66</f>
        <v/>
      </c>
      <c r="Z75" s="109">
        <f>Z74/Z66</f>
        <v/>
      </c>
    </row>
    <row r="76">
      <c r="A76" s="102" t="inlineStr">
        <is>
          <t>Operating Expenses</t>
        </is>
      </c>
      <c r="B76" s="45" t="n"/>
      <c r="C76" s="99" t="n"/>
      <c r="D76" s="100" t="n"/>
      <c r="E76" s="100" t="n"/>
      <c r="F76" s="100" t="n"/>
      <c r="G76" s="100" t="n"/>
      <c r="H76" s="100" t="n"/>
      <c r="I76" s="100" t="n"/>
      <c r="J76" s="100" t="n"/>
      <c r="K76" s="100" t="n"/>
      <c r="L76" s="100" t="n"/>
      <c r="M76" s="100" t="n"/>
      <c r="N76" s="101" t="n"/>
      <c r="O76" s="100" t="n"/>
      <c r="P76" s="100" t="n"/>
      <c r="Q76" s="100" t="n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1" t="n"/>
    </row>
    <row r="77">
      <c r="B77" s="45" t="inlineStr">
        <is>
          <t>Sales &amp; Marketing</t>
        </is>
      </c>
      <c r="C77" s="99">
        <f>sumif('Costs Hypotheses'!$F$3:$F$22,$B$77,C22:C41)+C47+C53</f>
        <v/>
      </c>
      <c r="D77" s="100">
        <f>sumif('Costs Hypotheses'!$F$3:$F$22,$B$77,D22:D41)+D47+D53</f>
        <v/>
      </c>
      <c r="E77" s="100">
        <f>sumif('Costs Hypotheses'!$F$3:$F$22,$B$77,E22:E41)+E47+E53</f>
        <v/>
      </c>
      <c r="F77" s="100">
        <f>sumif('Costs Hypotheses'!$F$3:$F$22,$B$77,F22:F41)+F47+F53</f>
        <v/>
      </c>
      <c r="G77" s="100">
        <f>sumif('Costs Hypotheses'!$F$3:$F$22,$B$77,G22:G41)+G47+G53</f>
        <v/>
      </c>
      <c r="H77" s="100">
        <f>sumif('Costs Hypotheses'!$F$3:$F$22,$B$77,H22:H41)+H47+H53</f>
        <v/>
      </c>
      <c r="I77" s="100">
        <f>sumif('Costs Hypotheses'!$F$3:$F$22,$B$77,I22:I41)+I47+I53</f>
        <v/>
      </c>
      <c r="J77" s="100">
        <f>sumif('Costs Hypotheses'!$F$3:$F$22,$B$77,J22:J41)+J47+J53</f>
        <v/>
      </c>
      <c r="K77" s="100">
        <f>sumif('Costs Hypotheses'!$F$3:$F$22,$B$77,K22:K41)+K47+K53</f>
        <v/>
      </c>
      <c r="L77" s="100">
        <f>sumif('Costs Hypotheses'!$F$3:$F$22,$B$77,L22:L41)+L47+L53</f>
        <v/>
      </c>
      <c r="M77" s="100">
        <f>sumif('Costs Hypotheses'!$F$3:$F$22,$B$77,M22:M41)+M47+M53</f>
        <v/>
      </c>
      <c r="N77" s="101">
        <f>sumif('Costs Hypotheses'!$F$3:$F$22,$B$77,N22:N41)+N47+N53</f>
        <v/>
      </c>
      <c r="O77" s="100">
        <f>sumif('Costs Hypotheses'!$F$3:$F$22,$B$77,O22:O41)+O47+O53</f>
        <v/>
      </c>
      <c r="P77" s="100">
        <f>sumif('Costs Hypotheses'!$F$3:$F$22,$B$77,P22:P41)+P47+P53</f>
        <v/>
      </c>
      <c r="Q77" s="100">
        <f>sumif('Costs Hypotheses'!$F$3:$F$22,$B$77,Q22:Q41)+Q47+Q53</f>
        <v/>
      </c>
      <c r="R77" s="100">
        <f>sumif('Costs Hypotheses'!$F$3:$F$22,$B$77,R22:R41)+R47+R53</f>
        <v/>
      </c>
      <c r="S77" s="100">
        <f>sumif('Costs Hypotheses'!$F$3:$F$22,$B$77,S22:S41)+S47+S53</f>
        <v/>
      </c>
      <c r="T77" s="100">
        <f>sumif('Costs Hypotheses'!$F$3:$F$22,$B$77,T22:T41)+T47+T53</f>
        <v/>
      </c>
      <c r="U77" s="100">
        <f>sumif('Costs Hypotheses'!$F$3:$F$22,$B$77,U22:U41)+U47+U53</f>
        <v/>
      </c>
      <c r="V77" s="100">
        <f>sumif('Costs Hypotheses'!$F$3:$F$22,$B$77,V22:V41)+V47+V53</f>
        <v/>
      </c>
      <c r="W77" s="100">
        <f>sumif('Costs Hypotheses'!$F$3:$F$22,$B$77,W22:W41)+W47+W53</f>
        <v/>
      </c>
      <c r="X77" s="100">
        <f>sumif('Costs Hypotheses'!$F$3:$F$22,$B$77,X22:X41)+X47+X53</f>
        <v/>
      </c>
      <c r="Y77" s="100">
        <f>sumif('Costs Hypotheses'!$F$3:$F$22,$B$77,Y22:Y41)+Y47+Y53</f>
        <v/>
      </c>
      <c r="Z77" s="101">
        <f>sumif('Costs Hypotheses'!$F$3:$F$22,$B$77,Z22:Z41)+Z47+Z53</f>
        <v/>
      </c>
    </row>
    <row r="78">
      <c r="A78" s="110" t="n"/>
      <c r="B78" s="110" t="inlineStr">
        <is>
          <t>% of Revenues</t>
        </is>
      </c>
      <c r="C78" s="107">
        <f>C77/C66</f>
        <v/>
      </c>
      <c r="D78" s="108">
        <f>D77/D66</f>
        <v/>
      </c>
      <c r="E78" s="108">
        <f>E77/E66</f>
        <v/>
      </c>
      <c r="F78" s="108">
        <f>F77/F66</f>
        <v/>
      </c>
      <c r="G78" s="108">
        <f>G77/G66</f>
        <v/>
      </c>
      <c r="H78" s="108">
        <f>H77/H66</f>
        <v/>
      </c>
      <c r="I78" s="108">
        <f>I77/I66</f>
        <v/>
      </c>
      <c r="J78" s="108">
        <f>J77/J66</f>
        <v/>
      </c>
      <c r="K78" s="108">
        <f>K77/K66</f>
        <v/>
      </c>
      <c r="L78" s="108">
        <f>L77/L66</f>
        <v/>
      </c>
      <c r="M78" s="108">
        <f>M77/M66</f>
        <v/>
      </c>
      <c r="N78" s="109">
        <f>N77/N66</f>
        <v/>
      </c>
      <c r="O78" s="108">
        <f>O77/O66</f>
        <v/>
      </c>
      <c r="P78" s="108">
        <f>P77/P66</f>
        <v/>
      </c>
      <c r="Q78" s="108">
        <f>Q77/Q66</f>
        <v/>
      </c>
      <c r="R78" s="108">
        <f>R77/R66</f>
        <v/>
      </c>
      <c r="S78" s="108">
        <f>S77/S66</f>
        <v/>
      </c>
      <c r="T78" s="108">
        <f>T77/T66</f>
        <v/>
      </c>
      <c r="U78" s="108">
        <f>U77/U66</f>
        <v/>
      </c>
      <c r="V78" s="108">
        <f>V77/V66</f>
        <v/>
      </c>
      <c r="W78" s="108">
        <f>W77/W66</f>
        <v/>
      </c>
      <c r="X78" s="108">
        <f>X77/X66</f>
        <v/>
      </c>
      <c r="Y78" s="108">
        <f>Y77/Y66</f>
        <v/>
      </c>
      <c r="Z78" s="109">
        <f>Z77/Z66</f>
        <v/>
      </c>
    </row>
    <row r="79">
      <c r="C79" s="60" t="n"/>
      <c r="N79" s="61" t="n"/>
      <c r="Z79" s="61" t="n"/>
    </row>
    <row r="80">
      <c r="B80" s="45" t="inlineStr">
        <is>
          <t>Research &amp; Development</t>
        </is>
      </c>
      <c r="C80" s="96">
        <f>sumif('Costs Hypotheses'!$F$3:$F$22,$B$80,C22:C41)+C52</f>
        <v/>
      </c>
      <c r="D80" s="97">
        <f>sumif('Costs Hypotheses'!$F$3:$F$22,$B$80,D22:D41)+D52</f>
        <v/>
      </c>
      <c r="E80" s="97">
        <f>sumif('Costs Hypotheses'!$F$3:$F$22,$B$80,E22:E41)+E52</f>
        <v/>
      </c>
      <c r="F80" s="97">
        <f>sumif('Costs Hypotheses'!$F$3:$F$22,$B$80,F22:F41)+F52</f>
        <v/>
      </c>
      <c r="G80" s="97">
        <f>sumif('Costs Hypotheses'!$F$3:$F$22,$B$80,G22:G41)+G52</f>
        <v/>
      </c>
      <c r="H80" s="97">
        <f>sumif('Costs Hypotheses'!$F$3:$F$22,$B$80,H22:H41)+H52</f>
        <v/>
      </c>
      <c r="I80" s="97">
        <f>sumif('Costs Hypotheses'!$F$3:$F$22,$B$80,I22:I41)+I52</f>
        <v/>
      </c>
      <c r="J80" s="97">
        <f>sumif('Costs Hypotheses'!$F$3:$F$22,$B$80,J22:J41)+J52</f>
        <v/>
      </c>
      <c r="K80" s="97">
        <f>sumif('Costs Hypotheses'!$F$3:$F$22,$B$80,K22:K41)+K52</f>
        <v/>
      </c>
      <c r="L80" s="97">
        <f>sumif('Costs Hypotheses'!$F$3:$F$22,$B$80,L22:L41)+L52</f>
        <v/>
      </c>
      <c r="M80" s="97">
        <f>sumif('Costs Hypotheses'!$F$3:$F$22,$B$80,M22:M41)+M52</f>
        <v/>
      </c>
      <c r="N80" s="98">
        <f>sumif('Costs Hypotheses'!$F$3:$F$22,$B$80,N22:N41)+N52</f>
        <v/>
      </c>
      <c r="O80" s="97">
        <f>sumif('Costs Hypotheses'!$F$3:$F$22,$B$80,O22:O41)+O52</f>
        <v/>
      </c>
      <c r="P80" s="97">
        <f>sumif('Costs Hypotheses'!$F$3:$F$22,$B$80,P22:P41)+P52</f>
        <v/>
      </c>
      <c r="Q80" s="97">
        <f>sumif('Costs Hypotheses'!$F$3:$F$22,$B$80,Q22:Q41)+Q52</f>
        <v/>
      </c>
      <c r="R80" s="97">
        <f>sumif('Costs Hypotheses'!$F$3:$F$22,$B$80,R22:R41)+R52</f>
        <v/>
      </c>
      <c r="S80" s="97">
        <f>sumif('Costs Hypotheses'!$F$3:$F$22,$B$80,S22:S41)+S52</f>
        <v/>
      </c>
      <c r="T80" s="97">
        <f>sumif('Costs Hypotheses'!$F$3:$F$22,$B$80,T22:T41)+T52</f>
        <v/>
      </c>
      <c r="U80" s="97">
        <f>sumif('Costs Hypotheses'!$F$3:$F$22,$B$80,U22:U41)+U52</f>
        <v/>
      </c>
      <c r="V80" s="97">
        <f>sumif('Costs Hypotheses'!$F$3:$F$22,$B$80,V22:V41)+V52</f>
        <v/>
      </c>
      <c r="W80" s="97">
        <f>sumif('Costs Hypotheses'!$F$3:$F$22,$B$80,W22:W41)+W52</f>
        <v/>
      </c>
      <c r="X80" s="97">
        <f>sumif('Costs Hypotheses'!$F$3:$F$22,$B$80,X22:X41)+X52</f>
        <v/>
      </c>
      <c r="Y80" s="97">
        <f>sumif('Costs Hypotheses'!$F$3:$F$22,$B$80,Y22:Y41)+Y52</f>
        <v/>
      </c>
      <c r="Z80" s="98">
        <f>sumif('Costs Hypotheses'!$F$3:$F$22,$B$80,Z22:Z41)+Z52</f>
        <v/>
      </c>
    </row>
    <row r="81">
      <c r="A81" s="110" t="n"/>
      <c r="B81" s="110" t="inlineStr">
        <is>
          <t>% of Revenues</t>
        </is>
      </c>
      <c r="C81" s="107">
        <f>C80/C66</f>
        <v/>
      </c>
      <c r="D81" s="108">
        <f>D80/D66</f>
        <v/>
      </c>
      <c r="E81" s="108">
        <f>E80/E66</f>
        <v/>
      </c>
      <c r="F81" s="108">
        <f>F80/F66</f>
        <v/>
      </c>
      <c r="G81" s="108">
        <f>G80/G66</f>
        <v/>
      </c>
      <c r="H81" s="108">
        <f>H80/H66</f>
        <v/>
      </c>
      <c r="I81" s="108">
        <f>I80/I66</f>
        <v/>
      </c>
      <c r="J81" s="108">
        <f>J80/J66</f>
        <v/>
      </c>
      <c r="K81" s="108">
        <f>K80/K66</f>
        <v/>
      </c>
      <c r="L81" s="108">
        <f>L80/L66</f>
        <v/>
      </c>
      <c r="M81" s="108">
        <f>M80/M66</f>
        <v/>
      </c>
      <c r="N81" s="109">
        <f>N80/N66</f>
        <v/>
      </c>
      <c r="O81" s="108">
        <f>O80/O66</f>
        <v/>
      </c>
      <c r="P81" s="108">
        <f>P80/P66</f>
        <v/>
      </c>
      <c r="Q81" s="108">
        <f>Q80/Q66</f>
        <v/>
      </c>
      <c r="R81" s="108">
        <f>R80/R66</f>
        <v/>
      </c>
      <c r="S81" s="108">
        <f>S80/S66</f>
        <v/>
      </c>
      <c r="T81" s="108">
        <f>T80/T66</f>
        <v/>
      </c>
      <c r="U81" s="108">
        <f>U80/U66</f>
        <v/>
      </c>
      <c r="V81" s="108">
        <f>V80/V66</f>
        <v/>
      </c>
      <c r="W81" s="108">
        <f>W80/W66</f>
        <v/>
      </c>
      <c r="X81" s="108">
        <f>X80/X66</f>
        <v/>
      </c>
      <c r="Y81" s="108">
        <f>Y80/Y66</f>
        <v/>
      </c>
      <c r="Z81" s="109">
        <f>Z80/Z66</f>
        <v/>
      </c>
    </row>
    <row r="82">
      <c r="C82" s="60" t="n"/>
      <c r="N82" s="61" t="n"/>
      <c r="Z82" s="61" t="n"/>
    </row>
    <row r="83">
      <c r="B83" s="45" t="inlineStr">
        <is>
          <t>General &amp; Administrative</t>
        </is>
      </c>
      <c r="C83" s="96">
        <f>sumif('Costs Hypotheses'!$F$3:$F$22,$B$83,C22:C41)+sum(C54:C60)</f>
        <v/>
      </c>
      <c r="D83" s="97">
        <f>sumif('Costs Hypotheses'!$F$3:$F$22,$B$83,D22:D41)+sum(D54:D60)</f>
        <v/>
      </c>
      <c r="E83" s="97">
        <f>sumif('Costs Hypotheses'!$F$3:$F$22,$B$83,E22:E41)+sum(E54:E60)</f>
        <v/>
      </c>
      <c r="F83" s="97">
        <f>sumif('Costs Hypotheses'!$F$3:$F$22,$B$83,F22:F41)+sum(F54:F60)</f>
        <v/>
      </c>
      <c r="G83" s="97">
        <f>sumif('Costs Hypotheses'!$F$3:$F$22,$B$83,G22:G41)+sum(G54:G60)</f>
        <v/>
      </c>
      <c r="H83" s="97">
        <f>sumif('Costs Hypotheses'!$F$3:$F$22,$B$83,H22:H41)+sum(H54:H60)</f>
        <v/>
      </c>
      <c r="I83" s="97">
        <f>sumif('Costs Hypotheses'!$F$3:$F$22,$B$83,I22:I41)+sum(I54:I60)</f>
        <v/>
      </c>
      <c r="J83" s="97">
        <f>sumif('Costs Hypotheses'!$F$3:$F$22,$B$83,J22:J41)+sum(J54:J60)</f>
        <v/>
      </c>
      <c r="K83" s="97">
        <f>sumif('Costs Hypotheses'!$F$3:$F$22,$B$83,K22:K41)+sum(K54:K60)</f>
        <v/>
      </c>
      <c r="L83" s="97">
        <f>sumif('Costs Hypotheses'!$F$3:$F$22,$B$83,L22:L41)+sum(L54:L60)</f>
        <v/>
      </c>
      <c r="M83" s="97">
        <f>sumif('Costs Hypotheses'!$F$3:$F$22,$B$83,M22:M41)+sum(M54:M60)</f>
        <v/>
      </c>
      <c r="N83" s="98">
        <f>sumif('Costs Hypotheses'!$F$3:$F$22,$B$83,N22:N41)+sum(N54:N60)</f>
        <v/>
      </c>
      <c r="O83" s="97">
        <f>sumif('Costs Hypotheses'!$F$3:$F$22,$B$83,O22:O41)+sum(O54:O60)</f>
        <v/>
      </c>
      <c r="P83" s="97">
        <f>sumif('Costs Hypotheses'!$F$3:$F$22,$B$83,P22:P41)+sum(P54:P60)</f>
        <v/>
      </c>
      <c r="Q83" s="97">
        <f>sumif('Costs Hypotheses'!$F$3:$F$22,$B$83,Q22:Q41)+sum(Q54:Q60)</f>
        <v/>
      </c>
      <c r="R83" s="97">
        <f>sumif('Costs Hypotheses'!$F$3:$F$22,$B$83,R22:R41)+sum(R54:R60)</f>
        <v/>
      </c>
      <c r="S83" s="97">
        <f>sumif('Costs Hypotheses'!$F$3:$F$22,$B$83,S22:S41)+sum(S54:S60)</f>
        <v/>
      </c>
      <c r="T83" s="97">
        <f>sumif('Costs Hypotheses'!$F$3:$F$22,$B$83,T22:T41)+sum(T54:T60)</f>
        <v/>
      </c>
      <c r="U83" s="97">
        <f>sumif('Costs Hypotheses'!$F$3:$F$22,$B$83,U22:U41)+sum(U54:U60)</f>
        <v/>
      </c>
      <c r="V83" s="97">
        <f>sumif('Costs Hypotheses'!$F$3:$F$22,$B$83,V22:V41)+sum(V54:V60)</f>
        <v/>
      </c>
      <c r="W83" s="97">
        <f>sumif('Costs Hypotheses'!$F$3:$F$22,$B$83,W22:W41)+sum(W54:W60)</f>
        <v/>
      </c>
      <c r="X83" s="97">
        <f>sumif('Costs Hypotheses'!$F$3:$F$22,$B$83,X22:X41)+sum(X54:X60)</f>
        <v/>
      </c>
      <c r="Y83" s="97">
        <f>sumif('Costs Hypotheses'!$F$3:$F$22,$B$83,Y22:Y41)+sum(Y54:Y60)</f>
        <v/>
      </c>
      <c r="Z83" s="98">
        <f>sumif('Costs Hypotheses'!$F$3:$F$22,$B$83,Z22:Z41)+sum(Z54:Z60)</f>
        <v/>
      </c>
    </row>
    <row r="84">
      <c r="A84" s="110" t="n"/>
      <c r="B84" s="110" t="inlineStr">
        <is>
          <t>% of Revenues</t>
        </is>
      </c>
      <c r="C84" s="107">
        <f>C83/C66</f>
        <v/>
      </c>
      <c r="D84" s="108">
        <f>D83/D66</f>
        <v/>
      </c>
      <c r="E84" s="108">
        <f>E83/E66</f>
        <v/>
      </c>
      <c r="F84" s="108">
        <f>F83/F66</f>
        <v/>
      </c>
      <c r="G84" s="108">
        <f>G83/G66</f>
        <v/>
      </c>
      <c r="H84" s="108">
        <f>H83/H66</f>
        <v/>
      </c>
      <c r="I84" s="108">
        <f>I83/I66</f>
        <v/>
      </c>
      <c r="J84" s="108">
        <f>J83/J66</f>
        <v/>
      </c>
      <c r="K84" s="108">
        <f>K83/K66</f>
        <v/>
      </c>
      <c r="L84" s="108">
        <f>L83/L66</f>
        <v/>
      </c>
      <c r="M84" s="108">
        <f>M83/M66</f>
        <v/>
      </c>
      <c r="N84" s="109">
        <f>N83/N66</f>
        <v/>
      </c>
      <c r="O84" s="108">
        <f>O83/O66</f>
        <v/>
      </c>
      <c r="P84" s="108">
        <f>P83/P66</f>
        <v/>
      </c>
      <c r="Q84" s="108">
        <f>Q83/Q66</f>
        <v/>
      </c>
      <c r="R84" s="108">
        <f>R83/R66</f>
        <v/>
      </c>
      <c r="S84" s="108">
        <f>S83/S66</f>
        <v/>
      </c>
      <c r="T84" s="108">
        <f>T83/T66</f>
        <v/>
      </c>
      <c r="U84" s="108">
        <f>U83/U66</f>
        <v/>
      </c>
      <c r="V84" s="108">
        <f>V83/V66</f>
        <v/>
      </c>
      <c r="W84" s="108">
        <f>W83/W66</f>
        <v/>
      </c>
      <c r="X84" s="108">
        <f>X83/X66</f>
        <v/>
      </c>
      <c r="Y84" s="108">
        <f>Y83/Y66</f>
        <v/>
      </c>
      <c r="Z84" s="109">
        <f>Z83/Z66</f>
        <v/>
      </c>
    </row>
    <row r="85">
      <c r="C85" s="60" t="n"/>
      <c r="N85" s="61" t="n"/>
      <c r="Z85" s="61" t="n"/>
    </row>
    <row r="86">
      <c r="A86" s="102" t="inlineStr">
        <is>
          <t>Margins</t>
        </is>
      </c>
      <c r="B86" s="45" t="n"/>
      <c r="C86" s="60" t="n"/>
      <c r="N86" s="61" t="n"/>
      <c r="Z86" s="61" t="n"/>
    </row>
    <row r="87">
      <c r="A87" s="94" t="n"/>
      <c r="B87" s="94" t="inlineStr">
        <is>
          <t>Earning Before Interest &amp; Tax</t>
        </is>
      </c>
      <c r="C87" s="93">
        <f>C74-C77-C80-C83</f>
        <v/>
      </c>
      <c r="D87" s="94">
        <f>D74-D77-D80-D83</f>
        <v/>
      </c>
      <c r="E87" s="94">
        <f>E74-E77-E80-E83</f>
        <v/>
      </c>
      <c r="F87" s="94">
        <f>F74-F77-F80-F83</f>
        <v/>
      </c>
      <c r="G87" s="94">
        <f>G74-G77-G80-G83</f>
        <v/>
      </c>
      <c r="H87" s="94">
        <f>H74-H77-H80-H83</f>
        <v/>
      </c>
      <c r="I87" s="94">
        <f>I74-I77-I80-I83</f>
        <v/>
      </c>
      <c r="J87" s="94">
        <f>J74-J77-J80-J83</f>
        <v/>
      </c>
      <c r="K87" s="94">
        <f>K74-K77-K80-K83</f>
        <v/>
      </c>
      <c r="L87" s="94">
        <f>L74-L77-L80-L83</f>
        <v/>
      </c>
      <c r="M87" s="94">
        <f>M74-M77-M80-M83</f>
        <v/>
      </c>
      <c r="N87" s="94">
        <f>N74-N77-N80-N83</f>
        <v/>
      </c>
      <c r="O87" s="93">
        <f>O74-O77-O80-O83</f>
        <v/>
      </c>
      <c r="P87" s="94">
        <f>P74-P77-P80-P83</f>
        <v/>
      </c>
      <c r="Q87" s="94">
        <f>Q74-Q77-Q80-Q83</f>
        <v/>
      </c>
      <c r="R87" s="94">
        <f>R74-R77-R80-R83</f>
        <v/>
      </c>
      <c r="S87" s="94">
        <f>S74-S77-S80-S83</f>
        <v/>
      </c>
      <c r="T87" s="94">
        <f>T74-T77-T80-T83</f>
        <v/>
      </c>
      <c r="U87" s="94">
        <f>U74-U77-U80-U83</f>
        <v/>
      </c>
      <c r="V87" s="94">
        <f>V74-V77-V80-V83</f>
        <v/>
      </c>
      <c r="W87" s="94">
        <f>W74-W77-W80-W83</f>
        <v/>
      </c>
      <c r="X87" s="94">
        <f>X74-X77-X80-X83</f>
        <v/>
      </c>
      <c r="Y87" s="94">
        <f>Y74-Y77-Y80-Y83</f>
        <v/>
      </c>
      <c r="Z87" s="94">
        <f>Z74-Z77-Z80-Z83</f>
        <v/>
      </c>
    </row>
    <row r="88">
      <c r="A88" s="110" t="n"/>
      <c r="B88" s="110" t="inlineStr">
        <is>
          <t>EBIT Margin</t>
        </is>
      </c>
      <c r="C88" s="107">
        <f>C87/C66</f>
        <v/>
      </c>
      <c r="D88" s="108">
        <f>D87/D66</f>
        <v/>
      </c>
      <c r="E88" s="108">
        <f>E87/E66</f>
        <v/>
      </c>
      <c r="F88" s="108">
        <f>F87/F66</f>
        <v/>
      </c>
      <c r="G88" s="108">
        <f>G87/G66</f>
        <v/>
      </c>
      <c r="H88" s="108">
        <f>H87/H66</f>
        <v/>
      </c>
      <c r="I88" s="108">
        <f>I87/I66</f>
        <v/>
      </c>
      <c r="J88" s="108">
        <f>J87/J66</f>
        <v/>
      </c>
      <c r="K88" s="108">
        <f>K87/K66</f>
        <v/>
      </c>
      <c r="L88" s="108">
        <f>L87/L66</f>
        <v/>
      </c>
      <c r="M88" s="108">
        <f>M87/M66</f>
        <v/>
      </c>
      <c r="N88" s="109">
        <f>N87/N66</f>
        <v/>
      </c>
      <c r="O88" s="108">
        <f>O87/O66</f>
        <v/>
      </c>
      <c r="P88" s="108">
        <f>P87/P66</f>
        <v/>
      </c>
      <c r="Q88" s="108">
        <f>Q87/Q66</f>
        <v/>
      </c>
      <c r="R88" s="108">
        <f>R87/R66</f>
        <v/>
      </c>
      <c r="S88" s="108">
        <f>S87/S66</f>
        <v/>
      </c>
      <c r="T88" s="108">
        <f>T87/T66</f>
        <v/>
      </c>
      <c r="U88" s="108">
        <f>U87/U66</f>
        <v/>
      </c>
      <c r="V88" s="108">
        <f>V87/V66</f>
        <v/>
      </c>
      <c r="W88" s="108">
        <f>W87/W66</f>
        <v/>
      </c>
      <c r="X88" s="108">
        <f>X87/X66</f>
        <v/>
      </c>
      <c r="Y88" s="108">
        <f>Y87/Y66</f>
        <v/>
      </c>
      <c r="Z88" s="109">
        <f>Z87/Z66</f>
        <v/>
      </c>
    </row>
    <row r="89">
      <c r="B89" s="45" t="n"/>
      <c r="C89" s="60" t="n"/>
      <c r="N89" s="61" t="n"/>
      <c r="Z89" s="61" t="n"/>
    </row>
    <row r="90">
      <c r="C90" s="60" t="n"/>
      <c r="N90" s="61" t="n"/>
      <c r="O90" s="60" t="n"/>
      <c r="Z90" s="61" t="n"/>
    </row>
    <row r="91">
      <c r="C91" s="60" t="n"/>
      <c r="N91" s="61" t="n"/>
      <c r="O91" s="60" t="n"/>
      <c r="Z91" s="61" t="n"/>
    </row>
    <row r="92">
      <c r="C92" s="60" t="n"/>
      <c r="N92" s="61" t="n"/>
      <c r="O92" s="60" t="n"/>
      <c r="Z92" s="61" t="n"/>
    </row>
    <row r="93">
      <c r="C93" s="60" t="n"/>
      <c r="N93" s="61" t="n"/>
      <c r="O93" s="60" t="n"/>
      <c r="Z93" s="61" t="n"/>
    </row>
    <row r="94">
      <c r="C94" s="60" t="n"/>
      <c r="N94" s="61" t="n"/>
      <c r="O94" s="60" t="n"/>
      <c r="Z94" s="61" t="n"/>
    </row>
    <row r="95">
      <c r="C95" s="60" t="n"/>
      <c r="N95" s="61" t="n"/>
      <c r="O95" s="60" t="n"/>
      <c r="Z95" s="61" t="n"/>
    </row>
    <row r="96">
      <c r="C96" s="60" t="n"/>
      <c r="N96" s="61" t="n"/>
      <c r="O96" s="60" t="n"/>
      <c r="Z96" s="61" t="n"/>
    </row>
    <row r="97">
      <c r="C97" s="60" t="n"/>
      <c r="N97" s="61" t="n"/>
      <c r="O97" s="60" t="n"/>
      <c r="Z97" s="61" t="n"/>
    </row>
    <row r="98">
      <c r="C98" s="60" t="n"/>
      <c r="N98" s="61" t="n"/>
      <c r="O98" s="60" t="n"/>
      <c r="Z98" s="61" t="n"/>
    </row>
    <row r="99">
      <c r="C99" s="60" t="n"/>
      <c r="N99" s="61" t="n"/>
      <c r="O99" s="60" t="n"/>
      <c r="Z99" s="61" t="n"/>
    </row>
    <row r="100">
      <c r="C100" s="60" t="n"/>
      <c r="N100" s="61" t="n"/>
      <c r="O100" s="60" t="n"/>
      <c r="Z100" s="61" t="n"/>
    </row>
    <row r="101">
      <c r="C101" s="60" t="n"/>
      <c r="N101" s="61" t="n"/>
      <c r="O101" s="60" t="n"/>
      <c r="Z101" s="61" t="n"/>
    </row>
    <row r="102">
      <c r="C102" s="60" t="n"/>
      <c r="N102" s="61" t="n"/>
      <c r="O102" s="60" t="n"/>
      <c r="Z102" s="61" t="n"/>
    </row>
    <row r="103">
      <c r="C103" s="60" t="n"/>
      <c r="N103" s="61" t="n"/>
      <c r="O103" s="60" t="n"/>
      <c r="Z103" s="61" t="n"/>
    </row>
    <row r="104">
      <c r="C104" s="60" t="n"/>
      <c r="N104" s="61" t="n"/>
      <c r="O104" s="60" t="n"/>
      <c r="Z104" s="61" t="n"/>
    </row>
    <row r="105">
      <c r="C105" s="60" t="n"/>
      <c r="N105" s="61" t="n"/>
      <c r="O105" s="60" t="n"/>
      <c r="Z105" s="61" t="n"/>
    </row>
    <row r="106">
      <c r="C106" s="60" t="n"/>
      <c r="N106" s="61" t="n"/>
      <c r="O106" s="60" t="n"/>
      <c r="Z106" s="61" t="n"/>
    </row>
    <row r="107">
      <c r="C107" s="60" t="n"/>
      <c r="N107" s="61" t="n"/>
      <c r="O107" s="60" t="n"/>
      <c r="Z107" s="61" t="n"/>
    </row>
    <row r="108">
      <c r="C108" s="60" t="n"/>
      <c r="N108" s="61" t="n"/>
      <c r="O108" s="60" t="n"/>
      <c r="Z108" s="61" t="n"/>
    </row>
    <row r="109">
      <c r="C109" s="60" t="n"/>
      <c r="N109" s="61" t="n"/>
      <c r="O109" s="60" t="n"/>
      <c r="Z109" s="61" t="n"/>
    </row>
    <row r="110">
      <c r="C110" s="60" t="n"/>
      <c r="N110" s="61" t="n"/>
      <c r="O110" s="60" t="n"/>
      <c r="Z110" s="61" t="n"/>
    </row>
    <row r="111">
      <c r="C111" s="60" t="n"/>
      <c r="N111" s="61" t="n"/>
      <c r="O111" s="60" t="n"/>
      <c r="Z111" s="61" t="n"/>
    </row>
    <row r="112">
      <c r="C112" s="60" t="n"/>
      <c r="N112" s="61" t="n"/>
      <c r="O112" s="60" t="n"/>
      <c r="Z112" s="61" t="n"/>
    </row>
    <row r="113">
      <c r="C113" s="60" t="n"/>
      <c r="N113" s="61" t="n"/>
      <c r="O113" s="60" t="n"/>
      <c r="Z113" s="61" t="n"/>
    </row>
    <row r="114">
      <c r="C114" s="60" t="n"/>
      <c r="N114" s="61" t="n"/>
      <c r="O114" s="60" t="n"/>
      <c r="Z114" s="61" t="n"/>
    </row>
    <row r="115">
      <c r="C115" s="60" t="n"/>
      <c r="N115" s="61" t="n"/>
      <c r="O115" s="60" t="n"/>
      <c r="Z115" s="61" t="n"/>
    </row>
    <row r="116">
      <c r="C116" s="60" t="n"/>
      <c r="N116" s="61" t="n"/>
      <c r="O116" s="60" t="n"/>
      <c r="Z116" s="61" t="n"/>
    </row>
    <row r="117">
      <c r="C117" s="60" t="n"/>
      <c r="N117" s="61" t="n"/>
      <c r="O117" s="60" t="n"/>
      <c r="Z117" s="61" t="n"/>
    </row>
    <row r="118">
      <c r="C118" s="60" t="n"/>
      <c r="N118" s="61" t="n"/>
      <c r="O118" s="60" t="n"/>
      <c r="Z118" s="61" t="n"/>
    </row>
    <row r="119">
      <c r="C119" s="60" t="n"/>
      <c r="N119" s="61" t="n"/>
      <c r="O119" s="60" t="n"/>
      <c r="Z119" s="61" t="n"/>
    </row>
    <row r="120">
      <c r="C120" s="60" t="n"/>
      <c r="N120" s="61" t="n"/>
      <c r="O120" s="60" t="n"/>
      <c r="Z120" s="61" t="n"/>
    </row>
    <row r="121">
      <c r="C121" s="60" t="n"/>
      <c r="N121" s="61" t="n"/>
      <c r="O121" s="60" t="n"/>
      <c r="Z121" s="61" t="n"/>
    </row>
    <row r="122">
      <c r="C122" s="60" t="n"/>
      <c r="N122" s="61" t="n"/>
      <c r="O122" s="60" t="n"/>
      <c r="Z122" s="61" t="n"/>
    </row>
    <row r="123">
      <c r="C123" s="60" t="n"/>
      <c r="N123" s="61" t="n"/>
      <c r="O123" s="60" t="n"/>
      <c r="Z123" s="61" t="n"/>
    </row>
    <row r="124">
      <c r="C124" s="60" t="n"/>
      <c r="N124" s="61" t="n"/>
      <c r="O124" s="60" t="n"/>
      <c r="Z124" s="61" t="n"/>
    </row>
    <row r="125">
      <c r="C125" s="60" t="n"/>
      <c r="N125" s="61" t="n"/>
      <c r="O125" s="60" t="n"/>
      <c r="Z125" s="61" t="n"/>
    </row>
    <row r="126">
      <c r="C126" s="60" t="n"/>
      <c r="N126" s="61" t="n"/>
      <c r="O126" s="60" t="n"/>
      <c r="Z126" s="61" t="n"/>
    </row>
    <row r="127">
      <c r="C127" s="60" t="n"/>
      <c r="N127" s="61" t="n"/>
      <c r="O127" s="60" t="n"/>
      <c r="Z127" s="61" t="n"/>
    </row>
    <row r="128">
      <c r="C128" s="60" t="n"/>
      <c r="N128" s="61" t="n"/>
      <c r="O128" s="60" t="n"/>
      <c r="Z128" s="61" t="n"/>
    </row>
    <row r="129">
      <c r="C129" s="60" t="n"/>
      <c r="N129" s="61" t="n"/>
      <c r="O129" s="60" t="n"/>
      <c r="Z129" s="61" t="n"/>
    </row>
    <row r="130">
      <c r="C130" s="60" t="n"/>
      <c r="N130" s="61" t="n"/>
      <c r="O130" s="60" t="n"/>
      <c r="Z130" s="61" t="n"/>
    </row>
    <row r="131">
      <c r="C131" s="60" t="n"/>
      <c r="N131" s="61" t="n"/>
      <c r="O131" s="60" t="n"/>
      <c r="Z131" s="61" t="n"/>
    </row>
    <row r="132">
      <c r="C132" s="60" t="n"/>
      <c r="N132" s="61" t="n"/>
      <c r="O132" s="60" t="n"/>
      <c r="Z132" s="61" t="n"/>
    </row>
    <row r="133">
      <c r="C133" s="60" t="n"/>
      <c r="N133" s="61" t="n"/>
      <c r="O133" s="60" t="n"/>
      <c r="Z133" s="61" t="n"/>
    </row>
    <row r="134">
      <c r="C134" s="60" t="n"/>
      <c r="N134" s="61" t="n"/>
      <c r="O134" s="60" t="n"/>
      <c r="Z134" s="61" t="n"/>
    </row>
    <row r="135">
      <c r="C135" s="60" t="n"/>
      <c r="N135" s="61" t="n"/>
      <c r="O135" s="60" t="n"/>
      <c r="Z135" s="61" t="n"/>
    </row>
    <row r="136">
      <c r="C136" s="60" t="n"/>
      <c r="N136" s="61" t="n"/>
      <c r="O136" s="60" t="n"/>
      <c r="Z136" s="61" t="n"/>
    </row>
    <row r="137">
      <c r="C137" s="60" t="n"/>
      <c r="N137" s="61" t="n"/>
      <c r="O137" s="60" t="n"/>
      <c r="Z137" s="61" t="n"/>
    </row>
    <row r="138">
      <c r="C138" s="60" t="n"/>
      <c r="N138" s="61" t="n"/>
      <c r="O138" s="60" t="n"/>
      <c r="Z138" s="61" t="n"/>
    </row>
    <row r="139">
      <c r="C139" s="60" t="n"/>
      <c r="N139" s="61" t="n"/>
      <c r="O139" s="60" t="n"/>
      <c r="Z139" s="61" t="n"/>
    </row>
    <row r="140">
      <c r="C140" s="60" t="n"/>
      <c r="N140" s="61" t="n"/>
      <c r="O140" s="60" t="n"/>
      <c r="Z140" s="61" t="n"/>
    </row>
    <row r="141">
      <c r="C141" s="60" t="n"/>
      <c r="N141" s="61" t="n"/>
      <c r="O141" s="60" t="n"/>
      <c r="Z141" s="61" t="n"/>
    </row>
    <row r="142">
      <c r="C142" s="60" t="n"/>
      <c r="N142" s="61" t="n"/>
      <c r="O142" s="60" t="n"/>
      <c r="Z142" s="61" t="n"/>
    </row>
    <row r="143">
      <c r="C143" s="60" t="n"/>
      <c r="N143" s="61" t="n"/>
      <c r="O143" s="60" t="n"/>
      <c r="Z143" s="61" t="n"/>
    </row>
    <row r="144">
      <c r="C144" s="60" t="n"/>
      <c r="N144" s="61" t="n"/>
      <c r="O144" s="60" t="n"/>
      <c r="Z144" s="61" t="n"/>
    </row>
    <row r="145">
      <c r="C145" s="60" t="n"/>
      <c r="N145" s="61" t="n"/>
      <c r="O145" s="60" t="n"/>
      <c r="Z145" s="61" t="n"/>
    </row>
    <row r="146">
      <c r="C146" s="60" t="n"/>
      <c r="N146" s="61" t="n"/>
      <c r="O146" s="60" t="n"/>
      <c r="Z146" s="61" t="n"/>
    </row>
    <row r="147">
      <c r="C147" s="60" t="n"/>
      <c r="N147" s="61" t="n"/>
      <c r="O147" s="60" t="n"/>
      <c r="Z147" s="61" t="n"/>
    </row>
    <row r="148">
      <c r="C148" s="60" t="n"/>
      <c r="N148" s="61" t="n"/>
      <c r="O148" s="60" t="n"/>
      <c r="Z148" s="61" t="n"/>
    </row>
    <row r="149">
      <c r="C149" s="60" t="n"/>
      <c r="N149" s="61" t="n"/>
      <c r="O149" s="60" t="n"/>
      <c r="Z149" s="61" t="n"/>
    </row>
    <row r="150">
      <c r="C150" s="60" t="n"/>
      <c r="N150" s="61" t="n"/>
      <c r="O150" s="60" t="n"/>
      <c r="Z150" s="61" t="n"/>
    </row>
    <row r="151">
      <c r="C151" s="60" t="n"/>
      <c r="N151" s="61" t="n"/>
      <c r="O151" s="60" t="n"/>
      <c r="Z151" s="61" t="n"/>
    </row>
    <row r="152">
      <c r="C152" s="60" t="n"/>
      <c r="N152" s="61" t="n"/>
      <c r="O152" s="60" t="n"/>
      <c r="Z152" s="61" t="n"/>
    </row>
    <row r="153">
      <c r="C153" s="60" t="n"/>
      <c r="N153" s="61" t="n"/>
      <c r="O153" s="60" t="n"/>
      <c r="Z153" s="61" t="n"/>
    </row>
    <row r="154">
      <c r="C154" s="60" t="n"/>
      <c r="N154" s="61" t="n"/>
      <c r="O154" s="60" t="n"/>
      <c r="Z154" s="61" t="n"/>
    </row>
    <row r="155">
      <c r="C155" s="60" t="n"/>
      <c r="N155" s="61" t="n"/>
      <c r="O155" s="60" t="n"/>
      <c r="Z155" s="61" t="n"/>
    </row>
    <row r="156">
      <c r="C156" s="60" t="n"/>
      <c r="N156" s="61" t="n"/>
      <c r="O156" s="60" t="n"/>
      <c r="Z156" s="61" t="n"/>
    </row>
    <row r="157">
      <c r="C157" s="60" t="n"/>
      <c r="N157" s="61" t="n"/>
      <c r="O157" s="60" t="n"/>
      <c r="Z157" s="61" t="n"/>
    </row>
    <row r="158">
      <c r="C158" s="60" t="n"/>
      <c r="N158" s="61" t="n"/>
      <c r="O158" s="60" t="n"/>
      <c r="Z158" s="61" t="n"/>
    </row>
    <row r="159">
      <c r="C159" s="60" t="n"/>
      <c r="N159" s="61" t="n"/>
      <c r="O159" s="60" t="n"/>
      <c r="Z159" s="61" t="n"/>
    </row>
    <row r="160">
      <c r="C160" s="60" t="n"/>
      <c r="N160" s="61" t="n"/>
      <c r="O160" s="60" t="n"/>
      <c r="Z160" s="61" t="n"/>
    </row>
    <row r="161">
      <c r="C161" s="60" t="n"/>
      <c r="N161" s="61" t="n"/>
      <c r="O161" s="60" t="n"/>
      <c r="Z161" s="61" t="n"/>
    </row>
    <row r="162">
      <c r="C162" s="60" t="n"/>
      <c r="N162" s="61" t="n"/>
      <c r="O162" s="60" t="n"/>
      <c r="Z162" s="61" t="n"/>
    </row>
    <row r="163">
      <c r="C163" s="60" t="n"/>
      <c r="N163" s="61" t="n"/>
      <c r="O163" s="60" t="n"/>
      <c r="Z163" s="61" t="n"/>
    </row>
    <row r="164">
      <c r="C164" s="60" t="n"/>
      <c r="N164" s="61" t="n"/>
      <c r="O164" s="60" t="n"/>
      <c r="Z164" s="61" t="n"/>
    </row>
    <row r="165">
      <c r="C165" s="60" t="n"/>
      <c r="N165" s="61" t="n"/>
      <c r="O165" s="60" t="n"/>
      <c r="Z165" s="61" t="n"/>
    </row>
    <row r="166">
      <c r="C166" s="60" t="n"/>
      <c r="N166" s="61" t="n"/>
      <c r="O166" s="60" t="n"/>
      <c r="Z166" s="61" t="n"/>
    </row>
    <row r="167">
      <c r="C167" s="60" t="n"/>
      <c r="N167" s="61" t="n"/>
      <c r="O167" s="60" t="n"/>
      <c r="Z167" s="61" t="n"/>
    </row>
    <row r="168">
      <c r="C168" s="60" t="n"/>
      <c r="N168" s="61" t="n"/>
      <c r="O168" s="60" t="n"/>
      <c r="Z168" s="61" t="n"/>
    </row>
    <row r="169">
      <c r="C169" s="60" t="n"/>
      <c r="N169" s="61" t="n"/>
      <c r="O169" s="60" t="n"/>
      <c r="Z169" s="61" t="n"/>
    </row>
    <row r="170">
      <c r="C170" s="60" t="n"/>
      <c r="N170" s="61" t="n"/>
      <c r="O170" s="60" t="n"/>
      <c r="Z170" s="61" t="n"/>
    </row>
    <row r="171">
      <c r="C171" s="60" t="n"/>
      <c r="N171" s="61" t="n"/>
      <c r="O171" s="60" t="n"/>
      <c r="Z171" s="61" t="n"/>
    </row>
    <row r="172">
      <c r="C172" s="60" t="n"/>
      <c r="N172" s="61" t="n"/>
      <c r="O172" s="60" t="n"/>
      <c r="Z172" s="61" t="n"/>
    </row>
    <row r="173">
      <c r="C173" s="60" t="n"/>
      <c r="N173" s="61" t="n"/>
      <c r="O173" s="60" t="n"/>
      <c r="Z173" s="61" t="n"/>
    </row>
    <row r="174">
      <c r="C174" s="60" t="n"/>
      <c r="N174" s="61" t="n"/>
      <c r="O174" s="60" t="n"/>
      <c r="Z174" s="61" t="n"/>
    </row>
    <row r="175">
      <c r="C175" s="60" t="n"/>
      <c r="N175" s="61" t="n"/>
      <c r="O175" s="60" t="n"/>
      <c r="Z175" s="61" t="n"/>
    </row>
    <row r="176">
      <c r="C176" s="60" t="n"/>
      <c r="N176" s="61" t="n"/>
      <c r="O176" s="60" t="n"/>
      <c r="Z176" s="61" t="n"/>
    </row>
    <row r="177">
      <c r="C177" s="60" t="n"/>
      <c r="N177" s="61" t="n"/>
      <c r="O177" s="60" t="n"/>
      <c r="Z177" s="61" t="n"/>
    </row>
    <row r="178">
      <c r="C178" s="60" t="n"/>
      <c r="N178" s="61" t="n"/>
      <c r="O178" s="60" t="n"/>
      <c r="Z178" s="61" t="n"/>
    </row>
    <row r="179">
      <c r="C179" s="60" t="n"/>
      <c r="N179" s="61" t="n"/>
      <c r="O179" s="60" t="n"/>
      <c r="Z179" s="61" t="n"/>
    </row>
    <row r="180">
      <c r="C180" s="60" t="n"/>
      <c r="N180" s="61" t="n"/>
      <c r="O180" s="60" t="n"/>
      <c r="Z180" s="61" t="n"/>
    </row>
    <row r="181">
      <c r="C181" s="60" t="n"/>
      <c r="N181" s="61" t="n"/>
      <c r="O181" s="60" t="n"/>
      <c r="Z181" s="61" t="n"/>
    </row>
    <row r="182">
      <c r="C182" s="60" t="n"/>
      <c r="N182" s="61" t="n"/>
      <c r="O182" s="60" t="n"/>
      <c r="Z182" s="61" t="n"/>
    </row>
    <row r="183">
      <c r="C183" s="60" t="n"/>
      <c r="N183" s="61" t="n"/>
      <c r="O183" s="60" t="n"/>
      <c r="Z183" s="61" t="n"/>
    </row>
    <row r="184">
      <c r="C184" s="60" t="n"/>
      <c r="N184" s="61" t="n"/>
      <c r="O184" s="60" t="n"/>
      <c r="Z184" s="61" t="n"/>
    </row>
    <row r="185">
      <c r="C185" s="60" t="n"/>
      <c r="N185" s="61" t="n"/>
      <c r="O185" s="60" t="n"/>
      <c r="Z185" s="61" t="n"/>
    </row>
    <row r="186">
      <c r="C186" s="60" t="n"/>
      <c r="N186" s="61" t="n"/>
      <c r="O186" s="60" t="n"/>
      <c r="Z186" s="61" t="n"/>
    </row>
    <row r="187">
      <c r="C187" s="60" t="n"/>
      <c r="N187" s="61" t="n"/>
      <c r="O187" s="60" t="n"/>
      <c r="Z187" s="61" t="n"/>
    </row>
    <row r="188">
      <c r="C188" s="60" t="n"/>
      <c r="N188" s="61" t="n"/>
      <c r="O188" s="60" t="n"/>
      <c r="Z188" s="61" t="n"/>
    </row>
    <row r="189">
      <c r="C189" s="60" t="n"/>
      <c r="N189" s="61" t="n"/>
      <c r="O189" s="60" t="n"/>
      <c r="Z189" s="61" t="n"/>
    </row>
    <row r="190">
      <c r="C190" s="60" t="n"/>
      <c r="N190" s="61" t="n"/>
      <c r="O190" s="60" t="n"/>
      <c r="Z190" s="61" t="n"/>
    </row>
    <row r="191">
      <c r="C191" s="60" t="n"/>
      <c r="N191" s="61" t="n"/>
      <c r="O191" s="60" t="n"/>
      <c r="Z191" s="61" t="n"/>
    </row>
    <row r="192">
      <c r="C192" s="60" t="n"/>
      <c r="N192" s="61" t="n"/>
      <c r="O192" s="60" t="n"/>
      <c r="Z192" s="61" t="n"/>
    </row>
    <row r="193">
      <c r="C193" s="60" t="n"/>
      <c r="N193" s="61" t="n"/>
      <c r="O193" s="60" t="n"/>
      <c r="Z193" s="61" t="n"/>
    </row>
    <row r="194">
      <c r="C194" s="60" t="n"/>
      <c r="N194" s="61" t="n"/>
      <c r="O194" s="60" t="n"/>
      <c r="Z194" s="61" t="n"/>
    </row>
    <row r="195">
      <c r="C195" s="60" t="n"/>
      <c r="N195" s="61" t="n"/>
      <c r="O195" s="60" t="n"/>
      <c r="Z195" s="61" t="n"/>
    </row>
    <row r="196">
      <c r="C196" s="60" t="n"/>
      <c r="N196" s="61" t="n"/>
      <c r="O196" s="60" t="n"/>
      <c r="Z196" s="61" t="n"/>
    </row>
    <row r="197">
      <c r="C197" s="60" t="n"/>
      <c r="N197" s="61" t="n"/>
      <c r="O197" s="60" t="n"/>
      <c r="Z197" s="61" t="n"/>
    </row>
    <row r="198">
      <c r="C198" s="60" t="n"/>
      <c r="N198" s="61" t="n"/>
      <c r="O198" s="60" t="n"/>
      <c r="Z198" s="61" t="n"/>
    </row>
    <row r="199">
      <c r="C199" s="60" t="n"/>
      <c r="N199" s="61" t="n"/>
      <c r="O199" s="60" t="n"/>
      <c r="Z199" s="61" t="n"/>
    </row>
    <row r="200">
      <c r="C200" s="60" t="n"/>
      <c r="N200" s="61" t="n"/>
      <c r="O200" s="60" t="n"/>
      <c r="Z200" s="61" t="n"/>
    </row>
    <row r="201">
      <c r="C201" s="60" t="n"/>
      <c r="N201" s="61" t="n"/>
      <c r="O201" s="60" t="n"/>
      <c r="Z201" s="61" t="n"/>
    </row>
    <row r="202">
      <c r="C202" s="60" t="n"/>
      <c r="N202" s="61" t="n"/>
      <c r="O202" s="60" t="n"/>
      <c r="Z202" s="61" t="n"/>
    </row>
    <row r="203">
      <c r="C203" s="60" t="n"/>
      <c r="N203" s="61" t="n"/>
      <c r="O203" s="60" t="n"/>
      <c r="Z203" s="61" t="n"/>
    </row>
    <row r="204">
      <c r="C204" s="60" t="n"/>
      <c r="N204" s="61" t="n"/>
      <c r="O204" s="60" t="n"/>
      <c r="Z204" s="61" t="n"/>
    </row>
    <row r="205">
      <c r="C205" s="60" t="n"/>
      <c r="N205" s="61" t="n"/>
      <c r="O205" s="60" t="n"/>
      <c r="Z205" s="61" t="n"/>
    </row>
    <row r="206">
      <c r="C206" s="60" t="n"/>
      <c r="N206" s="61" t="n"/>
      <c r="O206" s="60" t="n"/>
      <c r="Z206" s="61" t="n"/>
    </row>
    <row r="207">
      <c r="C207" s="60" t="n"/>
      <c r="N207" s="61" t="n"/>
      <c r="O207" s="60" t="n"/>
      <c r="Z207" s="61" t="n"/>
    </row>
    <row r="208">
      <c r="C208" s="60" t="n"/>
      <c r="N208" s="61" t="n"/>
      <c r="O208" s="60" t="n"/>
      <c r="Z208" s="61" t="n"/>
    </row>
    <row r="209">
      <c r="C209" s="60" t="n"/>
      <c r="N209" s="61" t="n"/>
      <c r="O209" s="60" t="n"/>
      <c r="Z209" s="61" t="n"/>
    </row>
    <row r="210">
      <c r="C210" s="60" t="n"/>
      <c r="N210" s="61" t="n"/>
      <c r="O210" s="60" t="n"/>
      <c r="Z210" s="61" t="n"/>
    </row>
    <row r="211">
      <c r="C211" s="60" t="n"/>
      <c r="N211" s="61" t="n"/>
      <c r="O211" s="60" t="n"/>
      <c r="Z211" s="61" t="n"/>
    </row>
    <row r="212">
      <c r="C212" s="60" t="n"/>
      <c r="N212" s="61" t="n"/>
      <c r="O212" s="60" t="n"/>
      <c r="Z212" s="61" t="n"/>
    </row>
    <row r="213">
      <c r="C213" s="60" t="n"/>
      <c r="N213" s="61" t="n"/>
      <c r="O213" s="60" t="n"/>
      <c r="Z213" s="61" t="n"/>
    </row>
    <row r="214">
      <c r="C214" s="60" t="n"/>
      <c r="N214" s="61" t="n"/>
      <c r="O214" s="60" t="n"/>
      <c r="Z214" s="61" t="n"/>
    </row>
    <row r="215">
      <c r="C215" s="60" t="n"/>
      <c r="N215" s="61" t="n"/>
      <c r="O215" s="60" t="n"/>
      <c r="Z215" s="61" t="n"/>
    </row>
    <row r="216">
      <c r="C216" s="60" t="n"/>
      <c r="N216" s="61" t="n"/>
      <c r="O216" s="60" t="n"/>
      <c r="Z216" s="61" t="n"/>
    </row>
    <row r="217">
      <c r="C217" s="60" t="n"/>
      <c r="N217" s="61" t="n"/>
      <c r="O217" s="60" t="n"/>
      <c r="Z217" s="61" t="n"/>
    </row>
    <row r="218">
      <c r="C218" s="60" t="n"/>
      <c r="N218" s="61" t="n"/>
      <c r="O218" s="60" t="n"/>
      <c r="Z218" s="61" t="n"/>
    </row>
    <row r="219">
      <c r="C219" s="60" t="n"/>
      <c r="N219" s="61" t="n"/>
      <c r="O219" s="60" t="n"/>
      <c r="Z219" s="61" t="n"/>
    </row>
    <row r="220">
      <c r="C220" s="60" t="n"/>
      <c r="N220" s="61" t="n"/>
      <c r="O220" s="60" t="n"/>
      <c r="Z220" s="61" t="n"/>
    </row>
    <row r="221">
      <c r="C221" s="60" t="n"/>
      <c r="N221" s="61" t="n"/>
      <c r="O221" s="60" t="n"/>
      <c r="Z221" s="61" t="n"/>
    </row>
    <row r="222">
      <c r="C222" s="60" t="n"/>
      <c r="N222" s="61" t="n"/>
      <c r="O222" s="60" t="n"/>
      <c r="Z222" s="61" t="n"/>
    </row>
    <row r="223">
      <c r="C223" s="60" t="n"/>
      <c r="N223" s="61" t="n"/>
      <c r="O223" s="60" t="n"/>
      <c r="Z223" s="61" t="n"/>
    </row>
    <row r="224">
      <c r="C224" s="60" t="n"/>
      <c r="N224" s="61" t="n"/>
      <c r="O224" s="60" t="n"/>
      <c r="Z224" s="61" t="n"/>
    </row>
    <row r="225">
      <c r="C225" s="60" t="n"/>
      <c r="N225" s="61" t="n"/>
      <c r="O225" s="60" t="n"/>
      <c r="Z225" s="61" t="n"/>
    </row>
    <row r="226">
      <c r="C226" s="60" t="n"/>
      <c r="N226" s="61" t="n"/>
      <c r="O226" s="60" t="n"/>
      <c r="Z226" s="61" t="n"/>
    </row>
    <row r="227">
      <c r="C227" s="60" t="n"/>
      <c r="N227" s="61" t="n"/>
      <c r="O227" s="60" t="n"/>
      <c r="Z227" s="61" t="n"/>
    </row>
    <row r="228">
      <c r="C228" s="60" t="n"/>
      <c r="N228" s="61" t="n"/>
      <c r="O228" s="60" t="n"/>
      <c r="Z228" s="61" t="n"/>
    </row>
    <row r="229">
      <c r="C229" s="60" t="n"/>
      <c r="N229" s="61" t="n"/>
      <c r="O229" s="60" t="n"/>
      <c r="Z229" s="61" t="n"/>
    </row>
    <row r="230">
      <c r="C230" s="60" t="n"/>
      <c r="N230" s="61" t="n"/>
      <c r="O230" s="60" t="n"/>
      <c r="Z230" s="61" t="n"/>
    </row>
    <row r="231">
      <c r="C231" s="60" t="n"/>
      <c r="N231" s="61" t="n"/>
      <c r="O231" s="60" t="n"/>
      <c r="Z231" s="61" t="n"/>
    </row>
    <row r="232">
      <c r="C232" s="60" t="n"/>
      <c r="N232" s="61" t="n"/>
      <c r="O232" s="60" t="n"/>
      <c r="Z232" s="61" t="n"/>
    </row>
    <row r="233">
      <c r="C233" s="60" t="n"/>
      <c r="N233" s="61" t="n"/>
      <c r="O233" s="60" t="n"/>
      <c r="Z233" s="61" t="n"/>
    </row>
    <row r="234">
      <c r="C234" s="60" t="n"/>
      <c r="N234" s="61" t="n"/>
      <c r="O234" s="60" t="n"/>
      <c r="Z234" s="61" t="n"/>
    </row>
    <row r="235">
      <c r="C235" s="60" t="n"/>
      <c r="N235" s="61" t="n"/>
      <c r="O235" s="60" t="n"/>
      <c r="Z235" s="61" t="n"/>
    </row>
    <row r="236">
      <c r="C236" s="60" t="n"/>
      <c r="N236" s="61" t="n"/>
      <c r="O236" s="60" t="n"/>
      <c r="Z236" s="61" t="n"/>
    </row>
    <row r="237">
      <c r="C237" s="60" t="n"/>
      <c r="N237" s="61" t="n"/>
      <c r="O237" s="60" t="n"/>
      <c r="Z237" s="61" t="n"/>
    </row>
    <row r="238">
      <c r="C238" s="60" t="n"/>
      <c r="N238" s="61" t="n"/>
      <c r="O238" s="60" t="n"/>
      <c r="Z238" s="61" t="n"/>
    </row>
    <row r="239">
      <c r="C239" s="60" t="n"/>
      <c r="N239" s="61" t="n"/>
      <c r="O239" s="60" t="n"/>
      <c r="Z239" s="61" t="n"/>
    </row>
    <row r="240">
      <c r="C240" s="60" t="n"/>
      <c r="N240" s="61" t="n"/>
      <c r="O240" s="60" t="n"/>
      <c r="Z240" s="61" t="n"/>
    </row>
    <row r="241">
      <c r="C241" s="60" t="n"/>
      <c r="N241" s="61" t="n"/>
      <c r="O241" s="60" t="n"/>
      <c r="Z241" s="61" t="n"/>
    </row>
    <row r="242">
      <c r="C242" s="60" t="n"/>
      <c r="N242" s="61" t="n"/>
      <c r="O242" s="60" t="n"/>
      <c r="Z242" s="61" t="n"/>
    </row>
    <row r="243">
      <c r="C243" s="60" t="n"/>
      <c r="N243" s="61" t="n"/>
      <c r="O243" s="60" t="n"/>
      <c r="Z243" s="61" t="n"/>
    </row>
    <row r="244">
      <c r="C244" s="60" t="n"/>
      <c r="N244" s="61" t="n"/>
      <c r="O244" s="60" t="n"/>
      <c r="Z244" s="61" t="n"/>
    </row>
    <row r="245">
      <c r="C245" s="60" t="n"/>
      <c r="N245" s="61" t="n"/>
      <c r="O245" s="60" t="n"/>
      <c r="Z245" s="61" t="n"/>
    </row>
    <row r="246">
      <c r="C246" s="60" t="n"/>
      <c r="N246" s="61" t="n"/>
      <c r="O246" s="60" t="n"/>
      <c r="Z246" s="61" t="n"/>
    </row>
    <row r="247">
      <c r="C247" s="60" t="n"/>
      <c r="N247" s="61" t="n"/>
      <c r="O247" s="60" t="n"/>
      <c r="Z247" s="61" t="n"/>
    </row>
    <row r="248">
      <c r="C248" s="60" t="n"/>
      <c r="N248" s="61" t="n"/>
      <c r="O248" s="60" t="n"/>
      <c r="Z248" s="61" t="n"/>
    </row>
    <row r="249">
      <c r="C249" s="60" t="n"/>
      <c r="N249" s="61" t="n"/>
      <c r="O249" s="60" t="n"/>
      <c r="Z249" s="61" t="n"/>
    </row>
    <row r="250">
      <c r="C250" s="60" t="n"/>
      <c r="N250" s="61" t="n"/>
      <c r="O250" s="60" t="n"/>
      <c r="Z250" s="61" t="n"/>
    </row>
    <row r="251">
      <c r="C251" s="60" t="n"/>
      <c r="N251" s="61" t="n"/>
      <c r="O251" s="60" t="n"/>
      <c r="Z251" s="61" t="n"/>
    </row>
    <row r="252">
      <c r="C252" s="60" t="n"/>
      <c r="N252" s="61" t="n"/>
      <c r="O252" s="60" t="n"/>
      <c r="Z252" s="61" t="n"/>
    </row>
    <row r="253">
      <c r="C253" s="60" t="n"/>
      <c r="N253" s="61" t="n"/>
      <c r="O253" s="60" t="n"/>
      <c r="Z253" s="61" t="n"/>
    </row>
    <row r="254">
      <c r="C254" s="60" t="n"/>
      <c r="N254" s="61" t="n"/>
      <c r="O254" s="60" t="n"/>
      <c r="Z254" s="61" t="n"/>
    </row>
    <row r="255">
      <c r="C255" s="60" t="n"/>
      <c r="N255" s="61" t="n"/>
      <c r="O255" s="60" t="n"/>
      <c r="Z255" s="61" t="n"/>
    </row>
    <row r="256">
      <c r="C256" s="60" t="n"/>
      <c r="N256" s="61" t="n"/>
      <c r="O256" s="60" t="n"/>
      <c r="Z256" s="61" t="n"/>
    </row>
    <row r="257">
      <c r="C257" s="60" t="n"/>
      <c r="N257" s="61" t="n"/>
      <c r="O257" s="60" t="n"/>
      <c r="Z257" s="61" t="n"/>
    </row>
    <row r="258">
      <c r="C258" s="60" t="n"/>
      <c r="N258" s="61" t="n"/>
      <c r="O258" s="60" t="n"/>
      <c r="Z258" s="61" t="n"/>
    </row>
    <row r="259">
      <c r="C259" s="60" t="n"/>
      <c r="N259" s="61" t="n"/>
      <c r="O259" s="60" t="n"/>
      <c r="Z259" s="61" t="n"/>
    </row>
    <row r="260">
      <c r="C260" s="60" t="n"/>
      <c r="N260" s="61" t="n"/>
      <c r="O260" s="60" t="n"/>
      <c r="Z260" s="61" t="n"/>
    </row>
    <row r="261">
      <c r="C261" s="60" t="n"/>
      <c r="N261" s="61" t="n"/>
      <c r="O261" s="60" t="n"/>
      <c r="Z261" s="61" t="n"/>
    </row>
    <row r="262">
      <c r="C262" s="60" t="n"/>
      <c r="N262" s="61" t="n"/>
      <c r="O262" s="60" t="n"/>
      <c r="Z262" s="61" t="n"/>
    </row>
    <row r="263">
      <c r="C263" s="60" t="n"/>
      <c r="N263" s="61" t="n"/>
      <c r="O263" s="60" t="n"/>
      <c r="Z263" s="61" t="n"/>
    </row>
    <row r="264">
      <c r="C264" s="60" t="n"/>
      <c r="N264" s="61" t="n"/>
      <c r="O264" s="60" t="n"/>
      <c r="Z264" s="61" t="n"/>
    </row>
    <row r="265">
      <c r="C265" s="60" t="n"/>
      <c r="N265" s="61" t="n"/>
      <c r="O265" s="60" t="n"/>
      <c r="Z265" s="61" t="n"/>
    </row>
    <row r="266">
      <c r="C266" s="60" t="n"/>
      <c r="N266" s="61" t="n"/>
      <c r="O266" s="60" t="n"/>
      <c r="Z266" s="61" t="n"/>
    </row>
    <row r="267">
      <c r="C267" s="60" t="n"/>
      <c r="N267" s="61" t="n"/>
      <c r="O267" s="60" t="n"/>
      <c r="Z267" s="61" t="n"/>
    </row>
    <row r="268">
      <c r="C268" s="60" t="n"/>
      <c r="N268" s="61" t="n"/>
      <c r="O268" s="60" t="n"/>
      <c r="Z268" s="61" t="n"/>
    </row>
    <row r="269">
      <c r="C269" s="60" t="n"/>
      <c r="N269" s="61" t="n"/>
      <c r="O269" s="60" t="n"/>
      <c r="Z269" s="61" t="n"/>
    </row>
    <row r="270">
      <c r="C270" s="60" t="n"/>
      <c r="N270" s="61" t="n"/>
      <c r="O270" s="60" t="n"/>
      <c r="Z270" s="61" t="n"/>
    </row>
    <row r="271">
      <c r="C271" s="60" t="n"/>
      <c r="N271" s="61" t="n"/>
      <c r="O271" s="60" t="n"/>
      <c r="Z271" s="61" t="n"/>
    </row>
    <row r="272">
      <c r="C272" s="60" t="n"/>
      <c r="N272" s="61" t="n"/>
      <c r="O272" s="60" t="n"/>
      <c r="Z272" s="61" t="n"/>
    </row>
    <row r="273">
      <c r="C273" s="60" t="n"/>
      <c r="N273" s="61" t="n"/>
      <c r="O273" s="60" t="n"/>
      <c r="Z273" s="61" t="n"/>
    </row>
    <row r="274">
      <c r="C274" s="60" t="n"/>
      <c r="N274" s="61" t="n"/>
      <c r="O274" s="60" t="n"/>
      <c r="Z274" s="61" t="n"/>
    </row>
    <row r="275">
      <c r="C275" s="60" t="n"/>
      <c r="N275" s="61" t="n"/>
      <c r="O275" s="60" t="n"/>
      <c r="Z275" s="61" t="n"/>
    </row>
    <row r="276">
      <c r="C276" s="60" t="n"/>
      <c r="N276" s="61" t="n"/>
      <c r="O276" s="60" t="n"/>
      <c r="Z276" s="61" t="n"/>
    </row>
    <row r="277">
      <c r="C277" s="60" t="n"/>
      <c r="N277" s="61" t="n"/>
      <c r="O277" s="60" t="n"/>
      <c r="Z277" s="61" t="n"/>
    </row>
    <row r="278">
      <c r="C278" s="60" t="n"/>
      <c r="N278" s="61" t="n"/>
      <c r="O278" s="60" t="n"/>
      <c r="Z278" s="61" t="n"/>
    </row>
    <row r="279">
      <c r="C279" s="60" t="n"/>
      <c r="N279" s="61" t="n"/>
      <c r="O279" s="60" t="n"/>
      <c r="Z279" s="61" t="n"/>
    </row>
    <row r="280">
      <c r="C280" s="60" t="n"/>
      <c r="N280" s="61" t="n"/>
      <c r="O280" s="60" t="n"/>
      <c r="Z280" s="61" t="n"/>
    </row>
    <row r="281">
      <c r="C281" s="60" t="n"/>
      <c r="N281" s="61" t="n"/>
      <c r="O281" s="60" t="n"/>
      <c r="Z281" s="61" t="n"/>
    </row>
    <row r="282">
      <c r="C282" s="60" t="n"/>
      <c r="N282" s="61" t="n"/>
      <c r="O282" s="60" t="n"/>
      <c r="Z282" s="61" t="n"/>
    </row>
    <row r="283">
      <c r="C283" s="60" t="n"/>
      <c r="N283" s="61" t="n"/>
      <c r="O283" s="60" t="n"/>
      <c r="Z283" s="61" t="n"/>
    </row>
    <row r="284">
      <c r="C284" s="60" t="n"/>
      <c r="N284" s="61" t="n"/>
      <c r="O284" s="60" t="n"/>
      <c r="Z284" s="61" t="n"/>
    </row>
    <row r="285">
      <c r="C285" s="60" t="n"/>
      <c r="N285" s="61" t="n"/>
      <c r="O285" s="60" t="n"/>
      <c r="Z285" s="61" t="n"/>
    </row>
    <row r="286">
      <c r="C286" s="60" t="n"/>
      <c r="N286" s="61" t="n"/>
      <c r="O286" s="60" t="n"/>
      <c r="Z286" s="61" t="n"/>
    </row>
    <row r="287">
      <c r="C287" s="60" t="n"/>
      <c r="N287" s="61" t="n"/>
      <c r="O287" s="60" t="n"/>
      <c r="Z287" s="61" t="n"/>
    </row>
    <row r="288">
      <c r="C288" s="60" t="n"/>
      <c r="N288" s="61" t="n"/>
      <c r="O288" s="60" t="n"/>
      <c r="Z288" s="61" t="n"/>
    </row>
    <row r="289">
      <c r="C289" s="60" t="n"/>
      <c r="N289" s="61" t="n"/>
      <c r="O289" s="60" t="n"/>
      <c r="Z289" s="61" t="n"/>
    </row>
    <row r="290">
      <c r="C290" s="60" t="n"/>
      <c r="N290" s="61" t="n"/>
      <c r="O290" s="60" t="n"/>
      <c r="Z290" s="61" t="n"/>
    </row>
    <row r="291">
      <c r="C291" s="60" t="n"/>
      <c r="N291" s="61" t="n"/>
      <c r="O291" s="60" t="n"/>
      <c r="Z291" s="61" t="n"/>
    </row>
    <row r="292">
      <c r="C292" s="60" t="n"/>
      <c r="N292" s="61" t="n"/>
      <c r="O292" s="60" t="n"/>
      <c r="Z292" s="61" t="n"/>
    </row>
    <row r="293">
      <c r="C293" s="60" t="n"/>
      <c r="N293" s="61" t="n"/>
      <c r="O293" s="60" t="n"/>
      <c r="Z293" s="61" t="n"/>
    </row>
    <row r="294">
      <c r="C294" s="60" t="n"/>
      <c r="N294" s="61" t="n"/>
      <c r="O294" s="60" t="n"/>
      <c r="Z294" s="61" t="n"/>
    </row>
    <row r="295">
      <c r="C295" s="60" t="n"/>
      <c r="N295" s="61" t="n"/>
      <c r="O295" s="60" t="n"/>
      <c r="Z295" s="61" t="n"/>
    </row>
    <row r="296">
      <c r="C296" s="60" t="n"/>
      <c r="N296" s="61" t="n"/>
      <c r="O296" s="60" t="n"/>
      <c r="Z296" s="61" t="n"/>
    </row>
    <row r="297">
      <c r="C297" s="60" t="n"/>
      <c r="N297" s="61" t="n"/>
      <c r="O297" s="60" t="n"/>
      <c r="Z297" s="61" t="n"/>
    </row>
    <row r="298">
      <c r="C298" s="60" t="n"/>
      <c r="N298" s="61" t="n"/>
      <c r="O298" s="60" t="n"/>
      <c r="Z298" s="61" t="n"/>
    </row>
    <row r="299">
      <c r="C299" s="60" t="n"/>
      <c r="N299" s="61" t="n"/>
      <c r="O299" s="60" t="n"/>
      <c r="Z299" s="61" t="n"/>
    </row>
    <row r="300">
      <c r="C300" s="60" t="n"/>
      <c r="N300" s="61" t="n"/>
      <c r="O300" s="60" t="n"/>
      <c r="Z300" s="61" t="n"/>
    </row>
    <row r="301">
      <c r="C301" s="60" t="n"/>
      <c r="N301" s="61" t="n"/>
      <c r="O301" s="60" t="n"/>
      <c r="Z301" s="61" t="n"/>
    </row>
    <row r="302">
      <c r="C302" s="60" t="n"/>
      <c r="N302" s="61" t="n"/>
      <c r="O302" s="60" t="n"/>
      <c r="Z302" s="61" t="n"/>
    </row>
    <row r="303">
      <c r="C303" s="60" t="n"/>
      <c r="N303" s="61" t="n"/>
      <c r="O303" s="60" t="n"/>
      <c r="Z303" s="61" t="n"/>
    </row>
    <row r="304">
      <c r="C304" s="60" t="n"/>
      <c r="N304" s="61" t="n"/>
      <c r="O304" s="60" t="n"/>
      <c r="Z304" s="61" t="n"/>
    </row>
    <row r="305">
      <c r="C305" s="60" t="n"/>
      <c r="N305" s="61" t="n"/>
      <c r="O305" s="60" t="n"/>
      <c r="Z305" s="61" t="n"/>
    </row>
    <row r="306">
      <c r="C306" s="60" t="n"/>
      <c r="N306" s="61" t="n"/>
      <c r="O306" s="60" t="n"/>
      <c r="Z306" s="61" t="n"/>
    </row>
    <row r="307">
      <c r="C307" s="60" t="n"/>
      <c r="N307" s="61" t="n"/>
      <c r="O307" s="60" t="n"/>
      <c r="Z307" s="61" t="n"/>
    </row>
    <row r="308">
      <c r="C308" s="60" t="n"/>
      <c r="N308" s="61" t="n"/>
      <c r="O308" s="60" t="n"/>
      <c r="Z308" s="61" t="n"/>
    </row>
    <row r="309">
      <c r="C309" s="60" t="n"/>
      <c r="N309" s="61" t="n"/>
      <c r="O309" s="60" t="n"/>
      <c r="Z309" s="61" t="n"/>
    </row>
    <row r="310">
      <c r="C310" s="60" t="n"/>
      <c r="N310" s="61" t="n"/>
      <c r="O310" s="60" t="n"/>
      <c r="Z310" s="61" t="n"/>
    </row>
    <row r="311">
      <c r="C311" s="60" t="n"/>
      <c r="N311" s="61" t="n"/>
      <c r="O311" s="60" t="n"/>
      <c r="Z311" s="61" t="n"/>
    </row>
    <row r="312">
      <c r="C312" s="60" t="n"/>
      <c r="N312" s="61" t="n"/>
      <c r="O312" s="60" t="n"/>
      <c r="Z312" s="61" t="n"/>
    </row>
    <row r="313">
      <c r="C313" s="60" t="n"/>
      <c r="N313" s="61" t="n"/>
      <c r="O313" s="60" t="n"/>
      <c r="Z313" s="61" t="n"/>
    </row>
    <row r="314">
      <c r="C314" s="60" t="n"/>
      <c r="N314" s="61" t="n"/>
      <c r="O314" s="60" t="n"/>
      <c r="Z314" s="61" t="n"/>
    </row>
    <row r="315">
      <c r="C315" s="60" t="n"/>
      <c r="N315" s="61" t="n"/>
      <c r="O315" s="60" t="n"/>
      <c r="Z315" s="61" t="n"/>
    </row>
    <row r="316">
      <c r="C316" s="60" t="n"/>
      <c r="N316" s="61" t="n"/>
      <c r="O316" s="60" t="n"/>
      <c r="Z316" s="61" t="n"/>
    </row>
    <row r="317">
      <c r="C317" s="60" t="n"/>
      <c r="N317" s="61" t="n"/>
      <c r="O317" s="60" t="n"/>
      <c r="Z317" s="61" t="n"/>
    </row>
    <row r="318">
      <c r="C318" s="60" t="n"/>
      <c r="N318" s="61" t="n"/>
      <c r="O318" s="60" t="n"/>
      <c r="Z318" s="61" t="n"/>
    </row>
    <row r="319">
      <c r="C319" s="60" t="n"/>
      <c r="N319" s="61" t="n"/>
      <c r="O319" s="60" t="n"/>
      <c r="Z319" s="61" t="n"/>
    </row>
    <row r="320">
      <c r="C320" s="60" t="n"/>
      <c r="N320" s="61" t="n"/>
      <c r="O320" s="60" t="n"/>
      <c r="Z320" s="61" t="n"/>
    </row>
    <row r="321">
      <c r="C321" s="60" t="n"/>
      <c r="N321" s="61" t="n"/>
      <c r="O321" s="60" t="n"/>
      <c r="Z321" s="61" t="n"/>
    </row>
    <row r="322">
      <c r="C322" s="60" t="n"/>
      <c r="N322" s="61" t="n"/>
      <c r="O322" s="60" t="n"/>
      <c r="Z322" s="61" t="n"/>
    </row>
    <row r="323">
      <c r="C323" s="60" t="n"/>
      <c r="N323" s="61" t="n"/>
      <c r="O323" s="60" t="n"/>
      <c r="Z323" s="61" t="n"/>
    </row>
    <row r="324">
      <c r="C324" s="60" t="n"/>
      <c r="N324" s="61" t="n"/>
      <c r="O324" s="60" t="n"/>
      <c r="Z324" s="61" t="n"/>
    </row>
    <row r="325">
      <c r="C325" s="60" t="n"/>
      <c r="N325" s="61" t="n"/>
      <c r="O325" s="60" t="n"/>
      <c r="Z325" s="61" t="n"/>
    </row>
    <row r="326">
      <c r="C326" s="60" t="n"/>
      <c r="N326" s="61" t="n"/>
      <c r="O326" s="60" t="n"/>
      <c r="Z326" s="61" t="n"/>
    </row>
    <row r="327">
      <c r="C327" s="60" t="n"/>
      <c r="N327" s="61" t="n"/>
      <c r="O327" s="60" t="n"/>
      <c r="Z327" s="61" t="n"/>
    </row>
    <row r="328">
      <c r="C328" s="60" t="n"/>
      <c r="N328" s="61" t="n"/>
      <c r="O328" s="60" t="n"/>
      <c r="Z328" s="61" t="n"/>
    </row>
    <row r="329">
      <c r="C329" s="60" t="n"/>
      <c r="N329" s="61" t="n"/>
      <c r="O329" s="60" t="n"/>
      <c r="Z329" s="61" t="n"/>
    </row>
    <row r="330">
      <c r="C330" s="60" t="n"/>
      <c r="N330" s="61" t="n"/>
      <c r="O330" s="60" t="n"/>
      <c r="Z330" s="61" t="n"/>
    </row>
    <row r="331">
      <c r="C331" s="60" t="n"/>
      <c r="N331" s="61" t="n"/>
      <c r="O331" s="60" t="n"/>
      <c r="Z331" s="61" t="n"/>
    </row>
    <row r="332">
      <c r="C332" s="60" t="n"/>
      <c r="N332" s="61" t="n"/>
      <c r="O332" s="60" t="n"/>
      <c r="Z332" s="61" t="n"/>
    </row>
    <row r="333">
      <c r="C333" s="60" t="n"/>
      <c r="N333" s="61" t="n"/>
      <c r="O333" s="60" t="n"/>
      <c r="Z333" s="61" t="n"/>
    </row>
    <row r="334">
      <c r="C334" s="60" t="n"/>
      <c r="N334" s="61" t="n"/>
      <c r="O334" s="60" t="n"/>
      <c r="Z334" s="61" t="n"/>
    </row>
    <row r="335">
      <c r="C335" s="60" t="n"/>
      <c r="N335" s="61" t="n"/>
      <c r="O335" s="60" t="n"/>
      <c r="Z335" s="61" t="n"/>
    </row>
    <row r="336">
      <c r="C336" s="60" t="n"/>
      <c r="N336" s="61" t="n"/>
      <c r="O336" s="60" t="n"/>
      <c r="Z336" s="61" t="n"/>
    </row>
    <row r="337">
      <c r="C337" s="60" t="n"/>
      <c r="N337" s="61" t="n"/>
      <c r="O337" s="60" t="n"/>
      <c r="Z337" s="61" t="n"/>
    </row>
    <row r="338">
      <c r="C338" s="60" t="n"/>
      <c r="N338" s="61" t="n"/>
      <c r="O338" s="60" t="n"/>
      <c r="Z338" s="61" t="n"/>
    </row>
    <row r="339">
      <c r="C339" s="60" t="n"/>
      <c r="N339" s="61" t="n"/>
      <c r="O339" s="60" t="n"/>
      <c r="Z339" s="61" t="n"/>
    </row>
    <row r="340">
      <c r="C340" s="60" t="n"/>
      <c r="N340" s="61" t="n"/>
      <c r="O340" s="60" t="n"/>
      <c r="Z340" s="61" t="n"/>
    </row>
    <row r="341">
      <c r="C341" s="60" t="n"/>
      <c r="N341" s="61" t="n"/>
      <c r="O341" s="60" t="n"/>
      <c r="Z341" s="61" t="n"/>
    </row>
    <row r="342">
      <c r="C342" s="60" t="n"/>
      <c r="N342" s="61" t="n"/>
      <c r="O342" s="60" t="n"/>
      <c r="Z342" s="61" t="n"/>
    </row>
    <row r="343">
      <c r="C343" s="60" t="n"/>
      <c r="N343" s="61" t="n"/>
      <c r="O343" s="60" t="n"/>
      <c r="Z343" s="61" t="n"/>
    </row>
    <row r="344">
      <c r="C344" s="60" t="n"/>
      <c r="N344" s="61" t="n"/>
      <c r="O344" s="60" t="n"/>
      <c r="Z344" s="61" t="n"/>
    </row>
    <row r="345">
      <c r="C345" s="60" t="n"/>
      <c r="N345" s="61" t="n"/>
      <c r="O345" s="60" t="n"/>
      <c r="Z345" s="61" t="n"/>
    </row>
    <row r="346">
      <c r="C346" s="60" t="n"/>
      <c r="N346" s="61" t="n"/>
      <c r="O346" s="60" t="n"/>
      <c r="Z346" s="61" t="n"/>
    </row>
    <row r="347">
      <c r="C347" s="60" t="n"/>
      <c r="N347" s="61" t="n"/>
      <c r="O347" s="60" t="n"/>
      <c r="Z347" s="61" t="n"/>
    </row>
    <row r="348">
      <c r="C348" s="60" t="n"/>
      <c r="N348" s="61" t="n"/>
      <c r="O348" s="60" t="n"/>
      <c r="Z348" s="61" t="n"/>
    </row>
    <row r="349">
      <c r="C349" s="60" t="n"/>
      <c r="N349" s="61" t="n"/>
      <c r="O349" s="60" t="n"/>
      <c r="Z349" s="61" t="n"/>
    </row>
    <row r="350">
      <c r="C350" s="60" t="n"/>
      <c r="N350" s="61" t="n"/>
      <c r="O350" s="60" t="n"/>
      <c r="Z350" s="61" t="n"/>
    </row>
    <row r="351">
      <c r="C351" s="60" t="n"/>
      <c r="N351" s="61" t="n"/>
      <c r="O351" s="60" t="n"/>
      <c r="Z351" s="61" t="n"/>
    </row>
    <row r="352">
      <c r="C352" s="60" t="n"/>
      <c r="N352" s="61" t="n"/>
      <c r="O352" s="60" t="n"/>
      <c r="Z352" s="61" t="n"/>
    </row>
    <row r="353">
      <c r="C353" s="60" t="n"/>
      <c r="N353" s="61" t="n"/>
      <c r="O353" s="60" t="n"/>
      <c r="Z353" s="61" t="n"/>
    </row>
    <row r="354">
      <c r="C354" s="60" t="n"/>
      <c r="N354" s="61" t="n"/>
      <c r="O354" s="60" t="n"/>
      <c r="Z354" s="61" t="n"/>
    </row>
    <row r="355">
      <c r="C355" s="60" t="n"/>
      <c r="N355" s="61" t="n"/>
      <c r="O355" s="60" t="n"/>
      <c r="Z355" s="61" t="n"/>
    </row>
    <row r="356">
      <c r="C356" s="60" t="n"/>
      <c r="N356" s="61" t="n"/>
      <c r="O356" s="60" t="n"/>
      <c r="Z356" s="61" t="n"/>
    </row>
    <row r="357">
      <c r="C357" s="60" t="n"/>
      <c r="N357" s="61" t="n"/>
      <c r="O357" s="60" t="n"/>
      <c r="Z357" s="61" t="n"/>
    </row>
    <row r="358">
      <c r="C358" s="60" t="n"/>
      <c r="N358" s="61" t="n"/>
      <c r="O358" s="60" t="n"/>
      <c r="Z358" s="61" t="n"/>
    </row>
    <row r="359">
      <c r="C359" s="60" t="n"/>
      <c r="N359" s="61" t="n"/>
      <c r="O359" s="60" t="n"/>
      <c r="Z359" s="61" t="n"/>
    </row>
    <row r="360">
      <c r="C360" s="60" t="n"/>
      <c r="N360" s="61" t="n"/>
      <c r="O360" s="60" t="n"/>
      <c r="Z360" s="61" t="n"/>
    </row>
    <row r="361">
      <c r="C361" s="60" t="n"/>
      <c r="N361" s="61" t="n"/>
      <c r="O361" s="60" t="n"/>
      <c r="Z361" s="61" t="n"/>
    </row>
    <row r="362">
      <c r="C362" s="60" t="n"/>
      <c r="N362" s="61" t="n"/>
      <c r="O362" s="60" t="n"/>
      <c r="Z362" s="61" t="n"/>
    </row>
    <row r="363">
      <c r="C363" s="60" t="n"/>
      <c r="N363" s="61" t="n"/>
      <c r="O363" s="60" t="n"/>
      <c r="Z363" s="61" t="n"/>
    </row>
    <row r="364">
      <c r="C364" s="60" t="n"/>
      <c r="N364" s="61" t="n"/>
      <c r="O364" s="60" t="n"/>
      <c r="Z364" s="61" t="n"/>
    </row>
    <row r="365">
      <c r="C365" s="60" t="n"/>
      <c r="N365" s="61" t="n"/>
      <c r="O365" s="60" t="n"/>
      <c r="Z365" s="61" t="n"/>
    </row>
    <row r="366">
      <c r="C366" s="60" t="n"/>
      <c r="N366" s="61" t="n"/>
      <c r="O366" s="60" t="n"/>
      <c r="Z366" s="61" t="n"/>
    </row>
    <row r="367">
      <c r="C367" s="60" t="n"/>
      <c r="N367" s="61" t="n"/>
      <c r="O367" s="60" t="n"/>
      <c r="Z367" s="61" t="n"/>
    </row>
    <row r="368">
      <c r="C368" s="60" t="n"/>
      <c r="N368" s="61" t="n"/>
      <c r="O368" s="60" t="n"/>
      <c r="Z368" s="61" t="n"/>
    </row>
    <row r="369">
      <c r="C369" s="60" t="n"/>
      <c r="N369" s="61" t="n"/>
      <c r="O369" s="60" t="n"/>
      <c r="Z369" s="61" t="n"/>
    </row>
    <row r="370">
      <c r="C370" s="60" t="n"/>
      <c r="N370" s="61" t="n"/>
      <c r="O370" s="60" t="n"/>
      <c r="Z370" s="61" t="n"/>
    </row>
    <row r="371">
      <c r="C371" s="60" t="n"/>
      <c r="N371" s="61" t="n"/>
      <c r="O371" s="60" t="n"/>
      <c r="Z371" s="61" t="n"/>
    </row>
    <row r="372">
      <c r="C372" s="60" t="n"/>
      <c r="N372" s="61" t="n"/>
      <c r="O372" s="60" t="n"/>
      <c r="Z372" s="61" t="n"/>
    </row>
    <row r="373">
      <c r="C373" s="60" t="n"/>
      <c r="N373" s="61" t="n"/>
      <c r="O373" s="60" t="n"/>
      <c r="Z373" s="61" t="n"/>
    </row>
    <row r="374">
      <c r="C374" s="60" t="n"/>
      <c r="N374" s="61" t="n"/>
      <c r="O374" s="60" t="n"/>
      <c r="Z374" s="61" t="n"/>
    </row>
    <row r="375">
      <c r="C375" s="60" t="n"/>
      <c r="N375" s="61" t="n"/>
      <c r="O375" s="60" t="n"/>
      <c r="Z375" s="61" t="n"/>
    </row>
    <row r="376">
      <c r="C376" s="60" t="n"/>
      <c r="N376" s="61" t="n"/>
      <c r="O376" s="60" t="n"/>
      <c r="Z376" s="61" t="n"/>
    </row>
    <row r="377">
      <c r="C377" s="60" t="n"/>
      <c r="N377" s="61" t="n"/>
      <c r="O377" s="60" t="n"/>
      <c r="Z377" s="61" t="n"/>
    </row>
    <row r="378">
      <c r="C378" s="60" t="n"/>
      <c r="N378" s="61" t="n"/>
      <c r="O378" s="60" t="n"/>
      <c r="Z378" s="61" t="n"/>
    </row>
    <row r="379">
      <c r="C379" s="60" t="n"/>
      <c r="N379" s="61" t="n"/>
      <c r="O379" s="60" t="n"/>
      <c r="Z379" s="61" t="n"/>
    </row>
    <row r="380">
      <c r="C380" s="60" t="n"/>
      <c r="N380" s="61" t="n"/>
      <c r="O380" s="60" t="n"/>
      <c r="Z380" s="61" t="n"/>
    </row>
    <row r="381">
      <c r="C381" s="60" t="n"/>
      <c r="N381" s="61" t="n"/>
      <c r="O381" s="60" t="n"/>
      <c r="Z381" s="61" t="n"/>
    </row>
    <row r="382">
      <c r="C382" s="60" t="n"/>
      <c r="N382" s="61" t="n"/>
      <c r="O382" s="60" t="n"/>
      <c r="Z382" s="61" t="n"/>
    </row>
    <row r="383">
      <c r="C383" s="60" t="n"/>
      <c r="N383" s="61" t="n"/>
      <c r="O383" s="60" t="n"/>
      <c r="Z383" s="61" t="n"/>
    </row>
    <row r="384">
      <c r="C384" s="60" t="n"/>
      <c r="N384" s="61" t="n"/>
      <c r="O384" s="60" t="n"/>
      <c r="Z384" s="61" t="n"/>
    </row>
    <row r="385">
      <c r="C385" s="60" t="n"/>
      <c r="N385" s="61" t="n"/>
      <c r="O385" s="60" t="n"/>
      <c r="Z385" s="61" t="n"/>
    </row>
    <row r="386">
      <c r="C386" s="60" t="n"/>
      <c r="N386" s="61" t="n"/>
      <c r="O386" s="60" t="n"/>
      <c r="Z386" s="61" t="n"/>
    </row>
    <row r="387">
      <c r="C387" s="60" t="n"/>
      <c r="N387" s="61" t="n"/>
      <c r="O387" s="60" t="n"/>
      <c r="Z387" s="61" t="n"/>
    </row>
    <row r="388">
      <c r="C388" s="60" t="n"/>
      <c r="N388" s="61" t="n"/>
      <c r="O388" s="60" t="n"/>
      <c r="Z388" s="61" t="n"/>
    </row>
    <row r="389">
      <c r="C389" s="60" t="n"/>
      <c r="N389" s="61" t="n"/>
      <c r="O389" s="60" t="n"/>
      <c r="Z389" s="61" t="n"/>
    </row>
    <row r="390">
      <c r="C390" s="60" t="n"/>
      <c r="N390" s="61" t="n"/>
      <c r="O390" s="60" t="n"/>
      <c r="Z390" s="61" t="n"/>
    </row>
    <row r="391">
      <c r="C391" s="60" t="n"/>
      <c r="N391" s="61" t="n"/>
      <c r="O391" s="60" t="n"/>
      <c r="Z391" s="61" t="n"/>
    </row>
    <row r="392">
      <c r="C392" s="60" t="n"/>
      <c r="N392" s="61" t="n"/>
      <c r="O392" s="60" t="n"/>
      <c r="Z392" s="61" t="n"/>
    </row>
    <row r="393">
      <c r="C393" s="60" t="n"/>
      <c r="N393" s="61" t="n"/>
      <c r="O393" s="60" t="n"/>
      <c r="Z393" s="61" t="n"/>
    </row>
    <row r="394">
      <c r="C394" s="60" t="n"/>
      <c r="N394" s="61" t="n"/>
      <c r="O394" s="60" t="n"/>
      <c r="Z394" s="61" t="n"/>
    </row>
    <row r="395">
      <c r="C395" s="60" t="n"/>
      <c r="N395" s="61" t="n"/>
      <c r="O395" s="60" t="n"/>
      <c r="Z395" s="61" t="n"/>
    </row>
    <row r="396">
      <c r="C396" s="60" t="n"/>
      <c r="N396" s="61" t="n"/>
      <c r="O396" s="60" t="n"/>
      <c r="Z396" s="61" t="n"/>
    </row>
    <row r="397">
      <c r="C397" s="60" t="n"/>
      <c r="N397" s="61" t="n"/>
      <c r="O397" s="60" t="n"/>
      <c r="Z397" s="61" t="n"/>
    </row>
    <row r="398">
      <c r="C398" s="60" t="n"/>
      <c r="N398" s="61" t="n"/>
      <c r="O398" s="60" t="n"/>
      <c r="Z398" s="61" t="n"/>
    </row>
    <row r="399">
      <c r="C399" s="60" t="n"/>
      <c r="N399" s="61" t="n"/>
      <c r="O399" s="60" t="n"/>
      <c r="Z399" s="61" t="n"/>
    </row>
    <row r="400">
      <c r="C400" s="60" t="n"/>
      <c r="N400" s="61" t="n"/>
      <c r="O400" s="60" t="n"/>
      <c r="Z400" s="61" t="n"/>
    </row>
    <row r="401">
      <c r="C401" s="60" t="n"/>
      <c r="N401" s="61" t="n"/>
      <c r="O401" s="60" t="n"/>
      <c r="Z401" s="61" t="n"/>
    </row>
    <row r="402">
      <c r="C402" s="60" t="n"/>
      <c r="N402" s="61" t="n"/>
      <c r="O402" s="60" t="n"/>
      <c r="Z402" s="61" t="n"/>
    </row>
    <row r="403">
      <c r="C403" s="60" t="n"/>
      <c r="N403" s="61" t="n"/>
      <c r="O403" s="60" t="n"/>
      <c r="Z403" s="61" t="n"/>
    </row>
    <row r="404">
      <c r="C404" s="60" t="n"/>
      <c r="N404" s="61" t="n"/>
      <c r="O404" s="60" t="n"/>
      <c r="Z404" s="61" t="n"/>
    </row>
    <row r="405">
      <c r="C405" s="60" t="n"/>
      <c r="N405" s="61" t="n"/>
      <c r="O405" s="60" t="n"/>
      <c r="Z405" s="61" t="n"/>
    </row>
    <row r="406">
      <c r="C406" s="60" t="n"/>
      <c r="N406" s="61" t="n"/>
      <c r="O406" s="60" t="n"/>
      <c r="Z406" s="61" t="n"/>
    </row>
    <row r="407">
      <c r="C407" s="60" t="n"/>
      <c r="N407" s="61" t="n"/>
      <c r="O407" s="60" t="n"/>
      <c r="Z407" s="61" t="n"/>
    </row>
    <row r="408">
      <c r="C408" s="60" t="n"/>
      <c r="N408" s="61" t="n"/>
      <c r="O408" s="60" t="n"/>
      <c r="Z408" s="61" t="n"/>
    </row>
    <row r="409">
      <c r="C409" s="60" t="n"/>
      <c r="N409" s="61" t="n"/>
      <c r="O409" s="60" t="n"/>
      <c r="Z409" s="61" t="n"/>
    </row>
    <row r="410">
      <c r="C410" s="60" t="n"/>
      <c r="N410" s="61" t="n"/>
      <c r="O410" s="60" t="n"/>
      <c r="Z410" s="61" t="n"/>
    </row>
    <row r="411">
      <c r="C411" s="60" t="n"/>
      <c r="N411" s="61" t="n"/>
      <c r="O411" s="60" t="n"/>
      <c r="Z411" s="61" t="n"/>
    </row>
    <row r="412">
      <c r="C412" s="60" t="n"/>
      <c r="N412" s="61" t="n"/>
      <c r="O412" s="60" t="n"/>
      <c r="Z412" s="61" t="n"/>
    </row>
    <row r="413">
      <c r="C413" s="60" t="n"/>
      <c r="N413" s="61" t="n"/>
      <c r="O413" s="60" t="n"/>
      <c r="Z413" s="61" t="n"/>
    </row>
    <row r="414">
      <c r="C414" s="60" t="n"/>
      <c r="N414" s="61" t="n"/>
      <c r="O414" s="60" t="n"/>
      <c r="Z414" s="61" t="n"/>
    </row>
    <row r="415">
      <c r="C415" s="60" t="n"/>
      <c r="N415" s="61" t="n"/>
      <c r="O415" s="60" t="n"/>
      <c r="Z415" s="61" t="n"/>
    </row>
    <row r="416">
      <c r="C416" s="60" t="n"/>
      <c r="N416" s="61" t="n"/>
      <c r="O416" s="60" t="n"/>
      <c r="Z416" s="61" t="n"/>
    </row>
    <row r="417">
      <c r="C417" s="60" t="n"/>
      <c r="N417" s="61" t="n"/>
      <c r="O417" s="60" t="n"/>
      <c r="Z417" s="61" t="n"/>
    </row>
    <row r="418">
      <c r="C418" s="60" t="n"/>
      <c r="N418" s="61" t="n"/>
      <c r="O418" s="60" t="n"/>
      <c r="Z418" s="61" t="n"/>
    </row>
    <row r="419">
      <c r="C419" s="60" t="n"/>
      <c r="N419" s="61" t="n"/>
      <c r="O419" s="60" t="n"/>
      <c r="Z419" s="61" t="n"/>
    </row>
    <row r="420">
      <c r="C420" s="60" t="n"/>
      <c r="N420" s="61" t="n"/>
      <c r="O420" s="60" t="n"/>
      <c r="Z420" s="61" t="n"/>
    </row>
    <row r="421">
      <c r="C421" s="60" t="n"/>
      <c r="N421" s="61" t="n"/>
      <c r="O421" s="60" t="n"/>
      <c r="Z421" s="61" t="n"/>
    </row>
    <row r="422">
      <c r="C422" s="60" t="n"/>
      <c r="N422" s="61" t="n"/>
      <c r="O422" s="60" t="n"/>
      <c r="Z422" s="61" t="n"/>
    </row>
    <row r="423">
      <c r="C423" s="60" t="n"/>
      <c r="N423" s="61" t="n"/>
      <c r="O423" s="60" t="n"/>
      <c r="Z423" s="61" t="n"/>
    </row>
    <row r="424">
      <c r="C424" s="60" t="n"/>
      <c r="N424" s="61" t="n"/>
      <c r="O424" s="60" t="n"/>
      <c r="Z424" s="61" t="n"/>
    </row>
    <row r="425">
      <c r="C425" s="60" t="n"/>
      <c r="N425" s="61" t="n"/>
      <c r="O425" s="60" t="n"/>
      <c r="Z425" s="61" t="n"/>
    </row>
    <row r="426">
      <c r="C426" s="60" t="n"/>
      <c r="N426" s="61" t="n"/>
      <c r="O426" s="60" t="n"/>
      <c r="Z426" s="61" t="n"/>
    </row>
    <row r="427">
      <c r="C427" s="60" t="n"/>
      <c r="N427" s="61" t="n"/>
      <c r="O427" s="60" t="n"/>
      <c r="Z427" s="61" t="n"/>
    </row>
    <row r="428">
      <c r="C428" s="60" t="n"/>
      <c r="N428" s="61" t="n"/>
      <c r="O428" s="60" t="n"/>
      <c r="Z428" s="61" t="n"/>
    </row>
    <row r="429">
      <c r="C429" s="60" t="n"/>
      <c r="N429" s="61" t="n"/>
      <c r="O429" s="60" t="n"/>
      <c r="Z429" s="61" t="n"/>
    </row>
    <row r="430">
      <c r="C430" s="60" t="n"/>
      <c r="N430" s="61" t="n"/>
      <c r="O430" s="60" t="n"/>
      <c r="Z430" s="61" t="n"/>
    </row>
    <row r="431">
      <c r="C431" s="60" t="n"/>
      <c r="N431" s="61" t="n"/>
      <c r="O431" s="60" t="n"/>
      <c r="Z431" s="61" t="n"/>
    </row>
    <row r="432">
      <c r="C432" s="60" t="n"/>
      <c r="N432" s="61" t="n"/>
      <c r="O432" s="60" t="n"/>
      <c r="Z432" s="61" t="n"/>
    </row>
    <row r="433">
      <c r="C433" s="60" t="n"/>
      <c r="N433" s="61" t="n"/>
      <c r="O433" s="60" t="n"/>
      <c r="Z433" s="61" t="n"/>
    </row>
    <row r="434">
      <c r="C434" s="60" t="n"/>
      <c r="N434" s="61" t="n"/>
      <c r="O434" s="60" t="n"/>
      <c r="Z434" s="61" t="n"/>
    </row>
    <row r="435">
      <c r="C435" s="60" t="n"/>
      <c r="N435" s="61" t="n"/>
      <c r="O435" s="60" t="n"/>
      <c r="Z435" s="61" t="n"/>
    </row>
    <row r="436">
      <c r="C436" s="60" t="n"/>
      <c r="N436" s="61" t="n"/>
      <c r="O436" s="60" t="n"/>
      <c r="Z436" s="61" t="n"/>
    </row>
    <row r="437">
      <c r="C437" s="60" t="n"/>
      <c r="N437" s="61" t="n"/>
      <c r="O437" s="60" t="n"/>
      <c r="Z437" s="61" t="n"/>
    </row>
    <row r="438">
      <c r="C438" s="60" t="n"/>
      <c r="N438" s="61" t="n"/>
      <c r="O438" s="60" t="n"/>
      <c r="Z438" s="61" t="n"/>
    </row>
    <row r="439">
      <c r="C439" s="60" t="n"/>
      <c r="N439" s="61" t="n"/>
      <c r="O439" s="60" t="n"/>
      <c r="Z439" s="61" t="n"/>
    </row>
    <row r="440">
      <c r="C440" s="60" t="n"/>
      <c r="N440" s="61" t="n"/>
      <c r="O440" s="60" t="n"/>
      <c r="Z440" s="61" t="n"/>
    </row>
    <row r="441">
      <c r="C441" s="60" t="n"/>
      <c r="N441" s="61" t="n"/>
      <c r="O441" s="60" t="n"/>
      <c r="Z441" s="61" t="n"/>
    </row>
    <row r="442">
      <c r="C442" s="60" t="n"/>
      <c r="N442" s="61" t="n"/>
      <c r="O442" s="60" t="n"/>
      <c r="Z442" s="61" t="n"/>
    </row>
    <row r="443">
      <c r="C443" s="60" t="n"/>
      <c r="N443" s="61" t="n"/>
      <c r="O443" s="60" t="n"/>
      <c r="Z443" s="61" t="n"/>
    </row>
    <row r="444">
      <c r="C444" s="60" t="n"/>
      <c r="N444" s="61" t="n"/>
      <c r="O444" s="60" t="n"/>
      <c r="Z444" s="61" t="n"/>
    </row>
    <row r="445">
      <c r="C445" s="60" t="n"/>
      <c r="N445" s="61" t="n"/>
      <c r="O445" s="60" t="n"/>
      <c r="Z445" s="61" t="n"/>
    </row>
    <row r="446">
      <c r="C446" s="60" t="n"/>
      <c r="N446" s="61" t="n"/>
      <c r="O446" s="60" t="n"/>
      <c r="Z446" s="61" t="n"/>
    </row>
    <row r="447">
      <c r="C447" s="60" t="n"/>
      <c r="N447" s="61" t="n"/>
      <c r="O447" s="60" t="n"/>
      <c r="Z447" s="61" t="n"/>
    </row>
    <row r="448">
      <c r="C448" s="60" t="n"/>
      <c r="N448" s="61" t="n"/>
      <c r="O448" s="60" t="n"/>
      <c r="Z448" s="61" t="n"/>
    </row>
    <row r="449">
      <c r="C449" s="60" t="n"/>
      <c r="N449" s="61" t="n"/>
      <c r="O449" s="60" t="n"/>
      <c r="Z449" s="61" t="n"/>
    </row>
    <row r="450">
      <c r="C450" s="60" t="n"/>
      <c r="N450" s="61" t="n"/>
      <c r="O450" s="60" t="n"/>
      <c r="Z450" s="61" t="n"/>
    </row>
    <row r="451">
      <c r="C451" s="60" t="n"/>
      <c r="N451" s="61" t="n"/>
      <c r="O451" s="60" t="n"/>
      <c r="Z451" s="61" t="n"/>
    </row>
    <row r="452">
      <c r="C452" s="60" t="n"/>
      <c r="N452" s="61" t="n"/>
      <c r="O452" s="60" t="n"/>
      <c r="Z452" s="61" t="n"/>
    </row>
    <row r="453">
      <c r="C453" s="60" t="n"/>
      <c r="N453" s="61" t="n"/>
      <c r="O453" s="60" t="n"/>
      <c r="Z453" s="61" t="n"/>
    </row>
    <row r="454">
      <c r="C454" s="60" t="n"/>
      <c r="N454" s="61" t="n"/>
      <c r="O454" s="60" t="n"/>
      <c r="Z454" s="61" t="n"/>
    </row>
    <row r="455">
      <c r="C455" s="60" t="n"/>
      <c r="N455" s="61" t="n"/>
      <c r="O455" s="60" t="n"/>
      <c r="Z455" s="61" t="n"/>
    </row>
    <row r="456">
      <c r="C456" s="60" t="n"/>
      <c r="N456" s="61" t="n"/>
      <c r="O456" s="60" t="n"/>
      <c r="Z456" s="61" t="n"/>
    </row>
    <row r="457">
      <c r="C457" s="60" t="n"/>
      <c r="N457" s="61" t="n"/>
      <c r="O457" s="60" t="n"/>
      <c r="Z457" s="61" t="n"/>
    </row>
    <row r="458">
      <c r="C458" s="60" t="n"/>
      <c r="N458" s="61" t="n"/>
      <c r="O458" s="60" t="n"/>
      <c r="Z458" s="61" t="n"/>
    </row>
    <row r="459">
      <c r="C459" s="60" t="n"/>
      <c r="N459" s="61" t="n"/>
      <c r="O459" s="60" t="n"/>
      <c r="Z459" s="61" t="n"/>
    </row>
    <row r="460">
      <c r="C460" s="60" t="n"/>
      <c r="N460" s="61" t="n"/>
      <c r="O460" s="60" t="n"/>
      <c r="Z460" s="61" t="n"/>
    </row>
    <row r="461">
      <c r="C461" s="60" t="n"/>
      <c r="N461" s="61" t="n"/>
      <c r="O461" s="60" t="n"/>
      <c r="Z461" s="61" t="n"/>
    </row>
    <row r="462">
      <c r="C462" s="60" t="n"/>
      <c r="N462" s="61" t="n"/>
      <c r="O462" s="60" t="n"/>
      <c r="Z462" s="61" t="n"/>
    </row>
    <row r="463">
      <c r="C463" s="60" t="n"/>
      <c r="N463" s="61" t="n"/>
      <c r="O463" s="60" t="n"/>
      <c r="Z463" s="61" t="n"/>
    </row>
    <row r="464">
      <c r="C464" s="60" t="n"/>
      <c r="N464" s="61" t="n"/>
      <c r="O464" s="60" t="n"/>
      <c r="Z464" s="61" t="n"/>
    </row>
    <row r="465">
      <c r="C465" s="60" t="n"/>
      <c r="N465" s="61" t="n"/>
      <c r="O465" s="60" t="n"/>
      <c r="Z465" s="61" t="n"/>
    </row>
    <row r="466">
      <c r="C466" s="60" t="n"/>
      <c r="N466" s="61" t="n"/>
      <c r="O466" s="60" t="n"/>
      <c r="Z466" s="61" t="n"/>
    </row>
    <row r="467">
      <c r="C467" s="60" t="n"/>
      <c r="N467" s="61" t="n"/>
      <c r="O467" s="60" t="n"/>
      <c r="Z467" s="61" t="n"/>
    </row>
    <row r="468">
      <c r="C468" s="60" t="n"/>
      <c r="N468" s="61" t="n"/>
      <c r="O468" s="60" t="n"/>
      <c r="Z468" s="61" t="n"/>
    </row>
    <row r="469">
      <c r="C469" s="60" t="n"/>
      <c r="N469" s="61" t="n"/>
      <c r="O469" s="60" t="n"/>
      <c r="Z469" s="61" t="n"/>
    </row>
    <row r="470">
      <c r="C470" s="60" t="n"/>
      <c r="N470" s="61" t="n"/>
      <c r="O470" s="60" t="n"/>
      <c r="Z470" s="61" t="n"/>
    </row>
    <row r="471">
      <c r="C471" s="60" t="n"/>
      <c r="N471" s="61" t="n"/>
      <c r="O471" s="60" t="n"/>
      <c r="Z471" s="61" t="n"/>
    </row>
    <row r="472">
      <c r="C472" s="60" t="n"/>
      <c r="N472" s="61" t="n"/>
      <c r="O472" s="60" t="n"/>
      <c r="Z472" s="61" t="n"/>
    </row>
    <row r="473">
      <c r="C473" s="60" t="n"/>
      <c r="N473" s="61" t="n"/>
      <c r="O473" s="60" t="n"/>
      <c r="Z473" s="61" t="n"/>
    </row>
    <row r="474">
      <c r="C474" s="60" t="n"/>
      <c r="N474" s="61" t="n"/>
      <c r="O474" s="60" t="n"/>
      <c r="Z474" s="61" t="n"/>
    </row>
    <row r="475">
      <c r="C475" s="60" t="n"/>
      <c r="N475" s="61" t="n"/>
      <c r="O475" s="60" t="n"/>
      <c r="Z475" s="61" t="n"/>
    </row>
    <row r="476">
      <c r="C476" s="60" t="n"/>
      <c r="N476" s="61" t="n"/>
      <c r="O476" s="60" t="n"/>
      <c r="Z476" s="61" t="n"/>
    </row>
    <row r="477">
      <c r="C477" s="60" t="n"/>
      <c r="N477" s="61" t="n"/>
      <c r="O477" s="60" t="n"/>
      <c r="Z477" s="61" t="n"/>
    </row>
    <row r="478">
      <c r="C478" s="60" t="n"/>
      <c r="N478" s="61" t="n"/>
      <c r="O478" s="60" t="n"/>
      <c r="Z478" s="61" t="n"/>
    </row>
    <row r="479">
      <c r="C479" s="60" t="n"/>
      <c r="N479" s="61" t="n"/>
      <c r="O479" s="60" t="n"/>
      <c r="Z479" s="61" t="n"/>
    </row>
    <row r="480">
      <c r="C480" s="60" t="n"/>
      <c r="N480" s="61" t="n"/>
      <c r="O480" s="60" t="n"/>
      <c r="Z480" s="61" t="n"/>
    </row>
    <row r="481">
      <c r="C481" s="60" t="n"/>
      <c r="N481" s="61" t="n"/>
      <c r="O481" s="60" t="n"/>
      <c r="Z481" s="61" t="n"/>
    </row>
    <row r="482">
      <c r="C482" s="60" t="n"/>
      <c r="N482" s="61" t="n"/>
      <c r="O482" s="60" t="n"/>
      <c r="Z482" s="61" t="n"/>
    </row>
    <row r="483">
      <c r="C483" s="60" t="n"/>
      <c r="N483" s="61" t="n"/>
      <c r="O483" s="60" t="n"/>
      <c r="Z483" s="61" t="n"/>
    </row>
    <row r="484">
      <c r="C484" s="60" t="n"/>
      <c r="N484" s="61" t="n"/>
      <c r="O484" s="60" t="n"/>
      <c r="Z484" s="61" t="n"/>
    </row>
    <row r="485">
      <c r="C485" s="60" t="n"/>
      <c r="N485" s="61" t="n"/>
      <c r="O485" s="60" t="n"/>
      <c r="Z485" s="61" t="n"/>
    </row>
    <row r="486">
      <c r="C486" s="60" t="n"/>
      <c r="N486" s="61" t="n"/>
      <c r="O486" s="60" t="n"/>
      <c r="Z486" s="61" t="n"/>
    </row>
    <row r="487">
      <c r="C487" s="60" t="n"/>
      <c r="N487" s="61" t="n"/>
      <c r="O487" s="60" t="n"/>
      <c r="Z487" s="61" t="n"/>
    </row>
    <row r="488">
      <c r="C488" s="60" t="n"/>
      <c r="N488" s="61" t="n"/>
      <c r="O488" s="60" t="n"/>
      <c r="Z488" s="61" t="n"/>
    </row>
    <row r="489">
      <c r="C489" s="60" t="n"/>
      <c r="N489" s="61" t="n"/>
      <c r="O489" s="60" t="n"/>
      <c r="Z489" s="61" t="n"/>
    </row>
    <row r="490">
      <c r="C490" s="60" t="n"/>
      <c r="N490" s="61" t="n"/>
      <c r="O490" s="60" t="n"/>
      <c r="Z490" s="61" t="n"/>
    </row>
    <row r="491">
      <c r="C491" s="60" t="n"/>
      <c r="N491" s="61" t="n"/>
      <c r="O491" s="60" t="n"/>
      <c r="Z491" s="61" t="n"/>
    </row>
    <row r="492">
      <c r="C492" s="60" t="n"/>
      <c r="N492" s="61" t="n"/>
      <c r="O492" s="60" t="n"/>
      <c r="Z492" s="61" t="n"/>
    </row>
    <row r="493">
      <c r="C493" s="60" t="n"/>
      <c r="N493" s="61" t="n"/>
      <c r="O493" s="60" t="n"/>
      <c r="Z493" s="61" t="n"/>
    </row>
    <row r="494">
      <c r="C494" s="60" t="n"/>
      <c r="N494" s="61" t="n"/>
      <c r="O494" s="60" t="n"/>
      <c r="Z494" s="61" t="n"/>
    </row>
    <row r="495">
      <c r="C495" s="60" t="n"/>
      <c r="N495" s="61" t="n"/>
      <c r="O495" s="60" t="n"/>
      <c r="Z495" s="61" t="n"/>
    </row>
    <row r="496">
      <c r="C496" s="60" t="n"/>
      <c r="N496" s="61" t="n"/>
      <c r="O496" s="60" t="n"/>
      <c r="Z496" s="61" t="n"/>
    </row>
    <row r="497">
      <c r="C497" s="60" t="n"/>
      <c r="N497" s="61" t="n"/>
      <c r="O497" s="60" t="n"/>
      <c r="Z497" s="61" t="n"/>
    </row>
    <row r="498">
      <c r="C498" s="60" t="n"/>
      <c r="N498" s="61" t="n"/>
      <c r="O498" s="60" t="n"/>
      <c r="Z498" s="61" t="n"/>
    </row>
    <row r="499">
      <c r="C499" s="60" t="n"/>
      <c r="N499" s="61" t="n"/>
      <c r="O499" s="60" t="n"/>
      <c r="Z499" s="61" t="n"/>
    </row>
    <row r="500">
      <c r="C500" s="60" t="n"/>
      <c r="N500" s="61" t="n"/>
      <c r="O500" s="60" t="n"/>
      <c r="Z500" s="61" t="n"/>
    </row>
    <row r="501">
      <c r="C501" s="60" t="n"/>
      <c r="N501" s="61" t="n"/>
      <c r="O501" s="60" t="n"/>
      <c r="Z501" s="61" t="n"/>
    </row>
    <row r="502">
      <c r="C502" s="60" t="n"/>
      <c r="N502" s="61" t="n"/>
      <c r="O502" s="60" t="n"/>
      <c r="Z502" s="61" t="n"/>
    </row>
    <row r="503">
      <c r="C503" s="60" t="n"/>
      <c r="N503" s="61" t="n"/>
      <c r="O503" s="60" t="n"/>
      <c r="Z503" s="61" t="n"/>
    </row>
    <row r="504">
      <c r="C504" s="60" t="n"/>
      <c r="N504" s="61" t="n"/>
      <c r="O504" s="60" t="n"/>
      <c r="Z504" s="61" t="n"/>
    </row>
    <row r="505">
      <c r="C505" s="60" t="n"/>
      <c r="N505" s="61" t="n"/>
      <c r="O505" s="60" t="n"/>
      <c r="Z505" s="61" t="n"/>
    </row>
    <row r="506">
      <c r="C506" s="60" t="n"/>
      <c r="N506" s="61" t="n"/>
      <c r="O506" s="60" t="n"/>
      <c r="Z506" s="61" t="n"/>
    </row>
    <row r="507">
      <c r="C507" s="60" t="n"/>
      <c r="N507" s="61" t="n"/>
      <c r="O507" s="60" t="n"/>
      <c r="Z507" s="61" t="n"/>
    </row>
    <row r="508">
      <c r="C508" s="60" t="n"/>
      <c r="N508" s="61" t="n"/>
      <c r="O508" s="60" t="n"/>
      <c r="Z508" s="61" t="n"/>
    </row>
    <row r="509">
      <c r="C509" s="60" t="n"/>
      <c r="N509" s="61" t="n"/>
      <c r="O509" s="60" t="n"/>
      <c r="Z509" s="61" t="n"/>
    </row>
    <row r="510">
      <c r="C510" s="60" t="n"/>
      <c r="N510" s="61" t="n"/>
      <c r="O510" s="60" t="n"/>
      <c r="Z510" s="61" t="n"/>
    </row>
    <row r="511">
      <c r="C511" s="60" t="n"/>
      <c r="N511" s="61" t="n"/>
      <c r="O511" s="60" t="n"/>
      <c r="Z511" s="61" t="n"/>
    </row>
    <row r="512">
      <c r="C512" s="60" t="n"/>
      <c r="N512" s="61" t="n"/>
      <c r="O512" s="60" t="n"/>
      <c r="Z512" s="61" t="n"/>
    </row>
    <row r="513">
      <c r="C513" s="60" t="n"/>
      <c r="N513" s="61" t="n"/>
      <c r="O513" s="60" t="n"/>
      <c r="Z513" s="61" t="n"/>
    </row>
    <row r="514">
      <c r="C514" s="60" t="n"/>
      <c r="N514" s="61" t="n"/>
      <c r="O514" s="60" t="n"/>
      <c r="Z514" s="61" t="n"/>
    </row>
    <row r="515">
      <c r="C515" s="60" t="n"/>
      <c r="N515" s="61" t="n"/>
      <c r="O515" s="60" t="n"/>
      <c r="Z515" s="61" t="n"/>
    </row>
    <row r="516">
      <c r="C516" s="60" t="n"/>
      <c r="N516" s="61" t="n"/>
      <c r="O516" s="60" t="n"/>
      <c r="Z516" s="61" t="n"/>
    </row>
    <row r="517">
      <c r="C517" s="60" t="n"/>
      <c r="N517" s="61" t="n"/>
      <c r="O517" s="60" t="n"/>
      <c r="Z517" s="61" t="n"/>
    </row>
    <row r="518">
      <c r="C518" s="60" t="n"/>
      <c r="N518" s="61" t="n"/>
      <c r="O518" s="60" t="n"/>
      <c r="Z518" s="61" t="n"/>
    </row>
    <row r="519">
      <c r="C519" s="60" t="n"/>
      <c r="N519" s="61" t="n"/>
      <c r="O519" s="60" t="n"/>
      <c r="Z519" s="61" t="n"/>
    </row>
    <row r="520">
      <c r="C520" s="60" t="n"/>
      <c r="N520" s="61" t="n"/>
      <c r="O520" s="60" t="n"/>
      <c r="Z520" s="61" t="n"/>
    </row>
    <row r="521">
      <c r="C521" s="60" t="n"/>
      <c r="N521" s="61" t="n"/>
      <c r="O521" s="60" t="n"/>
      <c r="Z521" s="61" t="n"/>
    </row>
    <row r="522">
      <c r="C522" s="60" t="n"/>
      <c r="N522" s="61" t="n"/>
      <c r="O522" s="60" t="n"/>
      <c r="Z522" s="61" t="n"/>
    </row>
    <row r="523">
      <c r="C523" s="60" t="n"/>
      <c r="N523" s="61" t="n"/>
      <c r="O523" s="60" t="n"/>
      <c r="Z523" s="61" t="n"/>
    </row>
    <row r="524">
      <c r="C524" s="60" t="n"/>
      <c r="N524" s="61" t="n"/>
      <c r="O524" s="60" t="n"/>
      <c r="Z524" s="61" t="n"/>
    </row>
    <row r="525">
      <c r="C525" s="60" t="n"/>
      <c r="N525" s="61" t="n"/>
      <c r="O525" s="60" t="n"/>
      <c r="Z525" s="61" t="n"/>
    </row>
    <row r="526">
      <c r="C526" s="60" t="n"/>
      <c r="N526" s="61" t="n"/>
      <c r="O526" s="60" t="n"/>
      <c r="Z526" s="61" t="n"/>
    </row>
    <row r="527">
      <c r="C527" s="60" t="n"/>
      <c r="N527" s="61" t="n"/>
      <c r="O527" s="60" t="n"/>
      <c r="Z527" s="61" t="n"/>
    </row>
    <row r="528">
      <c r="C528" s="60" t="n"/>
      <c r="N528" s="61" t="n"/>
      <c r="O528" s="60" t="n"/>
      <c r="Z528" s="61" t="n"/>
    </row>
    <row r="529">
      <c r="C529" s="60" t="n"/>
      <c r="N529" s="61" t="n"/>
      <c r="O529" s="60" t="n"/>
      <c r="Z529" s="61" t="n"/>
    </row>
    <row r="530">
      <c r="C530" s="60" t="n"/>
      <c r="N530" s="61" t="n"/>
      <c r="O530" s="60" t="n"/>
      <c r="Z530" s="61" t="n"/>
    </row>
    <row r="531">
      <c r="C531" s="60" t="n"/>
      <c r="N531" s="61" t="n"/>
      <c r="O531" s="60" t="n"/>
      <c r="Z531" s="61" t="n"/>
    </row>
    <row r="532">
      <c r="C532" s="60" t="n"/>
      <c r="N532" s="61" t="n"/>
      <c r="O532" s="60" t="n"/>
      <c r="Z532" s="61" t="n"/>
    </row>
    <row r="533">
      <c r="C533" s="60" t="n"/>
      <c r="N533" s="61" t="n"/>
      <c r="O533" s="60" t="n"/>
      <c r="Z533" s="61" t="n"/>
    </row>
    <row r="534">
      <c r="C534" s="60" t="n"/>
      <c r="N534" s="61" t="n"/>
      <c r="O534" s="60" t="n"/>
      <c r="Z534" s="61" t="n"/>
    </row>
    <row r="535">
      <c r="C535" s="60" t="n"/>
      <c r="N535" s="61" t="n"/>
      <c r="O535" s="60" t="n"/>
      <c r="Z535" s="61" t="n"/>
    </row>
    <row r="536">
      <c r="C536" s="60" t="n"/>
      <c r="N536" s="61" t="n"/>
      <c r="O536" s="60" t="n"/>
      <c r="Z536" s="61" t="n"/>
    </row>
    <row r="537">
      <c r="C537" s="60" t="n"/>
      <c r="N537" s="61" t="n"/>
      <c r="O537" s="60" t="n"/>
      <c r="Z537" s="61" t="n"/>
    </row>
    <row r="538">
      <c r="C538" s="60" t="n"/>
      <c r="N538" s="61" t="n"/>
      <c r="O538" s="60" t="n"/>
      <c r="Z538" s="61" t="n"/>
    </row>
    <row r="539">
      <c r="C539" s="60" t="n"/>
      <c r="N539" s="61" t="n"/>
      <c r="O539" s="60" t="n"/>
      <c r="Z539" s="61" t="n"/>
    </row>
    <row r="540">
      <c r="C540" s="60" t="n"/>
      <c r="N540" s="61" t="n"/>
      <c r="O540" s="60" t="n"/>
      <c r="Z540" s="61" t="n"/>
    </row>
    <row r="541">
      <c r="C541" s="60" t="n"/>
      <c r="N541" s="61" t="n"/>
      <c r="O541" s="60" t="n"/>
      <c r="Z541" s="61" t="n"/>
    </row>
    <row r="542">
      <c r="C542" s="60" t="n"/>
      <c r="N542" s="61" t="n"/>
      <c r="O542" s="60" t="n"/>
      <c r="Z542" s="61" t="n"/>
    </row>
    <row r="543">
      <c r="C543" s="60" t="n"/>
      <c r="N543" s="61" t="n"/>
      <c r="O543" s="60" t="n"/>
      <c r="Z543" s="61" t="n"/>
    </row>
    <row r="544">
      <c r="C544" s="60" t="n"/>
      <c r="N544" s="61" t="n"/>
      <c r="O544" s="60" t="n"/>
      <c r="Z544" s="61" t="n"/>
    </row>
    <row r="545">
      <c r="C545" s="60" t="n"/>
      <c r="N545" s="61" t="n"/>
      <c r="O545" s="60" t="n"/>
      <c r="Z545" s="61" t="n"/>
    </row>
    <row r="546">
      <c r="C546" s="60" t="n"/>
      <c r="N546" s="61" t="n"/>
      <c r="O546" s="60" t="n"/>
      <c r="Z546" s="61" t="n"/>
    </row>
    <row r="547">
      <c r="C547" s="60" t="n"/>
      <c r="N547" s="61" t="n"/>
      <c r="O547" s="60" t="n"/>
      <c r="Z547" s="61" t="n"/>
    </row>
    <row r="548">
      <c r="C548" s="60" t="n"/>
      <c r="N548" s="61" t="n"/>
      <c r="O548" s="60" t="n"/>
      <c r="Z548" s="61" t="n"/>
    </row>
    <row r="549">
      <c r="C549" s="60" t="n"/>
      <c r="N549" s="61" t="n"/>
      <c r="O549" s="60" t="n"/>
      <c r="Z549" s="61" t="n"/>
    </row>
    <row r="550">
      <c r="C550" s="60" t="n"/>
      <c r="N550" s="61" t="n"/>
      <c r="O550" s="60" t="n"/>
      <c r="Z550" s="61" t="n"/>
    </row>
    <row r="551">
      <c r="C551" s="60" t="n"/>
      <c r="N551" s="61" t="n"/>
      <c r="O551" s="60" t="n"/>
      <c r="Z551" s="61" t="n"/>
    </row>
    <row r="552">
      <c r="C552" s="60" t="n"/>
      <c r="N552" s="61" t="n"/>
      <c r="O552" s="60" t="n"/>
      <c r="Z552" s="61" t="n"/>
    </row>
    <row r="553">
      <c r="C553" s="60" t="n"/>
      <c r="N553" s="61" t="n"/>
      <c r="O553" s="60" t="n"/>
      <c r="Z553" s="61" t="n"/>
    </row>
    <row r="554">
      <c r="C554" s="60" t="n"/>
      <c r="N554" s="61" t="n"/>
      <c r="O554" s="60" t="n"/>
      <c r="Z554" s="61" t="n"/>
    </row>
    <row r="555">
      <c r="C555" s="60" t="n"/>
      <c r="N555" s="61" t="n"/>
      <c r="O555" s="60" t="n"/>
      <c r="Z555" s="61" t="n"/>
    </row>
    <row r="556">
      <c r="C556" s="60" t="n"/>
      <c r="N556" s="61" t="n"/>
      <c r="O556" s="60" t="n"/>
      <c r="Z556" s="61" t="n"/>
    </row>
    <row r="557">
      <c r="C557" s="60" t="n"/>
      <c r="N557" s="61" t="n"/>
      <c r="O557" s="60" t="n"/>
      <c r="Z557" s="61" t="n"/>
    </row>
    <row r="558">
      <c r="C558" s="60" t="n"/>
      <c r="N558" s="61" t="n"/>
      <c r="O558" s="60" t="n"/>
      <c r="Z558" s="61" t="n"/>
    </row>
    <row r="559">
      <c r="C559" s="60" t="n"/>
      <c r="N559" s="61" t="n"/>
      <c r="O559" s="60" t="n"/>
      <c r="Z559" s="61" t="n"/>
    </row>
    <row r="560">
      <c r="C560" s="60" t="n"/>
      <c r="N560" s="61" t="n"/>
      <c r="O560" s="60" t="n"/>
      <c r="Z560" s="61" t="n"/>
    </row>
    <row r="561">
      <c r="C561" s="60" t="n"/>
      <c r="N561" s="61" t="n"/>
      <c r="O561" s="60" t="n"/>
      <c r="Z561" s="61" t="n"/>
    </row>
    <row r="562">
      <c r="C562" s="60" t="n"/>
      <c r="N562" s="61" t="n"/>
      <c r="O562" s="60" t="n"/>
      <c r="Z562" s="61" t="n"/>
    </row>
    <row r="563">
      <c r="C563" s="60" t="n"/>
      <c r="N563" s="61" t="n"/>
      <c r="O563" s="60" t="n"/>
      <c r="Z563" s="61" t="n"/>
    </row>
    <row r="564">
      <c r="C564" s="60" t="n"/>
      <c r="N564" s="61" t="n"/>
      <c r="O564" s="60" t="n"/>
      <c r="Z564" s="61" t="n"/>
    </row>
    <row r="565">
      <c r="C565" s="60" t="n"/>
      <c r="N565" s="61" t="n"/>
      <c r="O565" s="60" t="n"/>
      <c r="Z565" s="61" t="n"/>
    </row>
    <row r="566">
      <c r="C566" s="60" t="n"/>
      <c r="N566" s="61" t="n"/>
      <c r="O566" s="60" t="n"/>
      <c r="Z566" s="61" t="n"/>
    </row>
    <row r="567">
      <c r="C567" s="60" t="n"/>
      <c r="N567" s="61" t="n"/>
      <c r="O567" s="60" t="n"/>
      <c r="Z567" s="61" t="n"/>
    </row>
    <row r="568">
      <c r="C568" s="60" t="n"/>
      <c r="N568" s="61" t="n"/>
      <c r="O568" s="60" t="n"/>
      <c r="Z568" s="61" t="n"/>
    </row>
    <row r="569">
      <c r="C569" s="60" t="n"/>
      <c r="N569" s="61" t="n"/>
      <c r="O569" s="60" t="n"/>
      <c r="Z569" s="61" t="n"/>
    </row>
    <row r="570">
      <c r="C570" s="60" t="n"/>
      <c r="N570" s="61" t="n"/>
      <c r="O570" s="60" t="n"/>
      <c r="Z570" s="61" t="n"/>
    </row>
    <row r="571">
      <c r="C571" s="60" t="n"/>
      <c r="N571" s="61" t="n"/>
      <c r="O571" s="60" t="n"/>
      <c r="Z571" s="61" t="n"/>
    </row>
    <row r="572">
      <c r="C572" s="60" t="n"/>
      <c r="N572" s="61" t="n"/>
      <c r="O572" s="60" t="n"/>
      <c r="Z572" s="61" t="n"/>
    </row>
    <row r="573">
      <c r="C573" s="60" t="n"/>
      <c r="N573" s="61" t="n"/>
      <c r="O573" s="60" t="n"/>
      <c r="Z573" s="61" t="n"/>
    </row>
    <row r="574">
      <c r="C574" s="60" t="n"/>
      <c r="N574" s="61" t="n"/>
      <c r="O574" s="60" t="n"/>
      <c r="Z574" s="61" t="n"/>
    </row>
    <row r="575">
      <c r="C575" s="60" t="n"/>
      <c r="N575" s="61" t="n"/>
      <c r="O575" s="60" t="n"/>
      <c r="Z575" s="61" t="n"/>
    </row>
    <row r="576">
      <c r="C576" s="60" t="n"/>
      <c r="N576" s="61" t="n"/>
      <c r="O576" s="60" t="n"/>
      <c r="Z576" s="61" t="n"/>
    </row>
    <row r="577">
      <c r="C577" s="60" t="n"/>
      <c r="N577" s="61" t="n"/>
      <c r="O577" s="60" t="n"/>
      <c r="Z577" s="61" t="n"/>
    </row>
    <row r="578">
      <c r="C578" s="60" t="n"/>
      <c r="N578" s="61" t="n"/>
      <c r="O578" s="60" t="n"/>
      <c r="Z578" s="61" t="n"/>
    </row>
    <row r="579">
      <c r="C579" s="60" t="n"/>
      <c r="N579" s="61" t="n"/>
      <c r="O579" s="60" t="n"/>
      <c r="Z579" s="61" t="n"/>
    </row>
    <row r="580">
      <c r="C580" s="60" t="n"/>
      <c r="N580" s="61" t="n"/>
      <c r="O580" s="60" t="n"/>
      <c r="Z580" s="61" t="n"/>
    </row>
    <row r="581">
      <c r="C581" s="60" t="n"/>
      <c r="N581" s="61" t="n"/>
      <c r="O581" s="60" t="n"/>
      <c r="Z581" s="61" t="n"/>
    </row>
    <row r="582">
      <c r="C582" s="60" t="n"/>
      <c r="N582" s="61" t="n"/>
      <c r="O582" s="60" t="n"/>
      <c r="Z582" s="61" t="n"/>
    </row>
    <row r="583">
      <c r="C583" s="60" t="n"/>
      <c r="N583" s="61" t="n"/>
      <c r="O583" s="60" t="n"/>
      <c r="Z583" s="61" t="n"/>
    </row>
    <row r="584">
      <c r="C584" s="60" t="n"/>
      <c r="N584" s="61" t="n"/>
      <c r="O584" s="60" t="n"/>
      <c r="Z584" s="61" t="n"/>
    </row>
    <row r="585">
      <c r="C585" s="60" t="n"/>
      <c r="N585" s="61" t="n"/>
      <c r="O585" s="60" t="n"/>
      <c r="Z585" s="61" t="n"/>
    </row>
    <row r="586">
      <c r="C586" s="60" t="n"/>
      <c r="N586" s="61" t="n"/>
      <c r="O586" s="60" t="n"/>
      <c r="Z586" s="61" t="n"/>
    </row>
    <row r="587">
      <c r="C587" s="60" t="n"/>
      <c r="N587" s="61" t="n"/>
      <c r="O587" s="60" t="n"/>
      <c r="Z587" s="61" t="n"/>
    </row>
    <row r="588">
      <c r="C588" s="60" t="n"/>
      <c r="N588" s="61" t="n"/>
      <c r="O588" s="60" t="n"/>
      <c r="Z588" s="61" t="n"/>
    </row>
    <row r="589">
      <c r="C589" s="60" t="n"/>
      <c r="N589" s="61" t="n"/>
      <c r="O589" s="60" t="n"/>
      <c r="Z589" s="61" t="n"/>
    </row>
    <row r="590">
      <c r="C590" s="60" t="n"/>
      <c r="N590" s="61" t="n"/>
      <c r="O590" s="60" t="n"/>
      <c r="Z590" s="61" t="n"/>
    </row>
    <row r="591">
      <c r="C591" s="60" t="n"/>
      <c r="N591" s="61" t="n"/>
      <c r="O591" s="60" t="n"/>
      <c r="Z591" s="61" t="n"/>
    </row>
    <row r="592">
      <c r="C592" s="60" t="n"/>
      <c r="N592" s="61" t="n"/>
      <c r="O592" s="60" t="n"/>
      <c r="Z592" s="61" t="n"/>
    </row>
    <row r="593">
      <c r="C593" s="60" t="n"/>
      <c r="N593" s="61" t="n"/>
      <c r="O593" s="60" t="n"/>
      <c r="Z593" s="61" t="n"/>
    </row>
    <row r="594">
      <c r="C594" s="60" t="n"/>
      <c r="N594" s="61" t="n"/>
      <c r="O594" s="60" t="n"/>
      <c r="Z594" s="61" t="n"/>
    </row>
    <row r="595">
      <c r="C595" s="60" t="n"/>
      <c r="N595" s="61" t="n"/>
      <c r="O595" s="60" t="n"/>
      <c r="Z595" s="61" t="n"/>
    </row>
    <row r="596">
      <c r="C596" s="60" t="n"/>
      <c r="N596" s="61" t="n"/>
      <c r="O596" s="60" t="n"/>
      <c r="Z596" s="61" t="n"/>
    </row>
    <row r="597">
      <c r="C597" s="60" t="n"/>
      <c r="N597" s="61" t="n"/>
      <c r="O597" s="60" t="n"/>
      <c r="Z597" s="61" t="n"/>
    </row>
    <row r="598">
      <c r="C598" s="60" t="n"/>
      <c r="N598" s="61" t="n"/>
      <c r="O598" s="60" t="n"/>
      <c r="Z598" s="61" t="n"/>
    </row>
    <row r="599">
      <c r="C599" s="60" t="n"/>
      <c r="N599" s="61" t="n"/>
      <c r="O599" s="60" t="n"/>
      <c r="Z599" s="61" t="n"/>
    </row>
    <row r="600">
      <c r="C600" s="60" t="n"/>
      <c r="N600" s="61" t="n"/>
      <c r="O600" s="60" t="n"/>
      <c r="Z600" s="61" t="n"/>
    </row>
    <row r="601">
      <c r="C601" s="60" t="n"/>
      <c r="N601" s="61" t="n"/>
      <c r="O601" s="60" t="n"/>
      <c r="Z601" s="61" t="n"/>
    </row>
    <row r="602">
      <c r="C602" s="60" t="n"/>
      <c r="N602" s="61" t="n"/>
      <c r="O602" s="60" t="n"/>
      <c r="Z602" s="61" t="n"/>
    </row>
    <row r="603">
      <c r="C603" s="60" t="n"/>
      <c r="N603" s="61" t="n"/>
      <c r="O603" s="60" t="n"/>
      <c r="Z603" s="61" t="n"/>
    </row>
    <row r="604">
      <c r="C604" s="60" t="n"/>
      <c r="N604" s="61" t="n"/>
      <c r="O604" s="60" t="n"/>
      <c r="Z604" s="61" t="n"/>
    </row>
    <row r="605">
      <c r="C605" s="60" t="n"/>
      <c r="N605" s="61" t="n"/>
      <c r="O605" s="60" t="n"/>
      <c r="Z605" s="61" t="n"/>
    </row>
    <row r="606">
      <c r="C606" s="60" t="n"/>
      <c r="N606" s="61" t="n"/>
      <c r="O606" s="60" t="n"/>
      <c r="Z606" s="61" t="n"/>
    </row>
    <row r="607">
      <c r="C607" s="60" t="n"/>
      <c r="N607" s="61" t="n"/>
      <c r="O607" s="60" t="n"/>
      <c r="Z607" s="61" t="n"/>
    </row>
    <row r="608">
      <c r="C608" s="60" t="n"/>
      <c r="N608" s="61" t="n"/>
      <c r="O608" s="60" t="n"/>
      <c r="Z608" s="61" t="n"/>
    </row>
    <row r="609">
      <c r="C609" s="60" t="n"/>
      <c r="N609" s="61" t="n"/>
      <c r="O609" s="60" t="n"/>
      <c r="Z609" s="61" t="n"/>
    </row>
    <row r="610">
      <c r="C610" s="60" t="n"/>
      <c r="N610" s="61" t="n"/>
      <c r="O610" s="60" t="n"/>
      <c r="Z610" s="61" t="n"/>
    </row>
    <row r="611">
      <c r="C611" s="60" t="n"/>
      <c r="N611" s="61" t="n"/>
      <c r="O611" s="60" t="n"/>
      <c r="Z611" s="61" t="n"/>
    </row>
    <row r="612">
      <c r="C612" s="60" t="n"/>
      <c r="N612" s="61" t="n"/>
      <c r="O612" s="60" t="n"/>
      <c r="Z612" s="61" t="n"/>
    </row>
    <row r="613">
      <c r="C613" s="60" t="n"/>
      <c r="N613" s="61" t="n"/>
      <c r="O613" s="60" t="n"/>
      <c r="Z613" s="61" t="n"/>
    </row>
    <row r="614">
      <c r="C614" s="60" t="n"/>
      <c r="N614" s="61" t="n"/>
      <c r="O614" s="60" t="n"/>
      <c r="Z614" s="61" t="n"/>
    </row>
    <row r="615">
      <c r="C615" s="60" t="n"/>
      <c r="N615" s="61" t="n"/>
      <c r="O615" s="60" t="n"/>
      <c r="Z615" s="61" t="n"/>
    </row>
    <row r="616">
      <c r="C616" s="60" t="n"/>
      <c r="N616" s="61" t="n"/>
      <c r="O616" s="60" t="n"/>
      <c r="Z616" s="61" t="n"/>
    </row>
    <row r="617">
      <c r="C617" s="60" t="n"/>
      <c r="N617" s="61" t="n"/>
      <c r="O617" s="60" t="n"/>
      <c r="Z617" s="61" t="n"/>
    </row>
    <row r="618">
      <c r="C618" s="60" t="n"/>
      <c r="N618" s="61" t="n"/>
      <c r="O618" s="60" t="n"/>
      <c r="Z618" s="61" t="n"/>
    </row>
    <row r="619">
      <c r="C619" s="60" t="n"/>
      <c r="N619" s="61" t="n"/>
      <c r="O619" s="60" t="n"/>
      <c r="Z619" s="61" t="n"/>
    </row>
    <row r="620">
      <c r="C620" s="60" t="n"/>
      <c r="N620" s="61" t="n"/>
      <c r="O620" s="60" t="n"/>
      <c r="Z620" s="61" t="n"/>
    </row>
    <row r="621">
      <c r="C621" s="60" t="n"/>
      <c r="N621" s="61" t="n"/>
      <c r="O621" s="60" t="n"/>
      <c r="Z621" s="61" t="n"/>
    </row>
    <row r="622">
      <c r="C622" s="60" t="n"/>
      <c r="N622" s="61" t="n"/>
      <c r="O622" s="60" t="n"/>
      <c r="Z622" s="61" t="n"/>
    </row>
    <row r="623">
      <c r="C623" s="60" t="n"/>
      <c r="N623" s="61" t="n"/>
      <c r="O623" s="60" t="n"/>
      <c r="Z623" s="61" t="n"/>
    </row>
    <row r="624">
      <c r="C624" s="60" t="n"/>
      <c r="N624" s="61" t="n"/>
      <c r="O624" s="60" t="n"/>
      <c r="Z624" s="61" t="n"/>
    </row>
    <row r="625">
      <c r="C625" s="60" t="n"/>
      <c r="N625" s="61" t="n"/>
      <c r="O625" s="60" t="n"/>
      <c r="Z625" s="61" t="n"/>
    </row>
    <row r="626">
      <c r="C626" s="60" t="n"/>
      <c r="N626" s="61" t="n"/>
      <c r="O626" s="60" t="n"/>
      <c r="Z626" s="61" t="n"/>
    </row>
    <row r="627">
      <c r="C627" s="60" t="n"/>
      <c r="N627" s="61" t="n"/>
      <c r="O627" s="60" t="n"/>
      <c r="Z627" s="61" t="n"/>
    </row>
    <row r="628">
      <c r="C628" s="60" t="n"/>
      <c r="N628" s="61" t="n"/>
      <c r="O628" s="60" t="n"/>
      <c r="Z628" s="61" t="n"/>
    </row>
    <row r="629">
      <c r="C629" s="60" t="n"/>
      <c r="N629" s="61" t="n"/>
      <c r="O629" s="60" t="n"/>
      <c r="Z629" s="61" t="n"/>
    </row>
    <row r="630">
      <c r="C630" s="60" t="n"/>
      <c r="N630" s="61" t="n"/>
      <c r="O630" s="60" t="n"/>
      <c r="Z630" s="61" t="n"/>
    </row>
    <row r="631">
      <c r="C631" s="60" t="n"/>
      <c r="N631" s="61" t="n"/>
      <c r="O631" s="60" t="n"/>
      <c r="Z631" s="61" t="n"/>
    </row>
    <row r="632">
      <c r="C632" s="60" t="n"/>
      <c r="N632" s="61" t="n"/>
      <c r="O632" s="60" t="n"/>
      <c r="Z632" s="61" t="n"/>
    </row>
    <row r="633">
      <c r="C633" s="60" t="n"/>
      <c r="N633" s="61" t="n"/>
      <c r="O633" s="60" t="n"/>
      <c r="Z633" s="61" t="n"/>
    </row>
    <row r="634">
      <c r="C634" s="60" t="n"/>
      <c r="N634" s="61" t="n"/>
      <c r="O634" s="60" t="n"/>
      <c r="Z634" s="61" t="n"/>
    </row>
    <row r="635">
      <c r="C635" s="60" t="n"/>
      <c r="N635" s="61" t="n"/>
      <c r="O635" s="60" t="n"/>
      <c r="Z635" s="61" t="n"/>
    </row>
    <row r="636">
      <c r="C636" s="60" t="n"/>
      <c r="N636" s="61" t="n"/>
      <c r="O636" s="60" t="n"/>
      <c r="Z636" s="61" t="n"/>
    </row>
    <row r="637">
      <c r="C637" s="60" t="n"/>
      <c r="N637" s="61" t="n"/>
      <c r="O637" s="60" t="n"/>
      <c r="Z637" s="61" t="n"/>
    </row>
    <row r="638">
      <c r="C638" s="60" t="n"/>
      <c r="N638" s="61" t="n"/>
      <c r="O638" s="60" t="n"/>
      <c r="Z638" s="61" t="n"/>
    </row>
    <row r="639">
      <c r="C639" s="60" t="n"/>
      <c r="N639" s="61" t="n"/>
      <c r="O639" s="60" t="n"/>
      <c r="Z639" s="61" t="n"/>
    </row>
    <row r="640">
      <c r="C640" s="60" t="n"/>
      <c r="N640" s="61" t="n"/>
      <c r="O640" s="60" t="n"/>
      <c r="Z640" s="61" t="n"/>
    </row>
    <row r="641">
      <c r="C641" s="60" t="n"/>
      <c r="N641" s="61" t="n"/>
      <c r="O641" s="60" t="n"/>
      <c r="Z641" s="61" t="n"/>
    </row>
    <row r="642">
      <c r="C642" s="60" t="n"/>
      <c r="N642" s="61" t="n"/>
      <c r="O642" s="60" t="n"/>
      <c r="Z642" s="61" t="n"/>
    </row>
    <row r="643">
      <c r="C643" s="60" t="n"/>
      <c r="N643" s="61" t="n"/>
      <c r="O643" s="60" t="n"/>
      <c r="Z643" s="61" t="n"/>
    </row>
    <row r="644">
      <c r="C644" s="60" t="n"/>
      <c r="N644" s="61" t="n"/>
      <c r="O644" s="60" t="n"/>
      <c r="Z644" s="61" t="n"/>
    </row>
    <row r="645">
      <c r="C645" s="60" t="n"/>
      <c r="N645" s="61" t="n"/>
      <c r="O645" s="60" t="n"/>
      <c r="Z645" s="61" t="n"/>
    </row>
    <row r="646">
      <c r="C646" s="60" t="n"/>
      <c r="N646" s="61" t="n"/>
      <c r="O646" s="60" t="n"/>
      <c r="Z646" s="61" t="n"/>
    </row>
    <row r="647">
      <c r="C647" s="60" t="n"/>
      <c r="N647" s="61" t="n"/>
      <c r="O647" s="60" t="n"/>
      <c r="Z647" s="61" t="n"/>
    </row>
    <row r="648">
      <c r="C648" s="60" t="n"/>
      <c r="N648" s="61" t="n"/>
      <c r="O648" s="60" t="n"/>
      <c r="Z648" s="61" t="n"/>
    </row>
    <row r="649">
      <c r="C649" s="60" t="n"/>
      <c r="N649" s="61" t="n"/>
      <c r="O649" s="60" t="n"/>
      <c r="Z649" s="61" t="n"/>
    </row>
    <row r="650">
      <c r="C650" s="60" t="n"/>
      <c r="N650" s="61" t="n"/>
      <c r="O650" s="60" t="n"/>
      <c r="Z650" s="61" t="n"/>
    </row>
    <row r="651">
      <c r="C651" s="60" t="n"/>
      <c r="N651" s="61" t="n"/>
      <c r="O651" s="60" t="n"/>
      <c r="Z651" s="61" t="n"/>
    </row>
    <row r="652">
      <c r="C652" s="60" t="n"/>
      <c r="N652" s="61" t="n"/>
      <c r="O652" s="60" t="n"/>
      <c r="Z652" s="61" t="n"/>
    </row>
    <row r="653">
      <c r="C653" s="60" t="n"/>
      <c r="N653" s="61" t="n"/>
      <c r="O653" s="60" t="n"/>
      <c r="Z653" s="61" t="n"/>
    </row>
    <row r="654">
      <c r="C654" s="60" t="n"/>
      <c r="N654" s="61" t="n"/>
      <c r="O654" s="60" t="n"/>
      <c r="Z654" s="61" t="n"/>
    </row>
    <row r="655">
      <c r="C655" s="60" t="n"/>
      <c r="N655" s="61" t="n"/>
      <c r="O655" s="60" t="n"/>
      <c r="Z655" s="61" t="n"/>
    </row>
    <row r="656">
      <c r="C656" s="60" t="n"/>
      <c r="N656" s="61" t="n"/>
      <c r="O656" s="60" t="n"/>
      <c r="Z656" s="61" t="n"/>
    </row>
    <row r="657">
      <c r="C657" s="60" t="n"/>
      <c r="N657" s="61" t="n"/>
      <c r="O657" s="60" t="n"/>
      <c r="Z657" s="61" t="n"/>
    </row>
    <row r="658">
      <c r="C658" s="60" t="n"/>
      <c r="N658" s="61" t="n"/>
      <c r="O658" s="60" t="n"/>
      <c r="Z658" s="61" t="n"/>
    </row>
    <row r="659">
      <c r="C659" s="60" t="n"/>
      <c r="N659" s="61" t="n"/>
      <c r="O659" s="60" t="n"/>
      <c r="Z659" s="61" t="n"/>
    </row>
    <row r="660">
      <c r="C660" s="60" t="n"/>
      <c r="N660" s="61" t="n"/>
      <c r="O660" s="60" t="n"/>
      <c r="Z660" s="61" t="n"/>
    </row>
    <row r="661">
      <c r="C661" s="60" t="n"/>
      <c r="N661" s="61" t="n"/>
      <c r="O661" s="60" t="n"/>
      <c r="Z661" s="61" t="n"/>
    </row>
    <row r="662">
      <c r="C662" s="60" t="n"/>
      <c r="N662" s="61" t="n"/>
      <c r="O662" s="60" t="n"/>
      <c r="Z662" s="61" t="n"/>
    </row>
    <row r="663">
      <c r="C663" s="60" t="n"/>
      <c r="N663" s="61" t="n"/>
      <c r="O663" s="60" t="n"/>
      <c r="Z663" s="61" t="n"/>
    </row>
    <row r="664">
      <c r="C664" s="60" t="n"/>
      <c r="N664" s="61" t="n"/>
      <c r="O664" s="60" t="n"/>
      <c r="Z664" s="61" t="n"/>
    </row>
    <row r="665">
      <c r="C665" s="60" t="n"/>
      <c r="N665" s="61" t="n"/>
      <c r="O665" s="60" t="n"/>
      <c r="Z665" s="61" t="n"/>
    </row>
    <row r="666">
      <c r="C666" s="60" t="n"/>
      <c r="N666" s="61" t="n"/>
      <c r="O666" s="60" t="n"/>
      <c r="Z666" s="61" t="n"/>
    </row>
    <row r="667">
      <c r="C667" s="60" t="n"/>
      <c r="N667" s="61" t="n"/>
      <c r="O667" s="60" t="n"/>
      <c r="Z667" s="61" t="n"/>
    </row>
    <row r="668">
      <c r="C668" s="60" t="n"/>
      <c r="N668" s="61" t="n"/>
      <c r="O668" s="60" t="n"/>
      <c r="Z668" s="61" t="n"/>
    </row>
    <row r="669">
      <c r="C669" s="60" t="n"/>
      <c r="N669" s="61" t="n"/>
      <c r="O669" s="60" t="n"/>
      <c r="Z669" s="61" t="n"/>
    </row>
    <row r="670">
      <c r="C670" s="60" t="n"/>
      <c r="N670" s="61" t="n"/>
      <c r="O670" s="60" t="n"/>
      <c r="Z670" s="61" t="n"/>
    </row>
    <row r="671">
      <c r="C671" s="60" t="n"/>
      <c r="N671" s="61" t="n"/>
      <c r="O671" s="60" t="n"/>
      <c r="Z671" s="61" t="n"/>
    </row>
    <row r="672">
      <c r="C672" s="60" t="n"/>
      <c r="N672" s="61" t="n"/>
      <c r="O672" s="60" t="n"/>
      <c r="Z672" s="61" t="n"/>
    </row>
    <row r="673">
      <c r="C673" s="60" t="n"/>
      <c r="N673" s="61" t="n"/>
      <c r="O673" s="60" t="n"/>
      <c r="Z673" s="61" t="n"/>
    </row>
    <row r="674">
      <c r="C674" s="60" t="n"/>
      <c r="N674" s="61" t="n"/>
      <c r="O674" s="60" t="n"/>
      <c r="Z674" s="61" t="n"/>
    </row>
    <row r="675">
      <c r="C675" s="60" t="n"/>
      <c r="N675" s="61" t="n"/>
      <c r="O675" s="60" t="n"/>
      <c r="Z675" s="61" t="n"/>
    </row>
    <row r="676">
      <c r="C676" s="60" t="n"/>
      <c r="N676" s="61" t="n"/>
      <c r="O676" s="60" t="n"/>
      <c r="Z676" s="61" t="n"/>
    </row>
    <row r="677">
      <c r="C677" s="60" t="n"/>
      <c r="N677" s="61" t="n"/>
      <c r="O677" s="60" t="n"/>
      <c r="Z677" s="61" t="n"/>
    </row>
    <row r="678">
      <c r="C678" s="60" t="n"/>
      <c r="N678" s="61" t="n"/>
      <c r="O678" s="60" t="n"/>
      <c r="Z678" s="61" t="n"/>
    </row>
    <row r="679">
      <c r="C679" s="60" t="n"/>
      <c r="N679" s="61" t="n"/>
      <c r="O679" s="60" t="n"/>
      <c r="Z679" s="61" t="n"/>
    </row>
    <row r="680">
      <c r="C680" s="60" t="n"/>
      <c r="N680" s="61" t="n"/>
      <c r="O680" s="60" t="n"/>
      <c r="Z680" s="61" t="n"/>
    </row>
    <row r="681">
      <c r="C681" s="60" t="n"/>
      <c r="N681" s="61" t="n"/>
      <c r="O681" s="60" t="n"/>
      <c r="Z681" s="61" t="n"/>
    </row>
    <row r="682">
      <c r="C682" s="60" t="n"/>
      <c r="N682" s="61" t="n"/>
      <c r="O682" s="60" t="n"/>
      <c r="Z682" s="61" t="n"/>
    </row>
    <row r="683">
      <c r="C683" s="60" t="n"/>
      <c r="N683" s="61" t="n"/>
      <c r="O683" s="60" t="n"/>
      <c r="Z683" s="61" t="n"/>
    </row>
    <row r="684">
      <c r="C684" s="60" t="n"/>
      <c r="N684" s="61" t="n"/>
      <c r="O684" s="60" t="n"/>
      <c r="Z684" s="61" t="n"/>
    </row>
    <row r="685">
      <c r="C685" s="60" t="n"/>
      <c r="N685" s="61" t="n"/>
      <c r="O685" s="60" t="n"/>
      <c r="Z685" s="61" t="n"/>
    </row>
    <row r="686">
      <c r="C686" s="60" t="n"/>
      <c r="N686" s="61" t="n"/>
      <c r="O686" s="60" t="n"/>
      <c r="Z686" s="61" t="n"/>
    </row>
    <row r="687">
      <c r="C687" s="60" t="n"/>
      <c r="N687" s="61" t="n"/>
      <c r="O687" s="60" t="n"/>
      <c r="Z687" s="61" t="n"/>
    </row>
    <row r="688">
      <c r="C688" s="60" t="n"/>
      <c r="N688" s="61" t="n"/>
      <c r="O688" s="60" t="n"/>
      <c r="Z688" s="61" t="n"/>
    </row>
    <row r="689">
      <c r="C689" s="60" t="n"/>
      <c r="N689" s="61" t="n"/>
      <c r="O689" s="60" t="n"/>
      <c r="Z689" s="61" t="n"/>
    </row>
    <row r="690">
      <c r="C690" s="60" t="n"/>
      <c r="N690" s="61" t="n"/>
      <c r="O690" s="60" t="n"/>
      <c r="Z690" s="61" t="n"/>
    </row>
    <row r="691">
      <c r="C691" s="60" t="n"/>
      <c r="N691" s="61" t="n"/>
      <c r="O691" s="60" t="n"/>
      <c r="Z691" s="61" t="n"/>
    </row>
    <row r="692">
      <c r="C692" s="60" t="n"/>
      <c r="N692" s="61" t="n"/>
      <c r="O692" s="60" t="n"/>
      <c r="Z692" s="61" t="n"/>
    </row>
    <row r="693">
      <c r="C693" s="60" t="n"/>
      <c r="N693" s="61" t="n"/>
      <c r="O693" s="60" t="n"/>
      <c r="Z693" s="61" t="n"/>
    </row>
    <row r="694">
      <c r="C694" s="60" t="n"/>
      <c r="N694" s="61" t="n"/>
      <c r="O694" s="60" t="n"/>
      <c r="Z694" s="61" t="n"/>
    </row>
    <row r="695">
      <c r="C695" s="60" t="n"/>
      <c r="N695" s="61" t="n"/>
      <c r="O695" s="60" t="n"/>
      <c r="Z695" s="61" t="n"/>
    </row>
    <row r="696">
      <c r="C696" s="60" t="n"/>
      <c r="N696" s="61" t="n"/>
      <c r="O696" s="60" t="n"/>
      <c r="Z696" s="61" t="n"/>
    </row>
    <row r="697">
      <c r="C697" s="60" t="n"/>
      <c r="N697" s="61" t="n"/>
      <c r="O697" s="60" t="n"/>
      <c r="Z697" s="61" t="n"/>
    </row>
    <row r="698">
      <c r="C698" s="60" t="n"/>
      <c r="N698" s="61" t="n"/>
      <c r="O698" s="60" t="n"/>
      <c r="Z698" s="61" t="n"/>
    </row>
    <row r="699">
      <c r="C699" s="60" t="n"/>
      <c r="N699" s="61" t="n"/>
      <c r="O699" s="60" t="n"/>
      <c r="Z699" s="61" t="n"/>
    </row>
    <row r="700">
      <c r="C700" s="60" t="n"/>
      <c r="N700" s="61" t="n"/>
      <c r="O700" s="60" t="n"/>
      <c r="Z700" s="61" t="n"/>
    </row>
    <row r="701">
      <c r="C701" s="60" t="n"/>
      <c r="N701" s="61" t="n"/>
      <c r="O701" s="60" t="n"/>
      <c r="Z701" s="61" t="n"/>
    </row>
    <row r="702">
      <c r="C702" s="60" t="n"/>
      <c r="N702" s="61" t="n"/>
      <c r="O702" s="60" t="n"/>
      <c r="Z702" s="61" t="n"/>
    </row>
    <row r="703">
      <c r="C703" s="60" t="n"/>
      <c r="N703" s="61" t="n"/>
      <c r="O703" s="60" t="n"/>
      <c r="Z703" s="61" t="n"/>
    </row>
    <row r="704">
      <c r="C704" s="60" t="n"/>
      <c r="N704" s="61" t="n"/>
      <c r="O704" s="60" t="n"/>
      <c r="Z704" s="61" t="n"/>
    </row>
    <row r="705">
      <c r="C705" s="60" t="n"/>
      <c r="N705" s="61" t="n"/>
      <c r="O705" s="60" t="n"/>
      <c r="Z705" s="61" t="n"/>
    </row>
    <row r="706">
      <c r="C706" s="60" t="n"/>
      <c r="N706" s="61" t="n"/>
      <c r="O706" s="60" t="n"/>
      <c r="Z706" s="61" t="n"/>
    </row>
    <row r="707">
      <c r="C707" s="60" t="n"/>
      <c r="N707" s="61" t="n"/>
      <c r="O707" s="60" t="n"/>
      <c r="Z707" s="61" t="n"/>
    </row>
    <row r="708">
      <c r="C708" s="60" t="n"/>
      <c r="N708" s="61" t="n"/>
      <c r="O708" s="60" t="n"/>
      <c r="Z708" s="61" t="n"/>
    </row>
    <row r="709">
      <c r="C709" s="60" t="n"/>
      <c r="N709" s="61" t="n"/>
      <c r="O709" s="60" t="n"/>
      <c r="Z709" s="61" t="n"/>
    </row>
    <row r="710">
      <c r="C710" s="60" t="n"/>
      <c r="N710" s="61" t="n"/>
      <c r="O710" s="60" t="n"/>
      <c r="Z710" s="61" t="n"/>
    </row>
    <row r="711">
      <c r="C711" s="60" t="n"/>
      <c r="N711" s="61" t="n"/>
      <c r="O711" s="60" t="n"/>
      <c r="Z711" s="61" t="n"/>
    </row>
    <row r="712">
      <c r="C712" s="60" t="n"/>
      <c r="N712" s="61" t="n"/>
      <c r="O712" s="60" t="n"/>
      <c r="Z712" s="61" t="n"/>
    </row>
    <row r="713">
      <c r="C713" s="60" t="n"/>
      <c r="N713" s="61" t="n"/>
      <c r="O713" s="60" t="n"/>
      <c r="Z713" s="61" t="n"/>
    </row>
    <row r="714">
      <c r="C714" s="60" t="n"/>
      <c r="N714" s="61" t="n"/>
      <c r="O714" s="60" t="n"/>
      <c r="Z714" s="61" t="n"/>
    </row>
    <row r="715">
      <c r="C715" s="60" t="n"/>
      <c r="N715" s="61" t="n"/>
      <c r="O715" s="60" t="n"/>
      <c r="Z715" s="61" t="n"/>
    </row>
    <row r="716">
      <c r="C716" s="60" t="n"/>
      <c r="N716" s="61" t="n"/>
      <c r="O716" s="60" t="n"/>
      <c r="Z716" s="61" t="n"/>
    </row>
    <row r="717">
      <c r="C717" s="60" t="n"/>
      <c r="N717" s="61" t="n"/>
      <c r="O717" s="60" t="n"/>
      <c r="Z717" s="61" t="n"/>
    </row>
    <row r="718">
      <c r="C718" s="60" t="n"/>
      <c r="N718" s="61" t="n"/>
      <c r="O718" s="60" t="n"/>
      <c r="Z718" s="61" t="n"/>
    </row>
    <row r="719">
      <c r="C719" s="60" t="n"/>
      <c r="N719" s="61" t="n"/>
      <c r="O719" s="60" t="n"/>
      <c r="Z719" s="61" t="n"/>
    </row>
    <row r="720">
      <c r="C720" s="60" t="n"/>
      <c r="N720" s="61" t="n"/>
      <c r="O720" s="60" t="n"/>
      <c r="Z720" s="61" t="n"/>
    </row>
    <row r="721">
      <c r="C721" s="60" t="n"/>
      <c r="N721" s="61" t="n"/>
      <c r="O721" s="60" t="n"/>
      <c r="Z721" s="61" t="n"/>
    </row>
    <row r="722">
      <c r="C722" s="60" t="n"/>
      <c r="N722" s="61" t="n"/>
      <c r="O722" s="60" t="n"/>
      <c r="Z722" s="61" t="n"/>
    </row>
    <row r="723">
      <c r="C723" s="60" t="n"/>
      <c r="N723" s="61" t="n"/>
      <c r="O723" s="60" t="n"/>
      <c r="Z723" s="61" t="n"/>
    </row>
    <row r="724">
      <c r="C724" s="60" t="n"/>
      <c r="N724" s="61" t="n"/>
      <c r="O724" s="60" t="n"/>
      <c r="Z724" s="61" t="n"/>
    </row>
    <row r="725">
      <c r="C725" s="60" t="n"/>
      <c r="N725" s="61" t="n"/>
      <c r="O725" s="60" t="n"/>
      <c r="Z725" s="61" t="n"/>
    </row>
    <row r="726">
      <c r="C726" s="60" t="n"/>
      <c r="N726" s="61" t="n"/>
      <c r="O726" s="60" t="n"/>
      <c r="Z726" s="61" t="n"/>
    </row>
    <row r="727">
      <c r="C727" s="60" t="n"/>
      <c r="N727" s="61" t="n"/>
      <c r="O727" s="60" t="n"/>
      <c r="Z727" s="61" t="n"/>
    </row>
    <row r="728">
      <c r="C728" s="60" t="n"/>
      <c r="N728" s="61" t="n"/>
      <c r="O728" s="60" t="n"/>
      <c r="Z728" s="61" t="n"/>
    </row>
    <row r="729">
      <c r="C729" s="60" t="n"/>
      <c r="N729" s="61" t="n"/>
      <c r="O729" s="60" t="n"/>
      <c r="Z729" s="61" t="n"/>
    </row>
    <row r="730">
      <c r="C730" s="60" t="n"/>
      <c r="N730" s="61" t="n"/>
      <c r="O730" s="60" t="n"/>
      <c r="Z730" s="61" t="n"/>
    </row>
    <row r="731">
      <c r="C731" s="60" t="n"/>
      <c r="N731" s="61" t="n"/>
      <c r="O731" s="60" t="n"/>
      <c r="Z731" s="61" t="n"/>
    </row>
    <row r="732">
      <c r="C732" s="60" t="n"/>
      <c r="N732" s="61" t="n"/>
      <c r="O732" s="60" t="n"/>
      <c r="Z732" s="61" t="n"/>
    </row>
    <row r="733">
      <c r="C733" s="60" t="n"/>
      <c r="N733" s="61" t="n"/>
      <c r="O733" s="60" t="n"/>
      <c r="Z733" s="61" t="n"/>
    </row>
    <row r="734">
      <c r="C734" s="60" t="n"/>
      <c r="N734" s="61" t="n"/>
      <c r="O734" s="60" t="n"/>
      <c r="Z734" s="61" t="n"/>
    </row>
    <row r="735">
      <c r="C735" s="60" t="n"/>
      <c r="N735" s="61" t="n"/>
      <c r="O735" s="60" t="n"/>
      <c r="Z735" s="61" t="n"/>
    </row>
    <row r="736">
      <c r="C736" s="60" t="n"/>
      <c r="N736" s="61" t="n"/>
      <c r="O736" s="60" t="n"/>
      <c r="Z736" s="61" t="n"/>
    </row>
    <row r="737">
      <c r="C737" s="60" t="n"/>
      <c r="N737" s="61" t="n"/>
      <c r="O737" s="60" t="n"/>
      <c r="Z737" s="61" t="n"/>
    </row>
    <row r="738">
      <c r="C738" s="60" t="n"/>
      <c r="N738" s="61" t="n"/>
      <c r="O738" s="60" t="n"/>
      <c r="Z738" s="61" t="n"/>
    </row>
    <row r="739">
      <c r="C739" s="60" t="n"/>
      <c r="N739" s="61" t="n"/>
      <c r="O739" s="60" t="n"/>
      <c r="Z739" s="61" t="n"/>
    </row>
    <row r="740">
      <c r="C740" s="60" t="n"/>
      <c r="N740" s="61" t="n"/>
      <c r="O740" s="60" t="n"/>
      <c r="Z740" s="61" t="n"/>
    </row>
    <row r="741">
      <c r="C741" s="60" t="n"/>
      <c r="N741" s="61" t="n"/>
      <c r="O741" s="60" t="n"/>
      <c r="Z741" s="61" t="n"/>
    </row>
    <row r="742">
      <c r="C742" s="60" t="n"/>
      <c r="N742" s="61" t="n"/>
      <c r="O742" s="60" t="n"/>
      <c r="Z742" s="61" t="n"/>
    </row>
    <row r="743">
      <c r="C743" s="60" t="n"/>
      <c r="N743" s="61" t="n"/>
      <c r="O743" s="60" t="n"/>
      <c r="Z743" s="61" t="n"/>
    </row>
    <row r="744">
      <c r="C744" s="60" t="n"/>
      <c r="N744" s="61" t="n"/>
      <c r="O744" s="60" t="n"/>
      <c r="Z744" s="61" t="n"/>
    </row>
    <row r="745">
      <c r="C745" s="60" t="n"/>
      <c r="N745" s="61" t="n"/>
      <c r="O745" s="60" t="n"/>
      <c r="Z745" s="61" t="n"/>
    </row>
    <row r="746">
      <c r="C746" s="60" t="n"/>
      <c r="N746" s="61" t="n"/>
      <c r="O746" s="60" t="n"/>
      <c r="Z746" s="61" t="n"/>
    </row>
    <row r="747">
      <c r="C747" s="60" t="n"/>
      <c r="N747" s="61" t="n"/>
      <c r="O747" s="60" t="n"/>
      <c r="Z747" s="61" t="n"/>
    </row>
    <row r="748">
      <c r="C748" s="60" t="n"/>
      <c r="N748" s="61" t="n"/>
      <c r="O748" s="60" t="n"/>
      <c r="Z748" s="61" t="n"/>
    </row>
    <row r="749">
      <c r="C749" s="60" t="n"/>
      <c r="N749" s="61" t="n"/>
      <c r="O749" s="60" t="n"/>
      <c r="Z749" s="61" t="n"/>
    </row>
    <row r="750">
      <c r="C750" s="60" t="n"/>
      <c r="N750" s="61" t="n"/>
      <c r="O750" s="60" t="n"/>
      <c r="Z750" s="61" t="n"/>
    </row>
    <row r="751">
      <c r="C751" s="60" t="n"/>
      <c r="N751" s="61" t="n"/>
      <c r="O751" s="60" t="n"/>
      <c r="Z751" s="61" t="n"/>
    </row>
    <row r="752">
      <c r="C752" s="60" t="n"/>
      <c r="N752" s="61" t="n"/>
      <c r="O752" s="60" t="n"/>
      <c r="Z752" s="61" t="n"/>
    </row>
    <row r="753">
      <c r="C753" s="60" t="n"/>
      <c r="N753" s="61" t="n"/>
      <c r="O753" s="60" t="n"/>
      <c r="Z753" s="61" t="n"/>
    </row>
    <row r="754">
      <c r="C754" s="60" t="n"/>
      <c r="N754" s="61" t="n"/>
      <c r="O754" s="60" t="n"/>
      <c r="Z754" s="61" t="n"/>
    </row>
    <row r="755">
      <c r="C755" s="60" t="n"/>
      <c r="N755" s="61" t="n"/>
      <c r="O755" s="60" t="n"/>
      <c r="Z755" s="61" t="n"/>
    </row>
    <row r="756">
      <c r="C756" s="60" t="n"/>
      <c r="N756" s="61" t="n"/>
      <c r="O756" s="60" t="n"/>
      <c r="Z756" s="61" t="n"/>
    </row>
    <row r="757">
      <c r="C757" s="60" t="n"/>
      <c r="N757" s="61" t="n"/>
      <c r="O757" s="60" t="n"/>
      <c r="Z757" s="61" t="n"/>
    </row>
    <row r="758">
      <c r="C758" s="60" t="n"/>
      <c r="N758" s="61" t="n"/>
      <c r="O758" s="60" t="n"/>
      <c r="Z758" s="61" t="n"/>
    </row>
    <row r="759">
      <c r="C759" s="60" t="n"/>
      <c r="N759" s="61" t="n"/>
      <c r="O759" s="60" t="n"/>
      <c r="Z759" s="61" t="n"/>
    </row>
    <row r="760">
      <c r="C760" s="60" t="n"/>
      <c r="N760" s="61" t="n"/>
      <c r="O760" s="60" t="n"/>
      <c r="Z760" s="61" t="n"/>
    </row>
    <row r="761">
      <c r="C761" s="60" t="n"/>
      <c r="N761" s="61" t="n"/>
      <c r="O761" s="60" t="n"/>
      <c r="Z761" s="61" t="n"/>
    </row>
    <row r="762">
      <c r="C762" s="60" t="n"/>
      <c r="N762" s="61" t="n"/>
      <c r="O762" s="60" t="n"/>
      <c r="Z762" s="61" t="n"/>
    </row>
    <row r="763">
      <c r="C763" s="60" t="n"/>
      <c r="N763" s="61" t="n"/>
      <c r="O763" s="60" t="n"/>
      <c r="Z763" s="61" t="n"/>
    </row>
    <row r="764">
      <c r="C764" s="60" t="n"/>
      <c r="N764" s="61" t="n"/>
      <c r="O764" s="60" t="n"/>
      <c r="Z764" s="61" t="n"/>
    </row>
    <row r="765">
      <c r="C765" s="60" t="n"/>
      <c r="N765" s="61" t="n"/>
      <c r="O765" s="60" t="n"/>
      <c r="Z765" s="61" t="n"/>
    </row>
    <row r="766">
      <c r="C766" s="60" t="n"/>
      <c r="N766" s="61" t="n"/>
      <c r="O766" s="60" t="n"/>
      <c r="Z766" s="61" t="n"/>
    </row>
    <row r="767">
      <c r="C767" s="60" t="n"/>
      <c r="N767" s="61" t="n"/>
      <c r="O767" s="60" t="n"/>
      <c r="Z767" s="61" t="n"/>
    </row>
    <row r="768">
      <c r="C768" s="60" t="n"/>
      <c r="N768" s="61" t="n"/>
      <c r="O768" s="60" t="n"/>
      <c r="Z768" s="61" t="n"/>
    </row>
    <row r="769">
      <c r="C769" s="60" t="n"/>
      <c r="N769" s="61" t="n"/>
      <c r="O769" s="60" t="n"/>
      <c r="Z769" s="61" t="n"/>
    </row>
    <row r="770">
      <c r="C770" s="60" t="n"/>
      <c r="N770" s="61" t="n"/>
      <c r="O770" s="60" t="n"/>
      <c r="Z770" s="61" t="n"/>
    </row>
    <row r="771">
      <c r="C771" s="60" t="n"/>
      <c r="N771" s="61" t="n"/>
      <c r="O771" s="60" t="n"/>
      <c r="Z771" s="61" t="n"/>
    </row>
    <row r="772">
      <c r="C772" s="60" t="n"/>
      <c r="N772" s="61" t="n"/>
      <c r="O772" s="60" t="n"/>
      <c r="Z772" s="61" t="n"/>
    </row>
    <row r="773">
      <c r="C773" s="60" t="n"/>
      <c r="N773" s="61" t="n"/>
      <c r="O773" s="60" t="n"/>
      <c r="Z773" s="61" t="n"/>
    </row>
    <row r="774">
      <c r="C774" s="60" t="n"/>
      <c r="N774" s="61" t="n"/>
      <c r="O774" s="60" t="n"/>
      <c r="Z774" s="61" t="n"/>
    </row>
    <row r="775">
      <c r="C775" s="60" t="n"/>
      <c r="N775" s="61" t="n"/>
      <c r="O775" s="60" t="n"/>
      <c r="Z775" s="61" t="n"/>
    </row>
    <row r="776">
      <c r="C776" s="60" t="n"/>
      <c r="N776" s="61" t="n"/>
      <c r="O776" s="60" t="n"/>
      <c r="Z776" s="61" t="n"/>
    </row>
    <row r="777">
      <c r="C777" s="60" t="n"/>
      <c r="N777" s="61" t="n"/>
      <c r="O777" s="60" t="n"/>
      <c r="Z777" s="61" t="n"/>
    </row>
    <row r="778">
      <c r="C778" s="60" t="n"/>
      <c r="N778" s="61" t="n"/>
      <c r="O778" s="60" t="n"/>
      <c r="Z778" s="61" t="n"/>
    </row>
    <row r="779">
      <c r="C779" s="60" t="n"/>
      <c r="N779" s="61" t="n"/>
      <c r="O779" s="60" t="n"/>
      <c r="Z779" s="61" t="n"/>
    </row>
    <row r="780">
      <c r="C780" s="60" t="n"/>
      <c r="N780" s="61" t="n"/>
      <c r="O780" s="60" t="n"/>
      <c r="Z780" s="61" t="n"/>
    </row>
    <row r="781">
      <c r="C781" s="60" t="n"/>
      <c r="N781" s="61" t="n"/>
      <c r="O781" s="60" t="n"/>
      <c r="Z781" s="61" t="n"/>
    </row>
    <row r="782">
      <c r="C782" s="60" t="n"/>
      <c r="N782" s="61" t="n"/>
      <c r="O782" s="60" t="n"/>
      <c r="Z782" s="61" t="n"/>
    </row>
    <row r="783">
      <c r="C783" s="60" t="n"/>
      <c r="N783" s="61" t="n"/>
      <c r="O783" s="60" t="n"/>
      <c r="Z783" s="61" t="n"/>
    </row>
    <row r="784">
      <c r="C784" s="60" t="n"/>
      <c r="N784" s="61" t="n"/>
      <c r="O784" s="60" t="n"/>
      <c r="Z784" s="61" t="n"/>
    </row>
    <row r="785">
      <c r="C785" s="60" t="n"/>
      <c r="N785" s="61" t="n"/>
      <c r="O785" s="60" t="n"/>
      <c r="Z785" s="61" t="n"/>
    </row>
    <row r="786">
      <c r="C786" s="60" t="n"/>
      <c r="N786" s="61" t="n"/>
      <c r="O786" s="60" t="n"/>
      <c r="Z786" s="61" t="n"/>
    </row>
    <row r="787">
      <c r="C787" s="60" t="n"/>
      <c r="N787" s="61" t="n"/>
      <c r="O787" s="60" t="n"/>
      <c r="Z787" s="61" t="n"/>
    </row>
    <row r="788">
      <c r="C788" s="60" t="n"/>
      <c r="N788" s="61" t="n"/>
      <c r="O788" s="60" t="n"/>
      <c r="Z788" s="61" t="n"/>
    </row>
    <row r="789">
      <c r="C789" s="60" t="n"/>
      <c r="N789" s="61" t="n"/>
      <c r="O789" s="60" t="n"/>
      <c r="Z789" s="61" t="n"/>
    </row>
    <row r="790">
      <c r="C790" s="60" t="n"/>
      <c r="N790" s="61" t="n"/>
      <c r="O790" s="60" t="n"/>
      <c r="Z790" s="61" t="n"/>
    </row>
    <row r="791">
      <c r="C791" s="60" t="n"/>
      <c r="N791" s="61" t="n"/>
      <c r="O791" s="60" t="n"/>
      <c r="Z791" s="61" t="n"/>
    </row>
    <row r="792">
      <c r="C792" s="60" t="n"/>
      <c r="N792" s="61" t="n"/>
      <c r="O792" s="60" t="n"/>
      <c r="Z792" s="61" t="n"/>
    </row>
    <row r="793">
      <c r="C793" s="60" t="n"/>
      <c r="N793" s="61" t="n"/>
      <c r="O793" s="60" t="n"/>
      <c r="Z793" s="61" t="n"/>
    </row>
    <row r="794">
      <c r="C794" s="60" t="n"/>
      <c r="N794" s="61" t="n"/>
      <c r="O794" s="60" t="n"/>
      <c r="Z794" s="61" t="n"/>
    </row>
    <row r="795">
      <c r="C795" s="60" t="n"/>
      <c r="N795" s="61" t="n"/>
      <c r="O795" s="60" t="n"/>
      <c r="Z795" s="61" t="n"/>
    </row>
    <row r="796">
      <c r="C796" s="60" t="n"/>
      <c r="N796" s="61" t="n"/>
      <c r="O796" s="60" t="n"/>
      <c r="Z796" s="61" t="n"/>
    </row>
    <row r="797">
      <c r="C797" s="60" t="n"/>
      <c r="N797" s="61" t="n"/>
      <c r="O797" s="60" t="n"/>
      <c r="Z797" s="61" t="n"/>
    </row>
    <row r="798">
      <c r="C798" s="60" t="n"/>
      <c r="N798" s="61" t="n"/>
      <c r="O798" s="60" t="n"/>
      <c r="Z798" s="61" t="n"/>
    </row>
    <row r="799">
      <c r="C799" s="60" t="n"/>
      <c r="N799" s="61" t="n"/>
      <c r="O799" s="60" t="n"/>
      <c r="Z799" s="61" t="n"/>
    </row>
    <row r="800">
      <c r="C800" s="60" t="n"/>
      <c r="N800" s="61" t="n"/>
      <c r="O800" s="60" t="n"/>
      <c r="Z800" s="61" t="n"/>
    </row>
    <row r="801">
      <c r="C801" s="60" t="n"/>
      <c r="N801" s="61" t="n"/>
      <c r="O801" s="60" t="n"/>
      <c r="Z801" s="61" t="n"/>
    </row>
    <row r="802">
      <c r="C802" s="60" t="n"/>
      <c r="N802" s="61" t="n"/>
      <c r="O802" s="60" t="n"/>
      <c r="Z802" s="61" t="n"/>
    </row>
    <row r="803">
      <c r="C803" s="60" t="n"/>
      <c r="N803" s="61" t="n"/>
      <c r="O803" s="60" t="n"/>
      <c r="Z803" s="61" t="n"/>
    </row>
    <row r="804">
      <c r="C804" s="60" t="n"/>
      <c r="N804" s="61" t="n"/>
      <c r="O804" s="60" t="n"/>
      <c r="Z804" s="61" t="n"/>
    </row>
    <row r="805">
      <c r="C805" s="60" t="n"/>
      <c r="N805" s="61" t="n"/>
      <c r="O805" s="60" t="n"/>
      <c r="Z805" s="61" t="n"/>
    </row>
    <row r="806">
      <c r="C806" s="60" t="n"/>
      <c r="N806" s="61" t="n"/>
      <c r="O806" s="60" t="n"/>
      <c r="Z806" s="61" t="n"/>
    </row>
    <row r="807">
      <c r="C807" s="60" t="n"/>
      <c r="N807" s="61" t="n"/>
      <c r="O807" s="60" t="n"/>
      <c r="Z807" s="61" t="n"/>
    </row>
    <row r="808">
      <c r="C808" s="60" t="n"/>
      <c r="N808" s="61" t="n"/>
      <c r="O808" s="60" t="n"/>
      <c r="Z808" s="61" t="n"/>
    </row>
    <row r="809">
      <c r="C809" s="60" t="n"/>
      <c r="N809" s="61" t="n"/>
      <c r="O809" s="60" t="n"/>
      <c r="Z809" s="61" t="n"/>
    </row>
    <row r="810">
      <c r="C810" s="60" t="n"/>
      <c r="N810" s="61" t="n"/>
      <c r="O810" s="60" t="n"/>
      <c r="Z810" s="61" t="n"/>
    </row>
    <row r="811">
      <c r="C811" s="60" t="n"/>
      <c r="N811" s="61" t="n"/>
      <c r="O811" s="60" t="n"/>
      <c r="Z811" s="61" t="n"/>
    </row>
    <row r="812">
      <c r="C812" s="60" t="n"/>
      <c r="N812" s="61" t="n"/>
      <c r="O812" s="60" t="n"/>
      <c r="Z812" s="61" t="n"/>
    </row>
    <row r="813">
      <c r="C813" s="60" t="n"/>
      <c r="N813" s="61" t="n"/>
      <c r="O813" s="60" t="n"/>
      <c r="Z813" s="61" t="n"/>
    </row>
    <row r="814">
      <c r="C814" s="60" t="n"/>
      <c r="N814" s="61" t="n"/>
      <c r="O814" s="60" t="n"/>
      <c r="Z814" s="61" t="n"/>
    </row>
    <row r="815">
      <c r="C815" s="60" t="n"/>
      <c r="N815" s="61" t="n"/>
      <c r="O815" s="60" t="n"/>
      <c r="Z815" s="61" t="n"/>
    </row>
    <row r="816">
      <c r="C816" s="60" t="n"/>
      <c r="N816" s="61" t="n"/>
      <c r="O816" s="60" t="n"/>
      <c r="Z816" s="61" t="n"/>
    </row>
    <row r="817">
      <c r="C817" s="60" t="n"/>
      <c r="N817" s="61" t="n"/>
      <c r="O817" s="60" t="n"/>
      <c r="Z817" s="61" t="n"/>
    </row>
    <row r="818">
      <c r="C818" s="60" t="n"/>
      <c r="N818" s="61" t="n"/>
      <c r="O818" s="60" t="n"/>
      <c r="Z818" s="61" t="n"/>
    </row>
    <row r="819">
      <c r="C819" s="60" t="n"/>
      <c r="N819" s="61" t="n"/>
      <c r="O819" s="60" t="n"/>
      <c r="Z819" s="61" t="n"/>
    </row>
    <row r="820">
      <c r="C820" s="60" t="n"/>
      <c r="N820" s="61" t="n"/>
      <c r="O820" s="60" t="n"/>
      <c r="Z820" s="61" t="n"/>
    </row>
    <row r="821">
      <c r="C821" s="60" t="n"/>
      <c r="N821" s="61" t="n"/>
      <c r="O821" s="60" t="n"/>
      <c r="Z821" s="61" t="n"/>
    </row>
    <row r="822">
      <c r="C822" s="60" t="n"/>
      <c r="N822" s="61" t="n"/>
      <c r="O822" s="60" t="n"/>
      <c r="Z822" s="61" t="n"/>
    </row>
    <row r="823">
      <c r="C823" s="60" t="n"/>
      <c r="N823" s="61" t="n"/>
      <c r="O823" s="60" t="n"/>
      <c r="Z823" s="61" t="n"/>
    </row>
    <row r="824">
      <c r="C824" s="60" t="n"/>
      <c r="N824" s="61" t="n"/>
      <c r="O824" s="60" t="n"/>
      <c r="Z824" s="61" t="n"/>
    </row>
    <row r="825">
      <c r="C825" s="60" t="n"/>
      <c r="N825" s="61" t="n"/>
      <c r="O825" s="60" t="n"/>
      <c r="Z825" s="61" t="n"/>
    </row>
    <row r="826">
      <c r="C826" s="60" t="n"/>
      <c r="N826" s="61" t="n"/>
      <c r="O826" s="60" t="n"/>
      <c r="Z826" s="61" t="n"/>
    </row>
    <row r="827">
      <c r="C827" s="60" t="n"/>
      <c r="N827" s="61" t="n"/>
      <c r="O827" s="60" t="n"/>
      <c r="Z827" s="61" t="n"/>
    </row>
    <row r="828">
      <c r="C828" s="60" t="n"/>
      <c r="N828" s="61" t="n"/>
      <c r="O828" s="60" t="n"/>
      <c r="Z828" s="61" t="n"/>
    </row>
    <row r="829">
      <c r="C829" s="60" t="n"/>
      <c r="N829" s="61" t="n"/>
      <c r="O829" s="60" t="n"/>
      <c r="Z829" s="61" t="n"/>
    </row>
    <row r="830">
      <c r="C830" s="60" t="n"/>
      <c r="N830" s="61" t="n"/>
      <c r="O830" s="60" t="n"/>
      <c r="Z830" s="61" t="n"/>
    </row>
    <row r="831">
      <c r="C831" s="60" t="n"/>
      <c r="N831" s="61" t="n"/>
      <c r="O831" s="60" t="n"/>
      <c r="Z831" s="61" t="n"/>
    </row>
    <row r="832">
      <c r="C832" s="60" t="n"/>
      <c r="N832" s="61" t="n"/>
      <c r="O832" s="60" t="n"/>
      <c r="Z832" s="61" t="n"/>
    </row>
    <row r="833">
      <c r="C833" s="60" t="n"/>
      <c r="N833" s="61" t="n"/>
      <c r="O833" s="60" t="n"/>
      <c r="Z833" s="61" t="n"/>
    </row>
    <row r="834">
      <c r="C834" s="60" t="n"/>
      <c r="N834" s="61" t="n"/>
      <c r="O834" s="60" t="n"/>
      <c r="Z834" s="61" t="n"/>
    </row>
    <row r="835">
      <c r="C835" s="60" t="n"/>
      <c r="N835" s="61" t="n"/>
      <c r="O835" s="60" t="n"/>
      <c r="Z835" s="61" t="n"/>
    </row>
    <row r="836">
      <c r="C836" s="60" t="n"/>
      <c r="N836" s="61" t="n"/>
      <c r="O836" s="60" t="n"/>
      <c r="Z836" s="61" t="n"/>
    </row>
    <row r="837">
      <c r="C837" s="60" t="n"/>
      <c r="N837" s="61" t="n"/>
      <c r="O837" s="60" t="n"/>
      <c r="Z837" s="61" t="n"/>
    </row>
    <row r="838">
      <c r="C838" s="60" t="n"/>
      <c r="N838" s="61" t="n"/>
      <c r="O838" s="60" t="n"/>
      <c r="Z838" s="61" t="n"/>
    </row>
    <row r="839">
      <c r="C839" s="60" t="n"/>
      <c r="N839" s="61" t="n"/>
      <c r="O839" s="60" t="n"/>
      <c r="Z839" s="61" t="n"/>
    </row>
    <row r="840">
      <c r="C840" s="60" t="n"/>
      <c r="N840" s="61" t="n"/>
      <c r="O840" s="60" t="n"/>
      <c r="Z840" s="61" t="n"/>
    </row>
    <row r="841">
      <c r="C841" s="60" t="n"/>
      <c r="N841" s="61" t="n"/>
      <c r="O841" s="60" t="n"/>
      <c r="Z841" s="61" t="n"/>
    </row>
    <row r="842">
      <c r="C842" s="60" t="n"/>
      <c r="N842" s="61" t="n"/>
      <c r="O842" s="60" t="n"/>
      <c r="Z842" s="61" t="n"/>
    </row>
    <row r="843">
      <c r="C843" s="60" t="n"/>
      <c r="N843" s="61" t="n"/>
      <c r="O843" s="60" t="n"/>
      <c r="Z843" s="61" t="n"/>
    </row>
    <row r="844">
      <c r="C844" s="60" t="n"/>
      <c r="N844" s="61" t="n"/>
      <c r="O844" s="60" t="n"/>
      <c r="Z844" s="61" t="n"/>
    </row>
    <row r="845">
      <c r="C845" s="60" t="n"/>
      <c r="N845" s="61" t="n"/>
      <c r="O845" s="60" t="n"/>
      <c r="Z845" s="61" t="n"/>
    </row>
    <row r="846">
      <c r="C846" s="60" t="n"/>
      <c r="N846" s="61" t="n"/>
      <c r="O846" s="60" t="n"/>
      <c r="Z846" s="61" t="n"/>
    </row>
    <row r="847">
      <c r="C847" s="60" t="n"/>
      <c r="N847" s="61" t="n"/>
      <c r="O847" s="60" t="n"/>
      <c r="Z847" s="61" t="n"/>
    </row>
    <row r="848">
      <c r="C848" s="60" t="n"/>
      <c r="N848" s="61" t="n"/>
      <c r="O848" s="60" t="n"/>
      <c r="Z848" s="61" t="n"/>
    </row>
    <row r="849">
      <c r="C849" s="60" t="n"/>
      <c r="N849" s="61" t="n"/>
      <c r="O849" s="60" t="n"/>
      <c r="Z849" s="61" t="n"/>
    </row>
    <row r="850">
      <c r="C850" s="60" t="n"/>
      <c r="N850" s="61" t="n"/>
      <c r="O850" s="60" t="n"/>
      <c r="Z850" s="61" t="n"/>
    </row>
    <row r="851">
      <c r="C851" s="60" t="n"/>
      <c r="N851" s="61" t="n"/>
      <c r="O851" s="60" t="n"/>
      <c r="Z851" s="61" t="n"/>
    </row>
    <row r="852">
      <c r="C852" s="60" t="n"/>
      <c r="N852" s="61" t="n"/>
      <c r="O852" s="60" t="n"/>
      <c r="Z852" s="61" t="n"/>
    </row>
    <row r="853">
      <c r="C853" s="60" t="n"/>
      <c r="N853" s="61" t="n"/>
      <c r="O853" s="60" t="n"/>
      <c r="Z853" s="61" t="n"/>
    </row>
    <row r="854">
      <c r="C854" s="60" t="n"/>
      <c r="N854" s="61" t="n"/>
      <c r="O854" s="60" t="n"/>
      <c r="Z854" s="61" t="n"/>
    </row>
    <row r="855">
      <c r="C855" s="60" t="n"/>
      <c r="N855" s="61" t="n"/>
      <c r="O855" s="60" t="n"/>
      <c r="Z855" s="61" t="n"/>
    </row>
    <row r="856">
      <c r="C856" s="60" t="n"/>
      <c r="N856" s="61" t="n"/>
      <c r="O856" s="60" t="n"/>
      <c r="Z856" s="61" t="n"/>
    </row>
    <row r="857">
      <c r="C857" s="60" t="n"/>
      <c r="N857" s="61" t="n"/>
      <c r="O857" s="60" t="n"/>
      <c r="Z857" s="61" t="n"/>
    </row>
    <row r="858">
      <c r="C858" s="60" t="n"/>
      <c r="N858" s="61" t="n"/>
      <c r="O858" s="60" t="n"/>
      <c r="Z858" s="61" t="n"/>
    </row>
    <row r="859">
      <c r="C859" s="60" t="n"/>
      <c r="N859" s="61" t="n"/>
      <c r="O859" s="60" t="n"/>
      <c r="Z859" s="61" t="n"/>
    </row>
    <row r="860">
      <c r="C860" s="60" t="n"/>
      <c r="N860" s="61" t="n"/>
      <c r="O860" s="60" t="n"/>
      <c r="Z860" s="61" t="n"/>
    </row>
    <row r="861">
      <c r="C861" s="60" t="n"/>
      <c r="N861" s="61" t="n"/>
      <c r="O861" s="60" t="n"/>
      <c r="Z861" s="61" t="n"/>
    </row>
    <row r="862">
      <c r="C862" s="60" t="n"/>
      <c r="N862" s="61" t="n"/>
      <c r="O862" s="60" t="n"/>
      <c r="Z862" s="61" t="n"/>
    </row>
    <row r="863">
      <c r="C863" s="60" t="n"/>
      <c r="N863" s="61" t="n"/>
      <c r="O863" s="60" t="n"/>
      <c r="Z863" s="61" t="n"/>
    </row>
    <row r="864">
      <c r="C864" s="60" t="n"/>
      <c r="N864" s="61" t="n"/>
      <c r="O864" s="60" t="n"/>
      <c r="Z864" s="61" t="n"/>
    </row>
    <row r="865">
      <c r="C865" s="60" t="n"/>
      <c r="N865" s="61" t="n"/>
      <c r="O865" s="60" t="n"/>
      <c r="Z865" s="61" t="n"/>
    </row>
    <row r="866">
      <c r="C866" s="60" t="n"/>
      <c r="N866" s="61" t="n"/>
      <c r="O866" s="60" t="n"/>
      <c r="Z866" s="61" t="n"/>
    </row>
    <row r="867">
      <c r="C867" s="60" t="n"/>
      <c r="N867" s="61" t="n"/>
      <c r="O867" s="60" t="n"/>
      <c r="Z867" s="61" t="n"/>
    </row>
    <row r="868">
      <c r="C868" s="60" t="n"/>
      <c r="N868" s="61" t="n"/>
      <c r="O868" s="60" t="n"/>
      <c r="Z868" s="61" t="n"/>
    </row>
    <row r="869">
      <c r="C869" s="60" t="n"/>
      <c r="N869" s="61" t="n"/>
      <c r="O869" s="60" t="n"/>
      <c r="Z869" s="61" t="n"/>
    </row>
    <row r="870">
      <c r="C870" s="60" t="n"/>
      <c r="N870" s="61" t="n"/>
      <c r="O870" s="60" t="n"/>
      <c r="Z870" s="61" t="n"/>
    </row>
    <row r="871">
      <c r="C871" s="60" t="n"/>
      <c r="N871" s="61" t="n"/>
      <c r="O871" s="60" t="n"/>
      <c r="Z871" s="61" t="n"/>
    </row>
    <row r="872">
      <c r="C872" s="60" t="n"/>
      <c r="N872" s="61" t="n"/>
      <c r="O872" s="60" t="n"/>
      <c r="Z872" s="61" t="n"/>
    </row>
    <row r="873">
      <c r="C873" s="60" t="n"/>
      <c r="N873" s="61" t="n"/>
      <c r="O873" s="60" t="n"/>
      <c r="Z873" s="61" t="n"/>
    </row>
    <row r="874">
      <c r="C874" s="60" t="n"/>
      <c r="N874" s="61" t="n"/>
      <c r="O874" s="60" t="n"/>
      <c r="Z874" s="61" t="n"/>
    </row>
    <row r="875">
      <c r="C875" s="60" t="n"/>
      <c r="N875" s="61" t="n"/>
      <c r="O875" s="60" t="n"/>
      <c r="Z875" s="61" t="n"/>
    </row>
    <row r="876">
      <c r="C876" s="60" t="n"/>
      <c r="N876" s="61" t="n"/>
      <c r="O876" s="60" t="n"/>
      <c r="Z876" s="61" t="n"/>
    </row>
    <row r="877">
      <c r="C877" s="60" t="n"/>
      <c r="N877" s="61" t="n"/>
      <c r="O877" s="60" t="n"/>
      <c r="Z877" s="61" t="n"/>
    </row>
    <row r="878">
      <c r="C878" s="60" t="n"/>
      <c r="N878" s="61" t="n"/>
      <c r="O878" s="60" t="n"/>
      <c r="Z878" s="61" t="n"/>
    </row>
    <row r="879">
      <c r="C879" s="60" t="n"/>
      <c r="N879" s="61" t="n"/>
      <c r="O879" s="60" t="n"/>
      <c r="Z879" s="61" t="n"/>
    </row>
    <row r="880">
      <c r="C880" s="60" t="n"/>
      <c r="N880" s="61" t="n"/>
      <c r="O880" s="60" t="n"/>
      <c r="Z880" s="61" t="n"/>
    </row>
    <row r="881">
      <c r="C881" s="60" t="n"/>
      <c r="N881" s="61" t="n"/>
      <c r="O881" s="60" t="n"/>
      <c r="Z881" s="61" t="n"/>
    </row>
    <row r="882">
      <c r="C882" s="60" t="n"/>
      <c r="N882" s="61" t="n"/>
      <c r="O882" s="60" t="n"/>
      <c r="Z882" s="61" t="n"/>
    </row>
    <row r="883">
      <c r="C883" s="60" t="n"/>
      <c r="N883" s="61" t="n"/>
      <c r="O883" s="60" t="n"/>
      <c r="Z883" s="61" t="n"/>
    </row>
    <row r="884">
      <c r="C884" s="60" t="n"/>
      <c r="N884" s="61" t="n"/>
      <c r="O884" s="60" t="n"/>
      <c r="Z884" s="61" t="n"/>
    </row>
    <row r="885">
      <c r="C885" s="60" t="n"/>
      <c r="N885" s="61" t="n"/>
      <c r="O885" s="60" t="n"/>
      <c r="Z885" s="61" t="n"/>
    </row>
    <row r="886">
      <c r="C886" s="60" t="n"/>
      <c r="N886" s="61" t="n"/>
      <c r="O886" s="60" t="n"/>
      <c r="Z886" s="61" t="n"/>
    </row>
    <row r="887">
      <c r="C887" s="60" t="n"/>
      <c r="N887" s="61" t="n"/>
      <c r="O887" s="60" t="n"/>
      <c r="Z887" s="61" t="n"/>
    </row>
    <row r="888">
      <c r="C888" s="60" t="n"/>
      <c r="N888" s="61" t="n"/>
      <c r="O888" s="60" t="n"/>
      <c r="Z888" s="61" t="n"/>
    </row>
    <row r="889">
      <c r="C889" s="60" t="n"/>
      <c r="N889" s="61" t="n"/>
      <c r="O889" s="60" t="n"/>
      <c r="Z889" s="61" t="n"/>
    </row>
    <row r="890">
      <c r="C890" s="60" t="n"/>
      <c r="N890" s="61" t="n"/>
      <c r="O890" s="60" t="n"/>
      <c r="Z890" s="61" t="n"/>
    </row>
    <row r="891">
      <c r="C891" s="60" t="n"/>
      <c r="N891" s="61" t="n"/>
      <c r="O891" s="60" t="n"/>
      <c r="Z891" s="61" t="n"/>
    </row>
    <row r="892">
      <c r="C892" s="60" t="n"/>
      <c r="N892" s="61" t="n"/>
      <c r="O892" s="60" t="n"/>
      <c r="Z892" s="61" t="n"/>
    </row>
    <row r="893">
      <c r="C893" s="60" t="n"/>
      <c r="N893" s="61" t="n"/>
      <c r="O893" s="60" t="n"/>
      <c r="Z893" s="61" t="n"/>
    </row>
    <row r="894">
      <c r="C894" s="60" t="n"/>
      <c r="N894" s="61" t="n"/>
      <c r="O894" s="60" t="n"/>
      <c r="Z894" s="61" t="n"/>
    </row>
    <row r="895">
      <c r="C895" s="60" t="n"/>
      <c r="N895" s="61" t="n"/>
      <c r="O895" s="60" t="n"/>
      <c r="Z895" s="61" t="n"/>
    </row>
    <row r="896">
      <c r="C896" s="60" t="n"/>
      <c r="N896" s="61" t="n"/>
      <c r="O896" s="60" t="n"/>
      <c r="Z896" s="61" t="n"/>
    </row>
    <row r="897">
      <c r="C897" s="60" t="n"/>
      <c r="N897" s="61" t="n"/>
      <c r="O897" s="60" t="n"/>
      <c r="Z897" s="61" t="n"/>
    </row>
    <row r="898">
      <c r="C898" s="60" t="n"/>
      <c r="N898" s="61" t="n"/>
      <c r="O898" s="60" t="n"/>
      <c r="Z898" s="61" t="n"/>
    </row>
    <row r="899">
      <c r="C899" s="60" t="n"/>
      <c r="N899" s="61" t="n"/>
      <c r="O899" s="60" t="n"/>
      <c r="Z899" s="61" t="n"/>
    </row>
    <row r="900">
      <c r="C900" s="60" t="n"/>
      <c r="N900" s="61" t="n"/>
      <c r="O900" s="60" t="n"/>
      <c r="Z900" s="61" t="n"/>
    </row>
    <row r="901">
      <c r="C901" s="60" t="n"/>
      <c r="N901" s="61" t="n"/>
      <c r="O901" s="60" t="n"/>
      <c r="Z901" s="61" t="n"/>
    </row>
    <row r="902">
      <c r="C902" s="60" t="n"/>
      <c r="N902" s="61" t="n"/>
      <c r="O902" s="60" t="n"/>
      <c r="Z902" s="61" t="n"/>
    </row>
    <row r="903">
      <c r="C903" s="60" t="n"/>
      <c r="N903" s="61" t="n"/>
      <c r="O903" s="60" t="n"/>
      <c r="Z903" s="61" t="n"/>
    </row>
    <row r="904">
      <c r="C904" s="60" t="n"/>
      <c r="N904" s="61" t="n"/>
      <c r="O904" s="60" t="n"/>
      <c r="Z904" s="61" t="n"/>
    </row>
    <row r="905">
      <c r="C905" s="60" t="n"/>
      <c r="N905" s="61" t="n"/>
      <c r="O905" s="60" t="n"/>
      <c r="Z905" s="61" t="n"/>
    </row>
    <row r="906">
      <c r="C906" s="60" t="n"/>
      <c r="N906" s="61" t="n"/>
      <c r="O906" s="60" t="n"/>
      <c r="Z906" s="61" t="n"/>
    </row>
    <row r="907">
      <c r="C907" s="60" t="n"/>
      <c r="N907" s="61" t="n"/>
      <c r="O907" s="60" t="n"/>
      <c r="Z907" s="61" t="n"/>
    </row>
    <row r="908">
      <c r="C908" s="60" t="n"/>
      <c r="N908" s="61" t="n"/>
      <c r="O908" s="60" t="n"/>
      <c r="Z908" s="61" t="n"/>
    </row>
    <row r="909">
      <c r="C909" s="60" t="n"/>
      <c r="N909" s="61" t="n"/>
      <c r="O909" s="60" t="n"/>
      <c r="Z909" s="61" t="n"/>
    </row>
    <row r="910">
      <c r="C910" s="60" t="n"/>
      <c r="N910" s="61" t="n"/>
      <c r="O910" s="60" t="n"/>
      <c r="Z910" s="61" t="n"/>
    </row>
    <row r="911">
      <c r="C911" s="60" t="n"/>
      <c r="N911" s="61" t="n"/>
      <c r="O911" s="60" t="n"/>
      <c r="Z911" s="61" t="n"/>
    </row>
    <row r="912">
      <c r="C912" s="60" t="n"/>
      <c r="N912" s="61" t="n"/>
      <c r="O912" s="60" t="n"/>
      <c r="Z912" s="61" t="n"/>
    </row>
    <row r="913">
      <c r="C913" s="60" t="n"/>
      <c r="N913" s="61" t="n"/>
      <c r="O913" s="60" t="n"/>
      <c r="Z913" s="61" t="n"/>
    </row>
    <row r="914">
      <c r="C914" s="60" t="n"/>
      <c r="N914" s="61" t="n"/>
      <c r="O914" s="60" t="n"/>
      <c r="Z914" s="61" t="n"/>
    </row>
    <row r="915">
      <c r="C915" s="60" t="n"/>
      <c r="N915" s="61" t="n"/>
      <c r="O915" s="60" t="n"/>
      <c r="Z915" s="61" t="n"/>
    </row>
    <row r="916">
      <c r="C916" s="60" t="n"/>
      <c r="N916" s="61" t="n"/>
      <c r="O916" s="60" t="n"/>
      <c r="Z916" s="61" t="n"/>
    </row>
    <row r="917">
      <c r="C917" s="60" t="n"/>
      <c r="N917" s="61" t="n"/>
      <c r="O917" s="60" t="n"/>
      <c r="Z917" s="61" t="n"/>
    </row>
    <row r="918">
      <c r="C918" s="60" t="n"/>
      <c r="N918" s="61" t="n"/>
      <c r="O918" s="60" t="n"/>
      <c r="Z918" s="61" t="n"/>
    </row>
    <row r="919">
      <c r="C919" s="60" t="n"/>
      <c r="N919" s="61" t="n"/>
      <c r="O919" s="60" t="n"/>
      <c r="Z919" s="61" t="n"/>
    </row>
    <row r="920">
      <c r="C920" s="60" t="n"/>
      <c r="N920" s="61" t="n"/>
      <c r="O920" s="60" t="n"/>
      <c r="Z920" s="61" t="n"/>
    </row>
    <row r="921">
      <c r="C921" s="60" t="n"/>
      <c r="N921" s="61" t="n"/>
      <c r="O921" s="60" t="n"/>
      <c r="Z921" s="61" t="n"/>
    </row>
    <row r="922">
      <c r="C922" s="60" t="n"/>
      <c r="N922" s="61" t="n"/>
      <c r="O922" s="60" t="n"/>
      <c r="Z922" s="61" t="n"/>
    </row>
    <row r="923">
      <c r="C923" s="60" t="n"/>
      <c r="N923" s="61" t="n"/>
      <c r="O923" s="60" t="n"/>
      <c r="Z923" s="61" t="n"/>
    </row>
    <row r="924">
      <c r="C924" s="60" t="n"/>
      <c r="N924" s="61" t="n"/>
      <c r="O924" s="60" t="n"/>
      <c r="Z924" s="61" t="n"/>
    </row>
    <row r="925">
      <c r="C925" s="60" t="n"/>
      <c r="N925" s="61" t="n"/>
      <c r="O925" s="60" t="n"/>
      <c r="Z925" s="61" t="n"/>
    </row>
    <row r="926">
      <c r="C926" s="60" t="n"/>
      <c r="N926" s="61" t="n"/>
      <c r="O926" s="60" t="n"/>
      <c r="Z926" s="61" t="n"/>
    </row>
    <row r="927">
      <c r="C927" s="60" t="n"/>
      <c r="N927" s="61" t="n"/>
      <c r="O927" s="60" t="n"/>
      <c r="Z927" s="61" t="n"/>
    </row>
    <row r="928">
      <c r="C928" s="60" t="n"/>
      <c r="N928" s="61" t="n"/>
      <c r="O928" s="60" t="n"/>
      <c r="Z928" s="61" t="n"/>
    </row>
    <row r="929">
      <c r="C929" s="60" t="n"/>
      <c r="N929" s="61" t="n"/>
      <c r="O929" s="60" t="n"/>
      <c r="Z929" s="61" t="n"/>
    </row>
    <row r="930">
      <c r="C930" s="60" t="n"/>
      <c r="N930" s="61" t="n"/>
      <c r="O930" s="60" t="n"/>
      <c r="Z930" s="61" t="n"/>
    </row>
    <row r="931">
      <c r="C931" s="60" t="n"/>
      <c r="N931" s="61" t="n"/>
      <c r="O931" s="60" t="n"/>
      <c r="Z931" s="61" t="n"/>
    </row>
    <row r="932">
      <c r="C932" s="60" t="n"/>
      <c r="N932" s="61" t="n"/>
      <c r="O932" s="60" t="n"/>
      <c r="Z932" s="61" t="n"/>
    </row>
    <row r="933">
      <c r="C933" s="60" t="n"/>
      <c r="N933" s="61" t="n"/>
      <c r="O933" s="60" t="n"/>
      <c r="Z933" s="61" t="n"/>
    </row>
    <row r="934">
      <c r="C934" s="60" t="n"/>
      <c r="N934" s="61" t="n"/>
      <c r="O934" s="60" t="n"/>
      <c r="Z934" s="61" t="n"/>
    </row>
    <row r="935">
      <c r="C935" s="60" t="n"/>
      <c r="N935" s="61" t="n"/>
      <c r="O935" s="60" t="n"/>
      <c r="Z935" s="61" t="n"/>
    </row>
    <row r="936">
      <c r="C936" s="60" t="n"/>
      <c r="N936" s="61" t="n"/>
      <c r="O936" s="60" t="n"/>
      <c r="Z936" s="61" t="n"/>
    </row>
    <row r="937">
      <c r="C937" s="60" t="n"/>
      <c r="N937" s="61" t="n"/>
      <c r="O937" s="60" t="n"/>
      <c r="Z937" s="61" t="n"/>
    </row>
    <row r="938">
      <c r="C938" s="60" t="n"/>
      <c r="N938" s="61" t="n"/>
      <c r="O938" s="60" t="n"/>
      <c r="Z938" s="61" t="n"/>
    </row>
    <row r="939">
      <c r="C939" s="60" t="n"/>
      <c r="N939" s="61" t="n"/>
      <c r="O939" s="60" t="n"/>
      <c r="Z939" s="61" t="n"/>
    </row>
    <row r="940">
      <c r="C940" s="60" t="n"/>
      <c r="N940" s="61" t="n"/>
      <c r="O940" s="60" t="n"/>
      <c r="Z940" s="61" t="n"/>
    </row>
    <row r="941">
      <c r="C941" s="60" t="n"/>
      <c r="N941" s="61" t="n"/>
      <c r="O941" s="60" t="n"/>
      <c r="Z941" s="61" t="n"/>
    </row>
    <row r="942">
      <c r="C942" s="60" t="n"/>
      <c r="N942" s="61" t="n"/>
      <c r="O942" s="60" t="n"/>
      <c r="Z942" s="61" t="n"/>
    </row>
    <row r="943">
      <c r="C943" s="60" t="n"/>
      <c r="N943" s="61" t="n"/>
      <c r="O943" s="60" t="n"/>
      <c r="Z943" s="61" t="n"/>
    </row>
    <row r="944">
      <c r="C944" s="60" t="n"/>
      <c r="N944" s="61" t="n"/>
      <c r="O944" s="60" t="n"/>
      <c r="Z944" s="61" t="n"/>
    </row>
    <row r="945">
      <c r="C945" s="60" t="n"/>
      <c r="N945" s="61" t="n"/>
      <c r="O945" s="60" t="n"/>
      <c r="Z945" s="61" t="n"/>
    </row>
    <row r="946">
      <c r="C946" s="60" t="n"/>
      <c r="N946" s="61" t="n"/>
      <c r="O946" s="60" t="n"/>
      <c r="Z946" s="61" t="n"/>
    </row>
    <row r="947">
      <c r="C947" s="60" t="n"/>
      <c r="N947" s="61" t="n"/>
      <c r="O947" s="60" t="n"/>
      <c r="Z947" s="61" t="n"/>
    </row>
    <row r="948">
      <c r="C948" s="60" t="n"/>
      <c r="N948" s="61" t="n"/>
      <c r="O948" s="60" t="n"/>
      <c r="Z948" s="61" t="n"/>
    </row>
    <row r="949">
      <c r="C949" s="60" t="n"/>
      <c r="N949" s="61" t="n"/>
      <c r="O949" s="60" t="n"/>
      <c r="Z949" s="61" t="n"/>
    </row>
    <row r="950">
      <c r="C950" s="60" t="n"/>
      <c r="N950" s="61" t="n"/>
      <c r="O950" s="60" t="n"/>
      <c r="Z950" s="61" t="n"/>
    </row>
    <row r="951">
      <c r="C951" s="60" t="n"/>
      <c r="N951" s="61" t="n"/>
      <c r="O951" s="60" t="n"/>
      <c r="Z951" s="61" t="n"/>
    </row>
    <row r="952">
      <c r="C952" s="60" t="n"/>
      <c r="N952" s="61" t="n"/>
      <c r="O952" s="60" t="n"/>
      <c r="Z952" s="61" t="n"/>
    </row>
    <row r="953">
      <c r="C953" s="60" t="n"/>
      <c r="N953" s="61" t="n"/>
      <c r="O953" s="60" t="n"/>
      <c r="Z953" s="61" t="n"/>
    </row>
    <row r="954">
      <c r="C954" s="60" t="n"/>
      <c r="N954" s="61" t="n"/>
      <c r="O954" s="60" t="n"/>
      <c r="Z954" s="61" t="n"/>
    </row>
    <row r="955">
      <c r="C955" s="60" t="n"/>
      <c r="N955" s="61" t="n"/>
      <c r="O955" s="60" t="n"/>
      <c r="Z955" s="61" t="n"/>
    </row>
    <row r="956">
      <c r="C956" s="60" t="n"/>
      <c r="N956" s="61" t="n"/>
      <c r="O956" s="60" t="n"/>
      <c r="Z956" s="61" t="n"/>
    </row>
    <row r="957">
      <c r="C957" s="60" t="n"/>
      <c r="N957" s="61" t="n"/>
      <c r="O957" s="60" t="n"/>
      <c r="Z957" s="61" t="n"/>
    </row>
    <row r="958">
      <c r="C958" s="60" t="n"/>
      <c r="N958" s="61" t="n"/>
      <c r="O958" s="60" t="n"/>
      <c r="Z958" s="61" t="n"/>
    </row>
    <row r="959">
      <c r="C959" s="60" t="n"/>
      <c r="N959" s="61" t="n"/>
      <c r="O959" s="60" t="n"/>
      <c r="Z959" s="61" t="n"/>
    </row>
    <row r="960">
      <c r="C960" s="60" t="n"/>
      <c r="N960" s="61" t="n"/>
      <c r="O960" s="60" t="n"/>
      <c r="Z960" s="61" t="n"/>
    </row>
    <row r="961">
      <c r="C961" s="60" t="n"/>
      <c r="N961" s="61" t="n"/>
      <c r="O961" s="60" t="n"/>
      <c r="Z961" s="61" t="n"/>
    </row>
    <row r="962">
      <c r="C962" s="60" t="n"/>
      <c r="N962" s="61" t="n"/>
      <c r="O962" s="60" t="n"/>
      <c r="Z962" s="61" t="n"/>
    </row>
    <row r="963">
      <c r="C963" s="60" t="n"/>
      <c r="N963" s="61" t="n"/>
      <c r="O963" s="60" t="n"/>
      <c r="Z963" s="61" t="n"/>
    </row>
    <row r="964">
      <c r="C964" s="60" t="n"/>
      <c r="N964" s="61" t="n"/>
      <c r="O964" s="60" t="n"/>
      <c r="Z964" s="61" t="n"/>
    </row>
    <row r="965">
      <c r="C965" s="60" t="n"/>
      <c r="N965" s="61" t="n"/>
      <c r="O965" s="60" t="n"/>
      <c r="Z965" s="61" t="n"/>
    </row>
    <row r="966">
      <c r="C966" s="60" t="n"/>
      <c r="N966" s="61" t="n"/>
      <c r="O966" s="60" t="n"/>
      <c r="Z966" s="61" t="n"/>
    </row>
    <row r="967">
      <c r="C967" s="60" t="n"/>
      <c r="N967" s="61" t="n"/>
      <c r="O967" s="60" t="n"/>
      <c r="Z967" s="61" t="n"/>
    </row>
    <row r="968">
      <c r="C968" s="60" t="n"/>
      <c r="N968" s="61" t="n"/>
      <c r="O968" s="60" t="n"/>
      <c r="Z968" s="61" t="n"/>
    </row>
    <row r="969">
      <c r="C969" s="60" t="n"/>
      <c r="N969" s="61" t="n"/>
      <c r="O969" s="60" t="n"/>
      <c r="Z969" s="61" t="n"/>
    </row>
    <row r="970">
      <c r="C970" s="60" t="n"/>
      <c r="N970" s="61" t="n"/>
      <c r="O970" s="60" t="n"/>
      <c r="Z970" s="61" t="n"/>
    </row>
    <row r="971">
      <c r="C971" s="60" t="n"/>
      <c r="N971" s="61" t="n"/>
      <c r="O971" s="60" t="n"/>
      <c r="Z971" s="61" t="n"/>
    </row>
    <row r="972">
      <c r="C972" s="60" t="n"/>
      <c r="N972" s="61" t="n"/>
      <c r="O972" s="60" t="n"/>
      <c r="Z972" s="61" t="n"/>
    </row>
    <row r="973">
      <c r="C973" s="60" t="n"/>
      <c r="N973" s="61" t="n"/>
      <c r="O973" s="60" t="n"/>
      <c r="Z973" s="61" t="n"/>
    </row>
    <row r="974">
      <c r="C974" s="60" t="n"/>
      <c r="N974" s="61" t="n"/>
      <c r="O974" s="60" t="n"/>
      <c r="Z974" s="61" t="n"/>
    </row>
    <row r="975">
      <c r="C975" s="60" t="n"/>
      <c r="N975" s="61" t="n"/>
      <c r="O975" s="60" t="n"/>
      <c r="Z975" s="61" t="n"/>
    </row>
    <row r="976">
      <c r="C976" s="60" t="n"/>
      <c r="N976" s="61" t="n"/>
      <c r="O976" s="60" t="n"/>
      <c r="Z976" s="61" t="n"/>
    </row>
    <row r="977">
      <c r="C977" s="60" t="n"/>
      <c r="N977" s="61" t="n"/>
      <c r="O977" s="60" t="n"/>
      <c r="Z977" s="61" t="n"/>
    </row>
    <row r="978">
      <c r="C978" s="60" t="n"/>
      <c r="N978" s="61" t="n"/>
      <c r="O978" s="60" t="n"/>
      <c r="Z978" s="61" t="n"/>
    </row>
    <row r="979">
      <c r="C979" s="60" t="n"/>
      <c r="N979" s="61" t="n"/>
      <c r="O979" s="60" t="n"/>
      <c r="Z979" s="61" t="n"/>
    </row>
    <row r="980">
      <c r="C980" s="60" t="n"/>
      <c r="N980" s="61" t="n"/>
      <c r="O980" s="60" t="n"/>
      <c r="Z980" s="61" t="n"/>
    </row>
    <row r="981">
      <c r="C981" s="60" t="n"/>
      <c r="N981" s="61" t="n"/>
      <c r="O981" s="60" t="n"/>
      <c r="Z981" s="61" t="n"/>
    </row>
    <row r="982">
      <c r="C982" s="60" t="n"/>
      <c r="N982" s="61" t="n"/>
      <c r="O982" s="60" t="n"/>
      <c r="Z982" s="61" t="n"/>
    </row>
    <row r="983">
      <c r="C983" s="60" t="n"/>
      <c r="N983" s="61" t="n"/>
      <c r="O983" s="60" t="n"/>
      <c r="Z983" s="61" t="n"/>
    </row>
    <row r="984">
      <c r="C984" s="60" t="n"/>
      <c r="N984" s="61" t="n"/>
      <c r="O984" s="60" t="n"/>
      <c r="Z984" s="61" t="n"/>
    </row>
    <row r="985">
      <c r="C985" s="60" t="n"/>
      <c r="N985" s="61" t="n"/>
      <c r="O985" s="60" t="n"/>
      <c r="Z985" s="61" t="n"/>
    </row>
    <row r="986">
      <c r="C986" s="60" t="n"/>
      <c r="N986" s="61" t="n"/>
      <c r="O986" s="60" t="n"/>
      <c r="Z986" s="61" t="n"/>
    </row>
    <row r="987">
      <c r="C987" s="60" t="n"/>
      <c r="N987" s="61" t="n"/>
      <c r="O987" s="60" t="n"/>
      <c r="Z987" s="61" t="n"/>
    </row>
    <row r="988">
      <c r="C988" s="60" t="n"/>
      <c r="N988" s="61" t="n"/>
      <c r="O988" s="60" t="n"/>
      <c r="Z988" s="61" t="n"/>
    </row>
    <row r="989">
      <c r="C989" s="60" t="n"/>
      <c r="N989" s="61" t="n"/>
      <c r="O989" s="60" t="n"/>
      <c r="Z989" s="61" t="n"/>
    </row>
    <row r="990">
      <c r="C990" s="60" t="n"/>
      <c r="N990" s="61" t="n"/>
      <c r="O990" s="60" t="n"/>
      <c r="Z990" s="61" t="n"/>
    </row>
    <row r="991">
      <c r="C991" s="60" t="n"/>
      <c r="N991" s="61" t="n"/>
      <c r="O991" s="60" t="n"/>
      <c r="Z991" s="61" t="n"/>
    </row>
    <row r="992">
      <c r="C992" s="60" t="n"/>
      <c r="N992" s="61" t="n"/>
      <c r="O992" s="60" t="n"/>
      <c r="Z992" s="61" t="n"/>
    </row>
    <row r="993">
      <c r="C993" s="60" t="n"/>
      <c r="N993" s="61" t="n"/>
      <c r="O993" s="60" t="n"/>
      <c r="Z993" s="61" t="n"/>
    </row>
    <row r="994">
      <c r="C994" s="60" t="n"/>
      <c r="N994" s="61" t="n"/>
      <c r="O994" s="60" t="n"/>
      <c r="Z994" s="61" t="n"/>
    </row>
    <row r="995">
      <c r="C995" s="60" t="n"/>
      <c r="N995" s="61" t="n"/>
      <c r="O995" s="60" t="n"/>
      <c r="Z995" s="61" t="n"/>
    </row>
    <row r="996">
      <c r="C996" s="60" t="n"/>
      <c r="N996" s="61" t="n"/>
      <c r="O996" s="60" t="n"/>
      <c r="Z996" s="61" t="n"/>
    </row>
    <row r="997">
      <c r="C997" s="60" t="n"/>
      <c r="N997" s="61" t="n"/>
      <c r="O997" s="60" t="n"/>
      <c r="Z997" s="61" t="n"/>
    </row>
    <row r="998">
      <c r="C998" s="60" t="n"/>
      <c r="N998" s="61" t="n"/>
      <c r="O998" s="60" t="n"/>
      <c r="Z998" s="61" t="n"/>
    </row>
    <row r="999">
      <c r="C999" s="60" t="n"/>
      <c r="N999" s="61" t="n"/>
      <c r="O999" s="60" t="n"/>
      <c r="Z999" s="61" t="n"/>
    </row>
    <row r="1000">
      <c r="C1000" s="60" t="n"/>
      <c r="N1000" s="61" t="n"/>
      <c r="O1000" s="60" t="n"/>
      <c r="Z1000" s="61" t="n"/>
    </row>
    <row r="1001">
      <c r="C1001" s="60" t="n"/>
      <c r="N1001" s="61" t="n"/>
      <c r="O1001" s="60" t="n"/>
      <c r="Z1001" s="61" t="n"/>
    </row>
    <row r="1002">
      <c r="C1002" s="60" t="n"/>
      <c r="N1002" s="61" t="n"/>
      <c r="O1002" s="60" t="n"/>
      <c r="Z1002" s="61" t="n"/>
    </row>
    <row r="1003">
      <c r="C1003" s="60" t="n"/>
      <c r="N1003" s="61" t="n"/>
      <c r="O1003" s="60" t="n"/>
      <c r="Z1003" s="61" t="n"/>
    </row>
    <row r="1004">
      <c r="C1004" s="60" t="n"/>
      <c r="N1004" s="61" t="n"/>
      <c r="O1004" s="60" t="n"/>
      <c r="Z1004" s="61" t="n"/>
    </row>
    <row r="1005">
      <c r="C1005" s="60" t="n"/>
      <c r="N1005" s="61" t="n"/>
      <c r="O1005" s="60" t="n"/>
      <c r="Z1005" s="61" t="n"/>
    </row>
    <row r="1006">
      <c r="C1006" s="60" t="n"/>
      <c r="N1006" s="61" t="n"/>
      <c r="O1006" s="60" t="n"/>
      <c r="Z1006" s="61" t="n"/>
    </row>
    <row r="1007">
      <c r="C1007" s="60" t="n"/>
      <c r="N1007" s="61" t="n"/>
      <c r="O1007" s="60" t="n"/>
      <c r="Z1007" s="61" t="n"/>
    </row>
    <row r="1008">
      <c r="C1008" s="60" t="n"/>
      <c r="N1008" s="61" t="n"/>
      <c r="O1008" s="60" t="n"/>
      <c r="Z1008" s="61" t="n"/>
    </row>
    <row r="1009">
      <c r="C1009" s="60" t="n"/>
      <c r="N1009" s="61" t="n"/>
      <c r="O1009" s="60" t="n"/>
      <c r="Z1009" s="61" t="n"/>
    </row>
    <row r="1010">
      <c r="C1010" s="60" t="n"/>
      <c r="N1010" s="61" t="n"/>
      <c r="O1010" s="60" t="n"/>
      <c r="Z1010" s="61" t="n"/>
    </row>
    <row r="1011">
      <c r="C1011" s="60" t="n"/>
      <c r="N1011" s="61" t="n"/>
      <c r="O1011" s="60" t="n"/>
      <c r="Z1011" s="61" t="n"/>
    </row>
    <row r="1012">
      <c r="C1012" s="60" t="n"/>
      <c r="N1012" s="61" t="n"/>
      <c r="O1012" s="60" t="n"/>
      <c r="Z1012" s="61" t="n"/>
    </row>
    <row r="1013">
      <c r="C1013" s="111" t="n"/>
      <c r="D1013" s="112" t="n"/>
      <c r="E1013" s="112" t="n"/>
      <c r="F1013" s="112" t="n"/>
      <c r="G1013" s="112" t="n"/>
      <c r="H1013" s="112" t="n"/>
      <c r="I1013" s="112" t="n"/>
      <c r="J1013" s="112" t="n"/>
      <c r="K1013" s="112" t="n"/>
      <c r="L1013" s="112" t="n"/>
      <c r="M1013" s="112" t="n"/>
      <c r="N1013" s="113" t="n"/>
      <c r="O1013" s="111" t="n"/>
      <c r="P1013" s="112" t="n"/>
      <c r="Q1013" s="112" t="n"/>
      <c r="R1013" s="112" t="n"/>
      <c r="S1013" s="112" t="n"/>
      <c r="T1013" s="112" t="n"/>
      <c r="U1013" s="112" t="n"/>
      <c r="V1013" s="112" t="n"/>
      <c r="W1013" s="112" t="n"/>
      <c r="X1013" s="112" t="n"/>
      <c r="Y1013" s="112" t="n"/>
      <c r="Z1013" s="113" t="n"/>
    </row>
  </sheetData>
  <mergeCells count="5">
    <mergeCell ref="C1:N1"/>
    <mergeCell ref="O1:Z1"/>
    <mergeCell ref="A4:Z4"/>
    <mergeCell ref="A19:Z19"/>
    <mergeCell ref="A63:Z6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cols>
    <col width="32" customWidth="1" style="114" min="1" max="1"/>
    <col width="12" customWidth="1" style="114" min="2" max="2"/>
    <col width="12" customWidth="1" style="114" min="3" max="3"/>
    <col width="12" customWidth="1" style="114" min="4" max="4"/>
    <col width="12" customWidth="1" style="114" min="5" max="5"/>
    <col width="12" customWidth="1" style="114" min="6" max="6"/>
    <col width="12" customWidth="1" style="114" min="7" max="7"/>
    <col width="12" customWidth="1" style="114" min="8" max="8"/>
    <col width="12" customWidth="1" style="114" min="9" max="9"/>
    <col width="12" customWidth="1" style="114" min="10" max="10"/>
    <col width="12" customWidth="1" style="114" min="11" max="11"/>
    <col width="12" customWidth="1" style="114" min="12" max="12"/>
    <col width="12" customWidth="1" style="114" min="13" max="13"/>
    <col width="12" customWidth="1" style="114" min="14" max="14"/>
    <col width="12" customWidth="1" style="114" min="15" max="15"/>
    <col width="12" customWidth="1" style="114" min="16" max="16"/>
    <col width="12" customWidth="1" style="114" min="17" max="17"/>
    <col width="12" customWidth="1" style="114" min="18" max="18"/>
    <col width="12" customWidth="1" style="114" min="19" max="19"/>
    <col width="12" customWidth="1" style="114" min="20" max="20"/>
    <col width="12" customWidth="1" style="114" min="21" max="21"/>
    <col width="12" customWidth="1" style="114" min="22" max="22"/>
    <col width="12" customWidth="1" style="114" min="23" max="23"/>
    <col width="12" customWidth="1" style="114" min="24" max="24"/>
    <col width="12" customWidth="1" style="114" min="25" max="25"/>
    <col width="14" customWidth="1" style="114" min="26" max="26"/>
    <col width="14" customWidth="1" style="114" min="27" max="27"/>
  </cols>
  <sheetData>
    <row r="1">
      <c r="A1" s="121" t="inlineStr">
        <is>
          <t>GuardSpine SaaS P&amp;L -- Base Case</t>
        </is>
      </c>
    </row>
    <row r="2">
      <c r="A2" s="140" t="inlineStr">
        <is>
          <t>Generated: Feb 18, 2026 | $1M raise at $9M pre / $10M post</t>
        </is>
      </c>
    </row>
    <row r="4">
      <c r="A4" s="123" t="inlineStr">
        <is>
          <t>Metric</t>
        </is>
      </c>
      <c r="B4" s="123" t="inlineStr">
        <is>
          <t>Year 1</t>
        </is>
      </c>
      <c r="N4" s="123" t="inlineStr">
        <is>
          <t>Year 2</t>
        </is>
      </c>
      <c r="Z4" s="123" t="inlineStr">
        <is>
          <t>Y1 Total</t>
        </is>
      </c>
      <c r="AA4" s="123" t="inlineStr">
        <is>
          <t>Y2 Total</t>
        </is>
      </c>
    </row>
    <row r="5">
      <c r="A5" s="123" t="inlineStr">
        <is>
          <t>Month</t>
        </is>
      </c>
      <c r="B5" s="142" t="inlineStr">
        <is>
          <t>Jan-2026</t>
        </is>
      </c>
      <c r="C5" s="142" t="inlineStr">
        <is>
          <t>Feb-2026</t>
        </is>
      </c>
      <c r="D5" s="142" t="inlineStr">
        <is>
          <t>Mar-2026</t>
        </is>
      </c>
      <c r="E5" s="142" t="inlineStr">
        <is>
          <t>Apr-2026</t>
        </is>
      </c>
      <c r="F5" s="142" t="inlineStr">
        <is>
          <t>May-2026</t>
        </is>
      </c>
      <c r="G5" s="142" t="inlineStr">
        <is>
          <t>Jun-2026</t>
        </is>
      </c>
      <c r="H5" s="142" t="inlineStr">
        <is>
          <t>Jul-2026</t>
        </is>
      </c>
      <c r="I5" s="142" t="inlineStr">
        <is>
          <t>Aug-2026</t>
        </is>
      </c>
      <c r="J5" s="142" t="inlineStr">
        <is>
          <t>Sep-2026</t>
        </is>
      </c>
      <c r="K5" s="142" t="inlineStr">
        <is>
          <t>Oct-2026</t>
        </is>
      </c>
      <c r="L5" s="142" t="inlineStr">
        <is>
          <t>Nov-2026</t>
        </is>
      </c>
      <c r="M5" s="142" t="inlineStr">
        <is>
          <t>Dec-2026</t>
        </is>
      </c>
      <c r="N5" s="142" t="inlineStr">
        <is>
          <t>Jan-2027</t>
        </is>
      </c>
      <c r="O5" s="142" t="inlineStr">
        <is>
          <t>Feb-2027</t>
        </is>
      </c>
      <c r="P5" s="142" t="inlineStr">
        <is>
          <t>Mar-2027</t>
        </is>
      </c>
      <c r="Q5" s="142" t="inlineStr">
        <is>
          <t>Apr-2027</t>
        </is>
      </c>
      <c r="R5" s="142" t="inlineStr">
        <is>
          <t>May-2027</t>
        </is>
      </c>
      <c r="S5" s="142" t="inlineStr">
        <is>
          <t>Jun-2027</t>
        </is>
      </c>
      <c r="T5" s="142" t="inlineStr">
        <is>
          <t>Jul-2027</t>
        </is>
      </c>
      <c r="U5" s="142" t="inlineStr">
        <is>
          <t>Aug-2027</t>
        </is>
      </c>
      <c r="V5" s="142" t="inlineStr">
        <is>
          <t>Sep-2027</t>
        </is>
      </c>
      <c r="W5" s="142" t="inlineStr">
        <is>
          <t>Oct-2027</t>
        </is>
      </c>
      <c r="X5" s="142" t="inlineStr">
        <is>
          <t>Nov-2027</t>
        </is>
      </c>
      <c r="Y5" s="142" t="inlineStr">
        <is>
          <t>Dec-2027</t>
        </is>
      </c>
    </row>
    <row r="6">
      <c r="A6" t="inlineStr">
        <is>
          <t>Month #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  <c r="N6" t="n">
        <v>13</v>
      </c>
      <c r="O6" t="n">
        <v>14</v>
      </c>
      <c r="P6" t="n">
        <v>15</v>
      </c>
      <c r="Q6" t="n">
        <v>16</v>
      </c>
      <c r="R6" t="n">
        <v>17</v>
      </c>
      <c r="S6" t="n">
        <v>18</v>
      </c>
      <c r="T6" t="n">
        <v>19</v>
      </c>
      <c r="U6" t="n">
        <v>20</v>
      </c>
      <c r="V6" t="n">
        <v>21</v>
      </c>
      <c r="W6" t="n">
        <v>22</v>
      </c>
      <c r="X6" t="n">
        <v>23</v>
      </c>
      <c r="Y6" t="n">
        <v>24</v>
      </c>
    </row>
    <row r="8">
      <c r="A8" s="143" t="inlineStr">
        <is>
          <t>REVENUE</t>
        </is>
      </c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28" t="n"/>
      <c r="U8" s="128" t="n"/>
      <c r="V8" s="128" t="n"/>
      <c r="W8" s="128" t="n"/>
      <c r="X8" s="128" t="n"/>
      <c r="Y8" s="128" t="n"/>
      <c r="Z8" s="128" t="n"/>
      <c r="AA8" s="128" t="n"/>
    </row>
    <row r="9">
      <c r="A9" t="inlineStr">
        <is>
          <t>Avg Price / Customer</t>
        </is>
      </c>
      <c r="B9" s="131" t="n">
        <v>2500</v>
      </c>
      <c r="C9" s="131" t="n">
        <v>2500</v>
      </c>
      <c r="D9" s="131" t="n">
        <v>2500</v>
      </c>
      <c r="E9" s="131" t="n">
        <v>2500</v>
      </c>
      <c r="F9" s="131" t="n">
        <v>2500</v>
      </c>
      <c r="G9" s="131" t="n">
        <v>2500</v>
      </c>
      <c r="H9" s="131" t="n">
        <v>2500</v>
      </c>
      <c r="I9" s="131" t="n">
        <v>2500</v>
      </c>
      <c r="J9" s="131" t="n">
        <v>2500</v>
      </c>
      <c r="K9" s="131" t="n">
        <v>2500</v>
      </c>
      <c r="L9" s="131" t="n">
        <v>2500</v>
      </c>
      <c r="M9" s="131" t="n">
        <v>2500</v>
      </c>
      <c r="N9" s="131" t="n">
        <v>2900</v>
      </c>
      <c r="O9" s="131" t="n">
        <v>2900</v>
      </c>
      <c r="P9" s="131" t="n">
        <v>2900</v>
      </c>
      <c r="Q9" s="131" t="n">
        <v>2900</v>
      </c>
      <c r="R9" s="131" t="n">
        <v>2900</v>
      </c>
      <c r="S9" s="131" t="n">
        <v>2900</v>
      </c>
      <c r="T9" s="131" t="n">
        <v>2900</v>
      </c>
      <c r="U9" s="131" t="n">
        <v>2900</v>
      </c>
      <c r="V9" s="131" t="n">
        <v>2900</v>
      </c>
      <c r="W9" s="131" t="n">
        <v>2900</v>
      </c>
      <c r="X9" s="131" t="n">
        <v>2900</v>
      </c>
      <c r="Y9" s="131" t="n">
        <v>2900</v>
      </c>
    </row>
    <row r="10">
      <c r="A10" t="inlineStr">
        <is>
          <t>Customers</t>
        </is>
      </c>
      <c r="B10" s="131" t="n">
        <v>2</v>
      </c>
      <c r="C10" s="131" t="n">
        <v>3</v>
      </c>
      <c r="D10" s="131" t="n">
        <v>5</v>
      </c>
      <c r="E10" s="131" t="n">
        <v>7</v>
      </c>
      <c r="F10" s="131" t="n">
        <v>9</v>
      </c>
      <c r="G10" s="131" t="n">
        <v>11</v>
      </c>
      <c r="H10" s="131" t="n">
        <v>13</v>
      </c>
      <c r="I10" s="131" t="n">
        <v>16</v>
      </c>
      <c r="J10" s="131" t="n">
        <v>18</v>
      </c>
      <c r="K10" s="131" t="n">
        <v>21</v>
      </c>
      <c r="L10" s="131" t="n">
        <v>25</v>
      </c>
      <c r="M10" s="131" t="n">
        <v>28</v>
      </c>
      <c r="N10" s="131" t="n">
        <v>27</v>
      </c>
      <c r="O10" s="131" t="n">
        <v>31</v>
      </c>
      <c r="P10" s="131" t="n">
        <v>35</v>
      </c>
      <c r="Q10" s="131" t="n">
        <v>39</v>
      </c>
      <c r="R10" s="131" t="n">
        <v>43</v>
      </c>
      <c r="S10" s="131" t="n">
        <v>48</v>
      </c>
      <c r="T10" s="131" t="n">
        <v>52</v>
      </c>
      <c r="U10" s="131" t="n">
        <v>58</v>
      </c>
      <c r="V10" s="131" t="n">
        <v>63</v>
      </c>
      <c r="W10" s="131" t="n">
        <v>69</v>
      </c>
      <c r="X10" s="131" t="n">
        <v>75</v>
      </c>
      <c r="Y10" s="131" t="n">
        <v>81</v>
      </c>
    </row>
    <row r="11">
      <c r="A11" t="inlineStr">
        <is>
          <t>New Customers</t>
        </is>
      </c>
      <c r="B11" s="131" t="n">
        <v>1</v>
      </c>
      <c r="C11" s="131" t="n">
        <v>1</v>
      </c>
      <c r="D11" s="131" t="n">
        <v>2</v>
      </c>
      <c r="E11" s="131" t="n">
        <v>2</v>
      </c>
      <c r="F11" s="131" t="n">
        <v>2</v>
      </c>
      <c r="G11" s="131" t="n">
        <v>2</v>
      </c>
      <c r="H11" s="131" t="n">
        <v>2</v>
      </c>
      <c r="I11" s="131" t="n">
        <v>3</v>
      </c>
      <c r="J11" s="131" t="n">
        <v>2</v>
      </c>
      <c r="K11" s="131" t="n">
        <v>3</v>
      </c>
      <c r="L11" s="131" t="n">
        <v>4</v>
      </c>
      <c r="M11" s="131" t="n">
        <v>3</v>
      </c>
      <c r="N11" s="131" t="n">
        <v>0</v>
      </c>
      <c r="O11" s="131" t="n">
        <v>4</v>
      </c>
      <c r="P11" s="131" t="n">
        <v>4</v>
      </c>
      <c r="Q11" s="131" t="n">
        <v>4</v>
      </c>
      <c r="R11" s="131" t="n">
        <v>4</v>
      </c>
      <c r="S11" s="131" t="n">
        <v>5</v>
      </c>
      <c r="T11" s="131" t="n">
        <v>4</v>
      </c>
      <c r="U11" s="131" t="n">
        <v>6</v>
      </c>
      <c r="V11" s="131" t="n">
        <v>5</v>
      </c>
      <c r="W11" s="131" t="n">
        <v>6</v>
      </c>
      <c r="X11" s="131" t="n">
        <v>6</v>
      </c>
      <c r="Y11" s="131" t="n">
        <v>6</v>
      </c>
    </row>
    <row r="12">
      <c r="A12" t="inlineStr">
        <is>
          <t>Gross MRR</t>
        </is>
      </c>
      <c r="B12" s="131" t="n">
        <v>5367.5</v>
      </c>
      <c r="C12" s="131" t="n">
        <v>8657.647499999999</v>
      </c>
      <c r="D12" s="131" t="n">
        <v>12433.8620575</v>
      </c>
      <c r="E12" s="131" t="n">
        <v>16655.0104713275</v>
      </c>
      <c r="F12" s="131" t="n">
        <v>21374.50943991352</v>
      </c>
      <c r="G12" s="131" t="n">
        <v>26652.18559159377</v>
      </c>
      <c r="H12" s="131" t="n">
        <v>32421.5564972274</v>
      </c>
      <c r="I12" s="131" t="n">
        <v>38755.44788403849</v>
      </c>
      <c r="J12" s="131" t="n">
        <v>45710.36146658233</v>
      </c>
      <c r="K12" s="131" t="n">
        <v>53206.2502247224</v>
      </c>
      <c r="L12" s="131" t="n">
        <v>61286.45384415043</v>
      </c>
      <c r="M12" s="131" t="n">
        <v>69997.7789387269</v>
      </c>
      <c r="N12" s="131" t="n">
        <v>79390.77640572131</v>
      </c>
      <c r="O12" s="131" t="n">
        <v>89520.04096946768</v>
      </c>
      <c r="P12" s="131" t="n">
        <v>100444.5346885086</v>
      </c>
      <c r="Q12" s="131" t="n">
        <v>112115.1106044777</v>
      </c>
      <c r="R12" s="131" t="n">
        <v>124584.0690006135</v>
      </c>
      <c r="S12" s="131" t="n">
        <v>137907.3708818636</v>
      </c>
      <c r="T12" s="131" t="n">
        <v>152006.6778450238</v>
      </c>
      <c r="U12" s="131" t="n">
        <v>166928.6437671326</v>
      </c>
      <c r="V12" s="131" t="n">
        <v>182722.7213835623</v>
      </c>
      <c r="W12" s="131" t="n">
        <v>199276.7122991012</v>
      </c>
      <c r="X12" s="131" t="n">
        <v>216628.7313410316</v>
      </c>
      <c r="Y12" s="131" t="n">
        <v>234818.7986013506</v>
      </c>
      <c r="Z12" s="144" t="n">
        <v>392518.5639157827</v>
      </c>
      <c r="AA12" s="144" t="n">
        <v>1796344.187787854</v>
      </c>
    </row>
    <row r="13">
      <c r="A13" t="inlineStr">
        <is>
          <t>Lost MRR (Churn)</t>
        </is>
      </c>
      <c r="B13" s="131" t="n">
        <v>7.5</v>
      </c>
      <c r="C13" s="131" t="n">
        <v>16.1025</v>
      </c>
      <c r="D13" s="131" t="n">
        <v>25.9729425</v>
      </c>
      <c r="E13" s="131" t="n">
        <v>37.3015861725</v>
      </c>
      <c r="F13" s="131" t="n">
        <v>49.9650314139825</v>
      </c>
      <c r="G13" s="131" t="n">
        <v>64.12352831974054</v>
      </c>
      <c r="H13" s="131" t="n">
        <v>106.6087423663751</v>
      </c>
      <c r="I13" s="131" t="n">
        <v>129.6862259889096</v>
      </c>
      <c r="J13" s="131" t="n">
        <v>155.021791536154</v>
      </c>
      <c r="K13" s="131" t="n">
        <v>182.8414458663293</v>
      </c>
      <c r="L13" s="131" t="n">
        <v>212.8250008988896</v>
      </c>
      <c r="M13" s="131" t="n">
        <v>245.1458153766017</v>
      </c>
      <c r="N13" s="131" t="n">
        <v>279.9911157549076</v>
      </c>
      <c r="O13" s="131" t="n">
        <v>317.5631056228852</v>
      </c>
      <c r="P13" s="131" t="n">
        <v>358.0801638778707</v>
      </c>
      <c r="Q13" s="131" t="n">
        <v>401.7781387540345</v>
      </c>
      <c r="R13" s="131" t="n">
        <v>448.4604424179109</v>
      </c>
      <c r="S13" s="131" t="n">
        <v>498.3362760024542</v>
      </c>
      <c r="T13" s="131" t="n">
        <v>551.6294835274543</v>
      </c>
      <c r="U13" s="131" t="n">
        <v>608.0267113800951</v>
      </c>
      <c r="V13" s="131" t="n">
        <v>667.7145750685303</v>
      </c>
      <c r="W13" s="131" t="n">
        <v>730.8908855342492</v>
      </c>
      <c r="X13" s="131" t="n">
        <v>797.1068491964047</v>
      </c>
      <c r="Y13" s="131" t="n">
        <v>866.5149253641264</v>
      </c>
    </row>
    <row r="14">
      <c r="A14" t="inlineStr">
        <is>
          <t>Net MRR</t>
        </is>
      </c>
      <c r="B14" s="131" t="n">
        <v>5360</v>
      </c>
      <c r="C14" s="131" t="n">
        <v>8641.544999999998</v>
      </c>
      <c r="D14" s="131" t="n">
        <v>12407.889115</v>
      </c>
      <c r="E14" s="131" t="n">
        <v>16617.708885155</v>
      </c>
      <c r="F14" s="131" t="n">
        <v>21324.54440849953</v>
      </c>
      <c r="G14" s="131" t="n">
        <v>26588.06206327403</v>
      </c>
      <c r="H14" s="131" t="n">
        <v>32314.94775486103</v>
      </c>
      <c r="I14" s="131" t="n">
        <v>38625.76165804958</v>
      </c>
      <c r="J14" s="131" t="n">
        <v>45555.33967504618</v>
      </c>
      <c r="K14" s="131" t="n">
        <v>53023.40877885607</v>
      </c>
      <c r="L14" s="131" t="n">
        <v>61073.62884325154</v>
      </c>
      <c r="M14" s="131" t="n">
        <v>69752.6331233503</v>
      </c>
      <c r="N14" s="131" t="n">
        <v>79110.7852899664</v>
      </c>
      <c r="O14" s="131" t="n">
        <v>89202.47786384479</v>
      </c>
      <c r="P14" s="131" t="n">
        <v>100086.4545246308</v>
      </c>
      <c r="Q14" s="131" t="n">
        <v>111713.3324657237</v>
      </c>
      <c r="R14" s="131" t="n">
        <v>124135.6085581956</v>
      </c>
      <c r="S14" s="131" t="n">
        <v>137409.0346058611</v>
      </c>
      <c r="T14" s="131" t="n">
        <v>151455.0483614963</v>
      </c>
      <c r="U14" s="131" t="n">
        <v>166320.6170557525</v>
      </c>
      <c r="V14" s="131" t="n">
        <v>182055.0068084938</v>
      </c>
      <c r="W14" s="131" t="n">
        <v>198545.8214135669</v>
      </c>
      <c r="X14" s="131" t="n">
        <v>215831.6244918352</v>
      </c>
      <c r="Y14" s="131" t="n">
        <v>233952.2836759865</v>
      </c>
    </row>
    <row r="15">
      <c r="A15" s="145" t="inlineStr">
        <is>
          <t>ARR (MRR x 12)</t>
        </is>
      </c>
      <c r="B15" s="131" t="n">
        <v>64410</v>
      </c>
      <c r="C15" s="131" t="n">
        <v>103891.77</v>
      </c>
      <c r="D15" s="131" t="n">
        <v>149206.34469</v>
      </c>
      <c r="E15" s="131" t="n">
        <v>199860.12565593</v>
      </c>
      <c r="F15" s="131" t="n">
        <v>256494.1132789622</v>
      </c>
      <c r="G15" s="131" t="n">
        <v>319826.2270991253</v>
      </c>
      <c r="H15" s="131" t="n">
        <v>389058.6779667288</v>
      </c>
      <c r="I15" s="131" t="n">
        <v>465065.3746084619</v>
      </c>
      <c r="J15" s="131" t="n">
        <v>548524.337598988</v>
      </c>
      <c r="K15" s="131" t="n">
        <v>638475.0026966688</v>
      </c>
      <c r="L15" s="131" t="n">
        <v>735437.4461298052</v>
      </c>
      <c r="M15" s="131" t="n">
        <v>839973.3472647228</v>
      </c>
      <c r="N15" s="131" t="n">
        <v>952689.3168686556</v>
      </c>
      <c r="O15" s="131" t="n">
        <v>1074240.491633612</v>
      </c>
      <c r="P15" s="131" t="n">
        <v>1205334.416262103</v>
      </c>
      <c r="Q15" s="131" t="n">
        <v>1345381.327253733</v>
      </c>
      <c r="R15" s="131" t="n">
        <v>1495008.828007363</v>
      </c>
      <c r="S15" s="131" t="n">
        <v>1654888.450582363</v>
      </c>
      <c r="T15" s="131" t="n">
        <v>1824080.134140285</v>
      </c>
      <c r="U15" s="131" t="n">
        <v>2003143.725205591</v>
      </c>
      <c r="V15" s="131" t="n">
        <v>2192672.656602747</v>
      </c>
      <c r="W15" s="131" t="n">
        <v>2391320.547589214</v>
      </c>
      <c r="X15" s="131" t="n">
        <v>2599544.776092379</v>
      </c>
      <c r="Y15" s="131" t="n">
        <v>2817825.583216208</v>
      </c>
    </row>
    <row r="16">
      <c r="A16" t="inlineStr">
        <is>
          <t>MRR Growth Rate</t>
        </is>
      </c>
      <c r="B16" s="130" t="n">
        <v>0</v>
      </c>
      <c r="C16" s="130" t="n">
        <v>0.6129757801583603</v>
      </c>
      <c r="D16" s="130" t="n">
        <v>0.4361709757182883</v>
      </c>
      <c r="E16" s="130" t="n">
        <v>0.3394881167498027</v>
      </c>
      <c r="F16" s="130" t="n">
        <v>0.2833681177631734</v>
      </c>
      <c r="G16" s="130" t="n">
        <v>0.2469144925415239</v>
      </c>
      <c r="H16" s="130" t="n">
        <v>0.2164689603337189</v>
      </c>
      <c r="I16" s="130" t="n">
        <v>0.1953604968765996</v>
      </c>
      <c r="J16" s="130" t="n">
        <v>0.1794564109632761</v>
      </c>
      <c r="K16" s="130" t="n">
        <v>0.1639866436764041</v>
      </c>
      <c r="L16" s="130" t="n">
        <v>0.1518656846761499</v>
      </c>
      <c r="M16" s="130" t="n">
        <v>0.1421411184391433</v>
      </c>
      <c r="N16" s="130" t="n">
        <v>0.1341899358723459</v>
      </c>
      <c r="O16" s="130" t="n">
        <v>0.1275874229013889</v>
      </c>
      <c r="P16" s="130" t="n">
        <v>0.1220340562932374</v>
      </c>
      <c r="Q16" s="130" t="n">
        <v>0.1161892576053147</v>
      </c>
      <c r="R16" s="130" t="n">
        <v>0.1112156811772154</v>
      </c>
      <c r="S16" s="130" t="n">
        <v>0.1069422598581559</v>
      </c>
      <c r="T16" s="130" t="n">
        <v>0.1022375154641892</v>
      </c>
      <c r="U16" s="130" t="n">
        <v>0.098166515666649</v>
      </c>
      <c r="V16" s="130" t="n">
        <v>0.0946157427509124</v>
      </c>
      <c r="W16" s="130" t="n">
        <v>0.09059623669236837</v>
      </c>
      <c r="X16" s="130" t="n">
        <v>0.0870749965800629</v>
      </c>
      <c r="Y16" s="130" t="n">
        <v>0.08396885836755889</v>
      </c>
    </row>
    <row r="18">
      <c r="A18" s="143" t="inlineStr">
        <is>
          <t>COST OF GOODS SOLD</t>
        </is>
      </c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8" t="n"/>
      <c r="U18" s="128" t="n"/>
      <c r="V18" s="128" t="n"/>
      <c r="W18" s="128" t="n"/>
      <c r="X18" s="128" t="n"/>
      <c r="Y18" s="128" t="n"/>
      <c r="Z18" s="128" t="n"/>
      <c r="AA18" s="128" t="n"/>
    </row>
    <row r="19">
      <c r="A19" t="inlineStr">
        <is>
          <t>Payment Processing (3%)</t>
        </is>
      </c>
      <c r="B19" s="131" t="n">
        <v>161.025</v>
      </c>
      <c r="C19" s="131" t="n">
        <v>259.729425</v>
      </c>
      <c r="D19" s="131" t="n">
        <v>373.0158617249999</v>
      </c>
      <c r="E19" s="131" t="n">
        <v>499.650314139825</v>
      </c>
      <c r="F19" s="131" t="n">
        <v>641.2352831974055</v>
      </c>
      <c r="G19" s="131" t="n">
        <v>799.5655677478131</v>
      </c>
      <c r="H19" s="131" t="n">
        <v>972.646694916822</v>
      </c>
      <c r="I19" s="131" t="n">
        <v>1162.663436521155</v>
      </c>
      <c r="J19" s="131" t="n">
        <v>1371.31084399747</v>
      </c>
      <c r="K19" s="131" t="n">
        <v>1596.187506741672</v>
      </c>
      <c r="L19" s="131" t="n">
        <v>1838.593615324513</v>
      </c>
      <c r="M19" s="131" t="n">
        <v>2099.933368161807</v>
      </c>
      <c r="N19" s="131" t="n">
        <v>2381.723292171639</v>
      </c>
      <c r="O19" s="131" t="n">
        <v>2685.60122908403</v>
      </c>
      <c r="P19" s="131" t="n">
        <v>3013.336040655258</v>
      </c>
      <c r="Q19" s="131" t="n">
        <v>3363.453318134331</v>
      </c>
      <c r="R19" s="131" t="n">
        <v>3737.522070018406</v>
      </c>
      <c r="S19" s="131" t="n">
        <v>4137.221126455907</v>
      </c>
      <c r="T19" s="131" t="n">
        <v>4560.200335350713</v>
      </c>
      <c r="U19" s="131" t="n">
        <v>5007.859313013977</v>
      </c>
      <c r="V19" s="131" t="n">
        <v>5481.681641506868</v>
      </c>
      <c r="W19" s="131" t="n">
        <v>5978.301368973035</v>
      </c>
      <c r="X19" s="131" t="n">
        <v>6498.861940230947</v>
      </c>
      <c r="Y19" s="131" t="n">
        <v>7044.563958040519</v>
      </c>
    </row>
    <row r="20">
      <c r="A20" t="inlineStr">
        <is>
          <t>Hosting &amp; Bandwidth</t>
        </is>
      </c>
      <c r="B20" s="131" t="n">
        <v>1500</v>
      </c>
      <c r="C20" s="131" t="n">
        <v>1500</v>
      </c>
      <c r="D20" s="131" t="n">
        <v>1500</v>
      </c>
      <c r="E20" s="131" t="n">
        <v>1500</v>
      </c>
      <c r="F20" s="131" t="n">
        <v>1500</v>
      </c>
      <c r="G20" s="131" t="n">
        <v>1500</v>
      </c>
      <c r="H20" s="131" t="n">
        <v>1500</v>
      </c>
      <c r="I20" s="131" t="n">
        <v>1500</v>
      </c>
      <c r="J20" s="131" t="n">
        <v>1500</v>
      </c>
      <c r="K20" s="131" t="n">
        <v>1500</v>
      </c>
      <c r="L20" s="131" t="n">
        <v>1500</v>
      </c>
      <c r="M20" s="131" t="n">
        <v>1500</v>
      </c>
      <c r="N20" s="131" t="n">
        <v>1500</v>
      </c>
      <c r="O20" s="131" t="n">
        <v>1500</v>
      </c>
      <c r="P20" s="131" t="n">
        <v>1500</v>
      </c>
      <c r="Q20" s="131" t="n">
        <v>1500</v>
      </c>
      <c r="R20" s="131" t="n">
        <v>1500</v>
      </c>
      <c r="S20" s="131" t="n">
        <v>1500</v>
      </c>
      <c r="T20" s="131" t="n">
        <v>1500</v>
      </c>
      <c r="U20" s="131" t="n">
        <v>1500</v>
      </c>
      <c r="V20" s="131" t="n">
        <v>1500</v>
      </c>
      <c r="W20" s="131" t="n">
        <v>1500</v>
      </c>
      <c r="X20" s="131" t="n">
        <v>1500</v>
      </c>
      <c r="Y20" s="131" t="n">
        <v>1500</v>
      </c>
    </row>
    <row r="21">
      <c r="A21" s="145" t="inlineStr">
        <is>
          <t>Total COGS</t>
        </is>
      </c>
      <c r="B21" s="131" t="n">
        <v>1661.025</v>
      </c>
      <c r="C21" s="131" t="n">
        <v>1759.729425</v>
      </c>
      <c r="D21" s="131" t="n">
        <v>1873.015861725</v>
      </c>
      <c r="E21" s="131" t="n">
        <v>1999.650314139825</v>
      </c>
      <c r="F21" s="131" t="n">
        <v>2141.235283197405</v>
      </c>
      <c r="G21" s="131" t="n">
        <v>2299.565567747813</v>
      </c>
      <c r="H21" s="131" t="n">
        <v>2472.646694916822</v>
      </c>
      <c r="I21" s="131" t="n">
        <v>2662.663436521155</v>
      </c>
      <c r="J21" s="131" t="n">
        <v>2871.31084399747</v>
      </c>
      <c r="K21" s="131" t="n">
        <v>3096.187506741672</v>
      </c>
      <c r="L21" s="131" t="n">
        <v>3338.593615324513</v>
      </c>
      <c r="M21" s="131" t="n">
        <v>3599.933368161807</v>
      </c>
      <c r="N21" s="131" t="n">
        <v>3881.723292171639</v>
      </c>
      <c r="O21" s="131" t="n">
        <v>4185.60122908403</v>
      </c>
      <c r="P21" s="131" t="n">
        <v>4513.336040655258</v>
      </c>
      <c r="Q21" s="131" t="n">
        <v>4863.453318134331</v>
      </c>
      <c r="R21" s="131" t="n">
        <v>5237.522070018405</v>
      </c>
      <c r="S21" s="131" t="n">
        <v>5637.221126455907</v>
      </c>
      <c r="T21" s="131" t="n">
        <v>6060.200335350713</v>
      </c>
      <c r="U21" s="131" t="n">
        <v>6507.859313013977</v>
      </c>
      <c r="V21" s="131" t="n">
        <v>6981.681641506868</v>
      </c>
      <c r="W21" s="131" t="n">
        <v>7478.301368973035</v>
      </c>
      <c r="X21" s="131" t="n">
        <v>7998.861940230947</v>
      </c>
      <c r="Y21" s="131" t="n">
        <v>8544.563958040519</v>
      </c>
      <c r="Z21" s="144" t="n">
        <v>29775.55691747348</v>
      </c>
      <c r="AA21" s="144" t="n">
        <v>71890.32563363563</v>
      </c>
    </row>
    <row r="22">
      <c r="A22" t="inlineStr">
        <is>
          <t>COGS % of Revenue</t>
        </is>
      </c>
      <c r="B22" s="130" t="n">
        <v>0.3094597112249651</v>
      </c>
      <c r="C22" s="130" t="n">
        <v>0.2032572272086615</v>
      </c>
      <c r="D22" s="130" t="n">
        <v>0.1506383015239592</v>
      </c>
      <c r="E22" s="130" t="n">
        <v>0.1200629875065123</v>
      </c>
      <c r="F22" s="130" t="n">
        <v>0.1001770491723654</v>
      </c>
      <c r="G22" s="130" t="n">
        <v>0.08628056261446367</v>
      </c>
      <c r="H22" s="130" t="n">
        <v>0.0762655147394998</v>
      </c>
      <c r="I22" s="130" t="n">
        <v>0.06870423596930686</v>
      </c>
      <c r="J22" s="130" t="n">
        <v>0.06281531696257994</v>
      </c>
      <c r="K22" s="130" t="n">
        <v>0.05819217655190107</v>
      </c>
      <c r="L22" s="130" t="n">
        <v>0.05447522912346102</v>
      </c>
      <c r="M22" s="130" t="n">
        <v>0.05142925136686174</v>
      </c>
      <c r="N22" s="130" t="n">
        <v>0.04889388248748632</v>
      </c>
      <c r="O22" s="130" t="n">
        <v>0.04675602450306742</v>
      </c>
      <c r="P22" s="130" t="n">
        <v>0.04493361490151447</v>
      </c>
      <c r="Q22" s="130" t="n">
        <v>0.04337910645507664</v>
      </c>
      <c r="R22" s="130" t="n">
        <v>0.04204006268243343</v>
      </c>
      <c r="S22" s="130" t="n">
        <v>0.04087686604717419</v>
      </c>
      <c r="T22" s="130" t="n">
        <v>0.03986798752045159</v>
      </c>
      <c r="U22" s="130" t="n">
        <v>0.03898587543844493</v>
      </c>
      <c r="V22" s="130" t="n">
        <v>0.0382091596964084</v>
      </c>
      <c r="W22" s="130" t="n">
        <v>0.03752722173451255</v>
      </c>
      <c r="X22" s="130" t="n">
        <v>0.0369242892700073</v>
      </c>
      <c r="Y22" s="130" t="n">
        <v>0.03638790424333332</v>
      </c>
    </row>
    <row r="24">
      <c r="A24" s="143" t="inlineStr">
        <is>
          <t>GROSS PROFIT</t>
        </is>
      </c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8" t="n"/>
      <c r="P24" s="128" t="n"/>
      <c r="Q24" s="128" t="n"/>
      <c r="R24" s="128" t="n"/>
      <c r="S24" s="128" t="n"/>
      <c r="T24" s="128" t="n"/>
      <c r="U24" s="128" t="n"/>
      <c r="V24" s="128" t="n"/>
      <c r="W24" s="128" t="n"/>
      <c r="X24" s="128" t="n"/>
      <c r="Y24" s="128" t="n"/>
      <c r="Z24" s="128" t="n"/>
      <c r="AA24" s="128" t="n"/>
    </row>
    <row r="25">
      <c r="A25" s="145" t="inlineStr">
        <is>
          <t>Gross Profit</t>
        </is>
      </c>
      <c r="B25" s="131" t="n">
        <v>3706.475</v>
      </c>
      <c r="C25" s="131" t="n">
        <v>6897.918075</v>
      </c>
      <c r="D25" s="131" t="n">
        <v>10560.846195775</v>
      </c>
      <c r="E25" s="131" t="n">
        <v>14655.36015718768</v>
      </c>
      <c r="F25" s="131" t="n">
        <v>19233.27415671611</v>
      </c>
      <c r="G25" s="131" t="n">
        <v>24352.62002384596</v>
      </c>
      <c r="H25" s="131" t="n">
        <v>29948.90980231058</v>
      </c>
      <c r="I25" s="131" t="n">
        <v>36092.78444751733</v>
      </c>
      <c r="J25" s="131" t="n">
        <v>42839.05062258487</v>
      </c>
      <c r="K25" s="131" t="n">
        <v>50110.06271798073</v>
      </c>
      <c r="L25" s="131" t="n">
        <v>57947.86022882591</v>
      </c>
      <c r="M25" s="131" t="n">
        <v>66397.8455705651</v>
      </c>
      <c r="N25" s="131" t="n">
        <v>75509.05311354967</v>
      </c>
      <c r="O25" s="131" t="n">
        <v>85334.43974038365</v>
      </c>
      <c r="P25" s="131" t="n">
        <v>95931.19864785337</v>
      </c>
      <c r="Q25" s="131" t="n">
        <v>107251.6572863434</v>
      </c>
      <c r="R25" s="131" t="n">
        <v>119346.5469305951</v>
      </c>
      <c r="S25" s="131" t="n">
        <v>132270.1497554077</v>
      </c>
      <c r="T25" s="131" t="n">
        <v>145946.4775096731</v>
      </c>
      <c r="U25" s="131" t="n">
        <v>160420.7844541186</v>
      </c>
      <c r="V25" s="131" t="n">
        <v>175741.0397420554</v>
      </c>
      <c r="W25" s="131" t="n">
        <v>191798.4109301281</v>
      </c>
      <c r="X25" s="131" t="n">
        <v>208629.8694008006</v>
      </c>
      <c r="Y25" s="131" t="n">
        <v>226274.2346433101</v>
      </c>
    </row>
    <row r="26">
      <c r="A26" s="145" t="inlineStr">
        <is>
          <t>Gross Margin %</t>
        </is>
      </c>
      <c r="B26" s="130" t="n">
        <v>0.6905402887750349</v>
      </c>
      <c r="C26" s="130" t="n">
        <v>0.7967427727913385</v>
      </c>
      <c r="D26" s="130" t="n">
        <v>0.8493616984760408</v>
      </c>
      <c r="E26" s="130" t="n">
        <v>0.8799370124934878</v>
      </c>
      <c r="F26" s="130" t="n">
        <v>0.8998229508276345</v>
      </c>
      <c r="G26" s="130" t="n">
        <v>0.9137194373855363</v>
      </c>
      <c r="H26" s="130" t="n">
        <v>0.9237344852605003</v>
      </c>
      <c r="I26" s="130" t="n">
        <v>0.931295764030693</v>
      </c>
      <c r="J26" s="130" t="n">
        <v>0.9371846830374201</v>
      </c>
      <c r="K26" s="130" t="n">
        <v>0.941807823448099</v>
      </c>
      <c r="L26" s="130" t="n">
        <v>0.945524770876539</v>
      </c>
      <c r="M26" s="130" t="n">
        <v>0.9485707486331383</v>
      </c>
      <c r="N26" s="130" t="n">
        <v>0.9511061175125137</v>
      </c>
      <c r="O26" s="130" t="n">
        <v>0.9532439754969326</v>
      </c>
      <c r="P26" s="130" t="n">
        <v>0.9550663850984856</v>
      </c>
      <c r="Q26" s="130" t="n">
        <v>0.9566208935449234</v>
      </c>
      <c r="R26" s="130" t="n">
        <v>0.9579599373175666</v>
      </c>
      <c r="S26" s="130" t="n">
        <v>0.9591231339528259</v>
      </c>
      <c r="T26" s="130" t="n">
        <v>0.9601320124795485</v>
      </c>
      <c r="U26" s="130" t="n">
        <v>0.9610141245615551</v>
      </c>
      <c r="V26" s="130" t="n">
        <v>0.9617908403035915</v>
      </c>
      <c r="W26" s="130" t="n">
        <v>0.9624727782654874</v>
      </c>
      <c r="X26" s="130" t="n">
        <v>0.9630757107299928</v>
      </c>
      <c r="Y26" s="130" t="n">
        <v>0.9636120957566666</v>
      </c>
    </row>
    <row r="28">
      <c r="A28" s="143" t="inlineStr">
        <is>
          <t>PERSONNEL</t>
        </is>
      </c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28" t="n"/>
      <c r="U28" s="128" t="n"/>
      <c r="V28" s="128" t="n"/>
      <c r="W28" s="128" t="n"/>
      <c r="X28" s="128" t="n"/>
      <c r="Y28" s="128" t="n"/>
      <c r="Z28" s="128" t="n"/>
      <c r="AA28" s="128" t="n"/>
    </row>
    <row r="29">
      <c r="A29" t="inlineStr">
        <is>
          <t xml:space="preserve">  CEO - David Youssef (G&amp;A)</t>
        </is>
      </c>
      <c r="B29" s="131" t="n">
        <v>10000</v>
      </c>
      <c r="C29" s="131" t="n">
        <v>10000</v>
      </c>
      <c r="D29" s="131" t="n">
        <v>10000</v>
      </c>
      <c r="E29" s="131" t="n">
        <v>10000</v>
      </c>
      <c r="F29" s="131" t="n">
        <v>10000</v>
      </c>
      <c r="G29" s="131" t="n">
        <v>10000</v>
      </c>
      <c r="H29" s="131" t="n">
        <v>10000</v>
      </c>
      <c r="I29" s="131" t="n">
        <v>10000</v>
      </c>
      <c r="J29" s="131" t="n">
        <v>10000</v>
      </c>
      <c r="K29" s="131" t="n">
        <v>10000</v>
      </c>
      <c r="L29" s="131" t="n">
        <v>10000</v>
      </c>
      <c r="M29" s="131" t="n">
        <v>10000</v>
      </c>
      <c r="N29" s="131" t="n">
        <v>10000</v>
      </c>
      <c r="O29" s="131" t="n">
        <v>10000</v>
      </c>
      <c r="P29" s="131" t="n">
        <v>10000</v>
      </c>
      <c r="Q29" s="131" t="n">
        <v>10000</v>
      </c>
      <c r="R29" s="131" t="n">
        <v>10000</v>
      </c>
      <c r="S29" s="131" t="n">
        <v>10000</v>
      </c>
      <c r="T29" s="131" t="n">
        <v>10000</v>
      </c>
      <c r="U29" s="131" t="n">
        <v>10000</v>
      </c>
      <c r="V29" s="131" t="n">
        <v>10000</v>
      </c>
      <c r="W29" s="131" t="n">
        <v>10000</v>
      </c>
      <c r="X29" s="131" t="n">
        <v>10000</v>
      </c>
      <c r="Y29" s="131" t="n">
        <v>10000</v>
      </c>
    </row>
    <row r="30">
      <c r="A30" t="inlineStr">
        <is>
          <t xml:space="preserve">  CTO - Igor Malovitsa (R&amp;D)</t>
        </is>
      </c>
      <c r="B30" s="131" t="n">
        <v>10000</v>
      </c>
      <c r="C30" s="131" t="n">
        <v>10000</v>
      </c>
      <c r="D30" s="131" t="n">
        <v>10000</v>
      </c>
      <c r="E30" s="131" t="n">
        <v>10000</v>
      </c>
      <c r="F30" s="131" t="n">
        <v>10000</v>
      </c>
      <c r="G30" s="131" t="n">
        <v>10000</v>
      </c>
      <c r="H30" s="131" t="n">
        <v>10000</v>
      </c>
      <c r="I30" s="131" t="n">
        <v>10000</v>
      </c>
      <c r="J30" s="131" t="n">
        <v>10000</v>
      </c>
      <c r="K30" s="131" t="n">
        <v>10000</v>
      </c>
      <c r="L30" s="131" t="n">
        <v>10000</v>
      </c>
      <c r="M30" s="131" t="n">
        <v>10000</v>
      </c>
      <c r="N30" s="131" t="n">
        <v>10000</v>
      </c>
      <c r="O30" s="131" t="n">
        <v>10000</v>
      </c>
      <c r="P30" s="131" t="n">
        <v>10000</v>
      </c>
      <c r="Q30" s="131" t="n">
        <v>10000</v>
      </c>
      <c r="R30" s="131" t="n">
        <v>10000</v>
      </c>
      <c r="S30" s="131" t="n">
        <v>10000</v>
      </c>
      <c r="T30" s="131" t="n">
        <v>10000</v>
      </c>
      <c r="U30" s="131" t="n">
        <v>10000</v>
      </c>
      <c r="V30" s="131" t="n">
        <v>10000</v>
      </c>
      <c r="W30" s="131" t="n">
        <v>10000</v>
      </c>
      <c r="X30" s="131" t="n">
        <v>10000</v>
      </c>
      <c r="Y30" s="131" t="n">
        <v>10000</v>
      </c>
    </row>
    <row r="31">
      <c r="A31" t="inlineStr">
        <is>
          <t xml:space="preserve">  GTM - Kristen Hengst Smith (S&amp;M)</t>
        </is>
      </c>
      <c r="B31" s="131" t="n">
        <v>7000</v>
      </c>
      <c r="C31" s="131" t="n">
        <v>7000</v>
      </c>
      <c r="D31" s="131" t="n">
        <v>7000</v>
      </c>
      <c r="E31" s="131" t="n">
        <v>7000</v>
      </c>
      <c r="F31" s="131" t="n">
        <v>7000</v>
      </c>
      <c r="G31" s="131" t="n">
        <v>7000</v>
      </c>
      <c r="H31" s="131" t="n">
        <v>7000</v>
      </c>
      <c r="I31" s="131" t="n">
        <v>7000</v>
      </c>
      <c r="J31" s="131" t="n">
        <v>7000</v>
      </c>
      <c r="K31" s="131" t="n">
        <v>7000</v>
      </c>
      <c r="L31" s="131" t="n">
        <v>7000</v>
      </c>
      <c r="M31" s="131" t="n">
        <v>7000</v>
      </c>
      <c r="N31" s="131" t="n">
        <v>7000</v>
      </c>
      <c r="O31" s="131" t="n">
        <v>7000</v>
      </c>
      <c r="P31" s="131" t="n">
        <v>7000</v>
      </c>
      <c r="Q31" s="131" t="n">
        <v>7000</v>
      </c>
      <c r="R31" s="131" t="n">
        <v>7000</v>
      </c>
      <c r="S31" s="131" t="n">
        <v>7000</v>
      </c>
      <c r="T31" s="131" t="n">
        <v>7000</v>
      </c>
      <c r="U31" s="131" t="n">
        <v>7000</v>
      </c>
      <c r="V31" s="131" t="n">
        <v>7000</v>
      </c>
      <c r="W31" s="131" t="n">
        <v>7000</v>
      </c>
      <c r="X31" s="131" t="n">
        <v>7000</v>
      </c>
      <c r="Y31" s="131" t="n">
        <v>7000</v>
      </c>
    </row>
    <row r="32">
      <c r="A32" t="inlineStr">
        <is>
          <t xml:space="preserve">  Engineer - Hire #1 (R&amp;D)</t>
        </is>
      </c>
      <c r="B32" s="131" t="n">
        <v>0</v>
      </c>
      <c r="C32" s="131" t="n">
        <v>0</v>
      </c>
      <c r="D32" s="131" t="n">
        <v>0</v>
      </c>
      <c r="E32" s="131" t="n">
        <v>10000</v>
      </c>
      <c r="F32" s="131" t="n">
        <v>10000</v>
      </c>
      <c r="G32" s="131" t="n">
        <v>10000</v>
      </c>
      <c r="H32" s="131" t="n">
        <v>10000</v>
      </c>
      <c r="I32" s="131" t="n">
        <v>10000</v>
      </c>
      <c r="J32" s="131" t="n">
        <v>10000</v>
      </c>
      <c r="K32" s="131" t="n">
        <v>10000</v>
      </c>
      <c r="L32" s="131" t="n">
        <v>10000</v>
      </c>
      <c r="M32" s="131" t="n">
        <v>10000</v>
      </c>
      <c r="N32" s="131" t="n">
        <v>10000</v>
      </c>
      <c r="O32" s="131" t="n">
        <v>10000</v>
      </c>
      <c r="P32" s="131" t="n">
        <v>10000</v>
      </c>
      <c r="Q32" s="131" t="n">
        <v>10000</v>
      </c>
      <c r="R32" s="131" t="n">
        <v>10000</v>
      </c>
      <c r="S32" s="131" t="n">
        <v>10000</v>
      </c>
      <c r="T32" s="131" t="n">
        <v>10000</v>
      </c>
      <c r="U32" s="131" t="n">
        <v>10000</v>
      </c>
      <c r="V32" s="131" t="n">
        <v>10000</v>
      </c>
      <c r="W32" s="131" t="n">
        <v>10000</v>
      </c>
      <c r="X32" s="131" t="n">
        <v>10000</v>
      </c>
      <c r="Y32" s="131" t="n">
        <v>10000</v>
      </c>
    </row>
    <row r="33">
      <c r="A33" t="inlineStr">
        <is>
          <t xml:space="preserve">  Engineer - Hire #2 (R&amp;D)</t>
        </is>
      </c>
      <c r="B33" s="131" t="n">
        <v>0</v>
      </c>
      <c r="C33" s="131" t="n">
        <v>0</v>
      </c>
      <c r="D33" s="131" t="n">
        <v>0</v>
      </c>
      <c r="E33" s="131" t="n">
        <v>0</v>
      </c>
      <c r="F33" s="131" t="n">
        <v>0</v>
      </c>
      <c r="G33" s="131" t="n">
        <v>0</v>
      </c>
      <c r="H33" s="131" t="n">
        <v>0</v>
      </c>
      <c r="I33" s="131" t="n">
        <v>0</v>
      </c>
      <c r="J33" s="131" t="n">
        <v>0</v>
      </c>
      <c r="K33" s="131" t="n">
        <v>10000</v>
      </c>
      <c r="L33" s="131" t="n">
        <v>10000</v>
      </c>
      <c r="M33" s="131" t="n">
        <v>10000</v>
      </c>
      <c r="N33" s="131" t="n">
        <v>10000</v>
      </c>
      <c r="O33" s="131" t="n">
        <v>10000</v>
      </c>
      <c r="P33" s="131" t="n">
        <v>10000</v>
      </c>
      <c r="Q33" s="131" t="n">
        <v>10000</v>
      </c>
      <c r="R33" s="131" t="n">
        <v>10000</v>
      </c>
      <c r="S33" s="131" t="n">
        <v>10000</v>
      </c>
      <c r="T33" s="131" t="n">
        <v>10000</v>
      </c>
      <c r="U33" s="131" t="n">
        <v>10000</v>
      </c>
      <c r="V33" s="131" t="n">
        <v>10000</v>
      </c>
      <c r="W33" s="131" t="n">
        <v>10000</v>
      </c>
      <c r="X33" s="131" t="n">
        <v>10000</v>
      </c>
      <c r="Y33" s="131" t="n">
        <v>10000</v>
      </c>
    </row>
    <row r="34">
      <c r="A34" s="145" t="inlineStr">
        <is>
          <t>Total Payroll</t>
        </is>
      </c>
      <c r="B34" s="131" t="n">
        <v>27000</v>
      </c>
      <c r="C34" s="131" t="n">
        <v>27000</v>
      </c>
      <c r="D34" s="131" t="n">
        <v>27000</v>
      </c>
      <c r="E34" s="131" t="n">
        <v>37000</v>
      </c>
      <c r="F34" s="131" t="n">
        <v>37000</v>
      </c>
      <c r="G34" s="131" t="n">
        <v>37000</v>
      </c>
      <c r="H34" s="131" t="n">
        <v>37000</v>
      </c>
      <c r="I34" s="131" t="n">
        <v>37000</v>
      </c>
      <c r="J34" s="131" t="n">
        <v>37000</v>
      </c>
      <c r="K34" s="131" t="n">
        <v>47000</v>
      </c>
      <c r="L34" s="131" t="n">
        <v>47000</v>
      </c>
      <c r="M34" s="131" t="n">
        <v>47000</v>
      </c>
      <c r="N34" s="131" t="n">
        <v>47000</v>
      </c>
      <c r="O34" s="131" t="n">
        <v>47000</v>
      </c>
      <c r="P34" s="131" t="n">
        <v>47000</v>
      </c>
      <c r="Q34" s="131" t="n">
        <v>47000</v>
      </c>
      <c r="R34" s="131" t="n">
        <v>47000</v>
      </c>
      <c r="S34" s="131" t="n">
        <v>47000</v>
      </c>
      <c r="T34" s="131" t="n">
        <v>47000</v>
      </c>
      <c r="U34" s="131" t="n">
        <v>47000</v>
      </c>
      <c r="V34" s="131" t="n">
        <v>47000</v>
      </c>
      <c r="W34" s="131" t="n">
        <v>47000</v>
      </c>
      <c r="X34" s="131" t="n">
        <v>47000</v>
      </c>
      <c r="Y34" s="131" t="n">
        <v>47000</v>
      </c>
      <c r="Z34" s="144" t="n">
        <v>444000</v>
      </c>
      <c r="AA34" s="144" t="n">
        <v>564000</v>
      </c>
    </row>
    <row r="36">
      <c r="A36" s="143" t="inlineStr">
        <is>
          <t>OPERATING EXPENSES</t>
        </is>
      </c>
      <c r="B36" s="128" t="n"/>
      <c r="C36" s="128" t="n"/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28" t="n"/>
      <c r="P36" s="128" t="n"/>
      <c r="Q36" s="128" t="n"/>
      <c r="R36" s="128" t="n"/>
      <c r="S36" s="128" t="n"/>
      <c r="T36" s="128" t="n"/>
      <c r="U36" s="128" t="n"/>
      <c r="V36" s="128" t="n"/>
      <c r="W36" s="128" t="n"/>
      <c r="X36" s="128" t="n"/>
      <c r="Y36" s="128" t="n"/>
      <c r="Z36" s="128" t="n"/>
      <c r="AA36" s="128" t="n"/>
    </row>
    <row r="37">
      <c r="A37" t="inlineStr">
        <is>
          <t>Sales &amp; Marketing</t>
        </is>
      </c>
      <c r="B37" s="131" t="n">
        <v>7322.049999999999</v>
      </c>
      <c r="C37" s="131" t="n">
        <v>7519.458849999999</v>
      </c>
      <c r="D37" s="131" t="n">
        <v>7746.03172345</v>
      </c>
      <c r="E37" s="131" t="n">
        <v>7999.30062827965</v>
      </c>
      <c r="F37" s="131" t="n">
        <v>8282.470566394812</v>
      </c>
      <c r="G37" s="131" t="n">
        <v>8599.131135495627</v>
      </c>
      <c r="H37" s="131" t="n">
        <v>8945.293389833645</v>
      </c>
      <c r="I37" s="131" t="n">
        <v>9325.32687304231</v>
      </c>
      <c r="J37" s="131" t="n">
        <v>9742.621687994939</v>
      </c>
      <c r="K37" s="131" t="n">
        <v>10192.37501348334</v>
      </c>
      <c r="L37" s="131" t="n">
        <v>10677.18723064903</v>
      </c>
      <c r="M37" s="131" t="n">
        <v>11199.86673632361</v>
      </c>
      <c r="N37" s="131" t="n">
        <v>11763.44658434328</v>
      </c>
      <c r="O37" s="131" t="n">
        <v>12371.20245816806</v>
      </c>
      <c r="P37" s="131" t="n">
        <v>13026.67208131052</v>
      </c>
      <c r="Q37" s="131" t="n">
        <v>13726.90663626866</v>
      </c>
      <c r="R37" s="131" t="n">
        <v>14475.04414003681</v>
      </c>
      <c r="S37" s="131" t="n">
        <v>15274.44225291182</v>
      </c>
      <c r="T37" s="131" t="n">
        <v>16120.40067070143</v>
      </c>
      <c r="U37" s="131" t="n">
        <v>17015.71862602796</v>
      </c>
      <c r="V37" s="131" t="n">
        <v>17963.36328301374</v>
      </c>
      <c r="W37" s="131" t="n">
        <v>18956.60273794607</v>
      </c>
      <c r="X37" s="131" t="n">
        <v>19997.7238804619</v>
      </c>
      <c r="Y37" s="131" t="n">
        <v>21089.12791608104</v>
      </c>
      <c r="Z37" s="144" t="n">
        <v>107551.113834947</v>
      </c>
      <c r="AA37" s="144" t="n">
        <v>191780.6512672713</v>
      </c>
    </row>
    <row r="38">
      <c r="A38" t="inlineStr">
        <is>
          <t xml:space="preserve">  S&amp;M % of Revenue</t>
        </is>
      </c>
      <c r="B38" s="130" t="n">
        <v>1.364145319049837</v>
      </c>
      <c r="C38" s="130" t="n">
        <v>0.8685337269737535</v>
      </c>
      <c r="D38" s="130" t="n">
        <v>0.6229787404451427</v>
      </c>
      <c r="E38" s="130" t="n">
        <v>0.4802939416970574</v>
      </c>
      <c r="F38" s="130" t="n">
        <v>0.3874928961377054</v>
      </c>
      <c r="G38" s="130" t="n">
        <v>0.3226426255341638</v>
      </c>
      <c r="H38" s="130" t="n">
        <v>0.2759057354509991</v>
      </c>
      <c r="I38" s="130" t="n">
        <v>0.2406197678567654</v>
      </c>
      <c r="J38" s="130" t="n">
        <v>0.213138145825373</v>
      </c>
      <c r="K38" s="130" t="n">
        <v>0.1915634905755383</v>
      </c>
      <c r="L38" s="130" t="n">
        <v>0.1742177359094847</v>
      </c>
      <c r="M38" s="130" t="n">
        <v>0.1600031730453548</v>
      </c>
      <c r="N38" s="130" t="n">
        <v>0.1481714516082695</v>
      </c>
      <c r="O38" s="130" t="n">
        <v>0.1381947810143146</v>
      </c>
      <c r="P38" s="130" t="n">
        <v>0.1296902028737342</v>
      </c>
      <c r="Q38" s="130" t="n">
        <v>0.122435830123691</v>
      </c>
      <c r="R38" s="130" t="n">
        <v>0.1161869591846894</v>
      </c>
      <c r="S38" s="130" t="n">
        <v>0.1107587082201462</v>
      </c>
      <c r="T38" s="130" t="n">
        <v>0.1060506084287741</v>
      </c>
      <c r="U38" s="130" t="n">
        <v>0.1019340853794097</v>
      </c>
      <c r="V38" s="130" t="n">
        <v>0.09830941191657251</v>
      </c>
      <c r="W38" s="130" t="n">
        <v>0.0951270347610586</v>
      </c>
      <c r="X38" s="130" t="n">
        <v>0.09231334992670076</v>
      </c>
      <c r="Y38" s="130" t="n">
        <v>0.08981021980222216</v>
      </c>
    </row>
    <row r="39">
      <c r="A39" t="inlineStr">
        <is>
          <t>Research &amp; Development</t>
        </is>
      </c>
      <c r="B39" s="131" t="n">
        <v>13000</v>
      </c>
      <c r="C39" s="131" t="n">
        <v>13000</v>
      </c>
      <c r="D39" s="131" t="n">
        <v>13000</v>
      </c>
      <c r="E39" s="131" t="n">
        <v>23000</v>
      </c>
      <c r="F39" s="131" t="n">
        <v>23000</v>
      </c>
      <c r="G39" s="131" t="n">
        <v>23000</v>
      </c>
      <c r="H39" s="131" t="n">
        <v>23000</v>
      </c>
      <c r="I39" s="131" t="n">
        <v>23000</v>
      </c>
      <c r="J39" s="131" t="n">
        <v>23000</v>
      </c>
      <c r="K39" s="131" t="n">
        <v>33000</v>
      </c>
      <c r="L39" s="131" t="n">
        <v>33000</v>
      </c>
      <c r="M39" s="131" t="n">
        <v>33000</v>
      </c>
      <c r="N39" s="131" t="n">
        <v>33000</v>
      </c>
      <c r="O39" s="131" t="n">
        <v>33000</v>
      </c>
      <c r="P39" s="131" t="n">
        <v>33000</v>
      </c>
      <c r="Q39" s="131" t="n">
        <v>33000</v>
      </c>
      <c r="R39" s="131" t="n">
        <v>33000</v>
      </c>
      <c r="S39" s="131" t="n">
        <v>33000</v>
      </c>
      <c r="T39" s="131" t="n">
        <v>33000</v>
      </c>
      <c r="U39" s="131" t="n">
        <v>33000</v>
      </c>
      <c r="V39" s="131" t="n">
        <v>33000</v>
      </c>
      <c r="W39" s="131" t="n">
        <v>33000</v>
      </c>
      <c r="X39" s="131" t="n">
        <v>33000</v>
      </c>
      <c r="Y39" s="131" t="n">
        <v>33000</v>
      </c>
      <c r="Z39" s="144" t="n">
        <v>276000</v>
      </c>
      <c r="AA39" s="144" t="n">
        <v>396000</v>
      </c>
    </row>
    <row r="40">
      <c r="A40" t="inlineStr">
        <is>
          <t xml:space="preserve">  R&amp;D % of Revenue</t>
        </is>
      </c>
      <c r="B40" s="130" t="n">
        <v>2.421984163949697</v>
      </c>
      <c r="C40" s="130" t="n">
        <v>1.5015626358084</v>
      </c>
      <c r="D40" s="130" t="n">
        <v>1.045531946540979</v>
      </c>
      <c r="E40" s="130" t="n">
        <v>1.380965808433188</v>
      </c>
      <c r="F40" s="130" t="n">
        <v>1.076048087309603</v>
      </c>
      <c r="G40" s="130" t="n">
        <v>0.8629686267551097</v>
      </c>
      <c r="H40" s="130" t="n">
        <v>0.709404559338997</v>
      </c>
      <c r="I40" s="130" t="n">
        <v>0.5934649515293718</v>
      </c>
      <c r="J40" s="130" t="n">
        <v>0.5031681934262259</v>
      </c>
      <c r="K40" s="130" t="n">
        <v>0.6202278841418235</v>
      </c>
      <c r="L40" s="130" t="n">
        <v>0.5384550407161424</v>
      </c>
      <c r="M40" s="130" t="n">
        <v>0.4714435300709585</v>
      </c>
      <c r="N40" s="130" t="n">
        <v>0.4156654147246991</v>
      </c>
      <c r="O40" s="130" t="n">
        <v>0.3686325390674833</v>
      </c>
      <c r="P40" s="130" t="n">
        <v>0.3285395278333185</v>
      </c>
      <c r="Q40" s="130" t="n">
        <v>0.2943403420116862</v>
      </c>
      <c r="R40" s="130" t="n">
        <v>0.2648813790135357</v>
      </c>
      <c r="S40" s="130" t="n">
        <v>0.2392910530378321</v>
      </c>
      <c r="T40" s="130" t="n">
        <v>0.217095725449935</v>
      </c>
      <c r="U40" s="130" t="n">
        <v>0.1976892596457885</v>
      </c>
      <c r="V40" s="130" t="n">
        <v>0.1806015133209847</v>
      </c>
      <c r="W40" s="130" t="n">
        <v>0.1655988781592762</v>
      </c>
      <c r="X40" s="130" t="n">
        <v>0.1523343639401607</v>
      </c>
      <c r="Y40" s="130" t="n">
        <v>0.1405338933533331</v>
      </c>
    </row>
    <row r="41">
      <c r="A41" t="inlineStr">
        <is>
          <t>General &amp; Administrative</t>
        </is>
      </c>
      <c r="B41" s="131" t="n">
        <v>14867</v>
      </c>
      <c r="C41" s="131" t="n">
        <v>14867</v>
      </c>
      <c r="D41" s="131" t="n">
        <v>14867</v>
      </c>
      <c r="E41" s="131" t="n">
        <v>14867</v>
      </c>
      <c r="F41" s="131" t="n">
        <v>14867</v>
      </c>
      <c r="G41" s="131" t="n">
        <v>14867</v>
      </c>
      <c r="H41" s="131" t="n">
        <v>14867</v>
      </c>
      <c r="I41" s="131" t="n">
        <v>14867</v>
      </c>
      <c r="J41" s="131" t="n">
        <v>14867</v>
      </c>
      <c r="K41" s="131" t="n">
        <v>14867</v>
      </c>
      <c r="L41" s="131" t="n">
        <v>14867</v>
      </c>
      <c r="M41" s="131" t="n">
        <v>14867</v>
      </c>
      <c r="N41" s="131" t="n">
        <v>14867</v>
      </c>
      <c r="O41" s="131" t="n">
        <v>14867</v>
      </c>
      <c r="P41" s="131" t="n">
        <v>14867</v>
      </c>
      <c r="Q41" s="131" t="n">
        <v>14867</v>
      </c>
      <c r="R41" s="131" t="n">
        <v>14867</v>
      </c>
      <c r="S41" s="131" t="n">
        <v>14867</v>
      </c>
      <c r="T41" s="131" t="n">
        <v>14867</v>
      </c>
      <c r="U41" s="131" t="n">
        <v>14867</v>
      </c>
      <c r="V41" s="131" t="n">
        <v>14867</v>
      </c>
      <c r="W41" s="131" t="n">
        <v>14867</v>
      </c>
      <c r="X41" s="131" t="n">
        <v>14867</v>
      </c>
      <c r="Y41" s="131" t="n">
        <v>14867</v>
      </c>
      <c r="Z41" s="144" t="n">
        <v>178404</v>
      </c>
      <c r="AA41" s="144" t="n">
        <v>178404</v>
      </c>
    </row>
    <row r="42">
      <c r="A42" t="inlineStr">
        <is>
          <t xml:space="preserve">  G&amp;A % of Revenue</t>
        </is>
      </c>
      <c r="B42" s="130" t="n">
        <v>2.769818351187704</v>
      </c>
      <c r="C42" s="130" t="n">
        <v>1.717210131274114</v>
      </c>
      <c r="D42" s="130" t="n">
        <v>1.195686419171134</v>
      </c>
      <c r="E42" s="130" t="n">
        <v>0.8926442901728788</v>
      </c>
      <c r="F42" s="130" t="n">
        <v>0.6955481266970379</v>
      </c>
      <c r="G42" s="130" t="n">
        <v>0.5578154162594876</v>
      </c>
      <c r="H42" s="130" t="n">
        <v>0.4585529384214291</v>
      </c>
      <c r="I42" s="130" t="n">
        <v>0.3836105841037901</v>
      </c>
      <c r="J42" s="130" t="n">
        <v>0.3252435448551174</v>
      </c>
      <c r="K42" s="130" t="n">
        <v>0.2794220591980755</v>
      </c>
      <c r="L42" s="130" t="n">
        <v>0.24258215425233</v>
      </c>
      <c r="M42" s="130" t="n">
        <v>0.2123924533807557</v>
      </c>
      <c r="N42" s="130" t="n">
        <v>0.1872635672943061</v>
      </c>
      <c r="O42" s="130" t="n">
        <v>0.1660745441914022</v>
      </c>
      <c r="P42" s="130" t="n">
        <v>0.1480120351605438</v>
      </c>
      <c r="Q42" s="130" t="n">
        <v>0.1326047837784163</v>
      </c>
      <c r="R42" s="130" t="n">
        <v>0.1193330745998253</v>
      </c>
      <c r="S42" s="130" t="n">
        <v>0.1078042450155591</v>
      </c>
      <c r="T42" s="130" t="n">
        <v>0.0978049136443692</v>
      </c>
      <c r="U42" s="130" t="n">
        <v>0.08906200676224052</v>
      </c>
      <c r="V42" s="130" t="n">
        <v>0.08136371813766907</v>
      </c>
      <c r="W42" s="130" t="n">
        <v>0.07460480368466545</v>
      </c>
      <c r="X42" s="130" t="n">
        <v>0.06862893905146573</v>
      </c>
      <c r="Y42" s="130" t="n">
        <v>0.06331264825709099</v>
      </c>
    </row>
    <row r="43">
      <c r="A43" s="145" t="inlineStr">
        <is>
          <t>Total OpEx</t>
        </is>
      </c>
      <c r="B43" s="131" t="n">
        <v>35189.05</v>
      </c>
      <c r="C43" s="131" t="n">
        <v>35386.45885</v>
      </c>
      <c r="D43" s="131" t="n">
        <v>35613.03172345</v>
      </c>
      <c r="E43" s="131" t="n">
        <v>45866.30062827965</v>
      </c>
      <c r="F43" s="131" t="n">
        <v>46149.47056639481</v>
      </c>
      <c r="G43" s="131" t="n">
        <v>46466.13113549563</v>
      </c>
      <c r="H43" s="131" t="n">
        <v>46812.29338983365</v>
      </c>
      <c r="I43" s="131" t="n">
        <v>47192.32687304231</v>
      </c>
      <c r="J43" s="131" t="n">
        <v>47609.62168799494</v>
      </c>
      <c r="K43" s="131" t="n">
        <v>58059.37501348335</v>
      </c>
      <c r="L43" s="131" t="n">
        <v>58544.18723064903</v>
      </c>
      <c r="M43" s="131" t="n">
        <v>59066.86673632362</v>
      </c>
      <c r="N43" s="131" t="n">
        <v>59630.44658434328</v>
      </c>
      <c r="O43" s="131" t="n">
        <v>60238.20245816806</v>
      </c>
      <c r="P43" s="131" t="n">
        <v>60893.67208131052</v>
      </c>
      <c r="Q43" s="131" t="n">
        <v>61593.90663626866</v>
      </c>
      <c r="R43" s="131" t="n">
        <v>62342.04414003681</v>
      </c>
      <c r="S43" s="131" t="n">
        <v>63141.44225291182</v>
      </c>
      <c r="T43" s="131" t="n">
        <v>63987.40067070143</v>
      </c>
      <c r="U43" s="131" t="n">
        <v>64882.71862602796</v>
      </c>
      <c r="V43" s="131" t="n">
        <v>65830.36328301374</v>
      </c>
      <c r="W43" s="131" t="n">
        <v>66823.60273794607</v>
      </c>
      <c r="X43" s="131" t="n">
        <v>67864.7238804619</v>
      </c>
      <c r="Y43" s="131" t="n">
        <v>68956.12791608104</v>
      </c>
      <c r="Z43" s="144" t="n">
        <v>561955.113834947</v>
      </c>
      <c r="AA43" s="144" t="n">
        <v>766184.6512672713</v>
      </c>
    </row>
    <row r="45">
      <c r="A45" s="143" t="inlineStr">
        <is>
          <t>EBITDA / OPERATING INCOME</t>
        </is>
      </c>
      <c r="B45" s="128" t="n"/>
      <c r="C45" s="128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8" t="n"/>
      <c r="R45" s="128" t="n"/>
      <c r="S45" s="128" t="n"/>
      <c r="T45" s="128" t="n"/>
      <c r="U45" s="128" t="n"/>
      <c r="V45" s="128" t="n"/>
      <c r="W45" s="128" t="n"/>
      <c r="X45" s="128" t="n"/>
      <c r="Y45" s="128" t="n"/>
      <c r="Z45" s="128" t="n"/>
      <c r="AA45" s="128" t="n"/>
    </row>
    <row r="46">
      <c r="A46" s="145" t="inlineStr">
        <is>
          <t>EBITDA</t>
        </is>
      </c>
      <c r="B46" s="131" t="n">
        <v>-31482.575</v>
      </c>
      <c r="C46" s="131" t="n">
        <v>-28488.54077499999</v>
      </c>
      <c r="D46" s="131" t="n">
        <v>-25052.185527675</v>
      </c>
      <c r="E46" s="131" t="n">
        <v>-31210.94047109197</v>
      </c>
      <c r="F46" s="131" t="n">
        <v>-26916.1964096787</v>
      </c>
      <c r="G46" s="131" t="n">
        <v>-22113.51111164967</v>
      </c>
      <c r="H46" s="131" t="n">
        <v>-16863.38358752307</v>
      </c>
      <c r="I46" s="131" t="n">
        <v>-11099.54242552497</v>
      </c>
      <c r="J46" s="131" t="n">
        <v>-4770.571065410069</v>
      </c>
      <c r="K46" s="131" t="n">
        <v>-7949.312295502612</v>
      </c>
      <c r="L46" s="131" t="n">
        <v>-596.3270018231124</v>
      </c>
      <c r="M46" s="131" t="n">
        <v>7330.978834241483</v>
      </c>
      <c r="N46" s="131" t="n">
        <v>15878.60652920639</v>
      </c>
      <c r="O46" s="131" t="n">
        <v>25096.23728221559</v>
      </c>
      <c r="P46" s="131" t="n">
        <v>35037.52656654285</v>
      </c>
      <c r="Q46" s="131" t="n">
        <v>45657.75065007472</v>
      </c>
      <c r="R46" s="131" t="n">
        <v>57004.50279055833</v>
      </c>
      <c r="S46" s="131" t="n">
        <v>69128.70750249586</v>
      </c>
      <c r="T46" s="131" t="n">
        <v>81959.07683897164</v>
      </c>
      <c r="U46" s="131" t="n">
        <v>95538.06582809065</v>
      </c>
      <c r="V46" s="131" t="n">
        <v>109910.6764590417</v>
      </c>
      <c r="W46" s="131" t="n">
        <v>124974.8081921821</v>
      </c>
      <c r="X46" s="131" t="n">
        <v>140765.1455203387</v>
      </c>
      <c r="Y46" s="131" t="n">
        <v>157318.1067272291</v>
      </c>
      <c r="Z46" s="144" t="n">
        <v>-199212.1068366377</v>
      </c>
      <c r="AA46" s="144" t="n">
        <v>958269.2108869476</v>
      </c>
    </row>
    <row r="47">
      <c r="A47" s="145" t="inlineStr">
        <is>
          <t>EBITDA Margin %</t>
        </is>
      </c>
      <c r="B47" s="130" t="n">
        <v>-5.865407545412204</v>
      </c>
      <c r="C47" s="130" t="n">
        <v>-3.290563721264927</v>
      </c>
      <c r="D47" s="130" t="n">
        <v>-2.014835407681215</v>
      </c>
      <c r="E47" s="130" t="n">
        <v>-1.873967027809637</v>
      </c>
      <c r="F47" s="130" t="n">
        <v>-1.259266159316712</v>
      </c>
      <c r="G47" s="130" t="n">
        <v>-0.8297072311632249</v>
      </c>
      <c r="H47" s="130" t="n">
        <v>-0.5201287479509251</v>
      </c>
      <c r="I47" s="130" t="n">
        <v>-0.2863995394592341</v>
      </c>
      <c r="J47" s="130" t="n">
        <v>-0.1043652010692961</v>
      </c>
      <c r="K47" s="130" t="n">
        <v>-0.1494056104673384</v>
      </c>
      <c r="L47" s="130" t="n">
        <v>-0.009730160001418154</v>
      </c>
      <c r="M47" s="130" t="n">
        <v>0.1047315921360692</v>
      </c>
      <c r="N47" s="130" t="n">
        <v>0.2000056838852391</v>
      </c>
      <c r="O47" s="130" t="n">
        <v>0.2803421112237324</v>
      </c>
      <c r="P47" s="130" t="n">
        <v>0.348824619230889</v>
      </c>
      <c r="Q47" s="130" t="n">
        <v>0.4072399376311298</v>
      </c>
      <c r="R47" s="130" t="n">
        <v>0.4575585245195162</v>
      </c>
      <c r="S47" s="130" t="n">
        <v>0.5012691276792884</v>
      </c>
      <c r="T47" s="130" t="n">
        <v>0.5391807649564702</v>
      </c>
      <c r="U47" s="130" t="n">
        <v>0.5723287727741164</v>
      </c>
      <c r="V47" s="130" t="n">
        <v>0.6015161969283653</v>
      </c>
      <c r="W47" s="130" t="n">
        <v>0.6271420616604871</v>
      </c>
      <c r="X47" s="130" t="n">
        <v>0.6497990578116655</v>
      </c>
      <c r="Y47" s="130" t="n">
        <v>0.6699553343440205</v>
      </c>
    </row>
    <row r="49">
      <c r="A49" s="143" t="inlineStr">
        <is>
          <t>SaaS OPERATING METRICS</t>
        </is>
      </c>
      <c r="B49" s="128" t="n"/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8" t="n"/>
      <c r="P49" s="128" t="n"/>
      <c r="Q49" s="128" t="n"/>
      <c r="R49" s="128" t="n"/>
      <c r="S49" s="128" t="n"/>
      <c r="T49" s="128" t="n"/>
      <c r="U49" s="128" t="n"/>
      <c r="V49" s="128" t="n"/>
      <c r="W49" s="128" t="n"/>
      <c r="X49" s="128" t="n"/>
      <c r="Y49" s="128" t="n"/>
      <c r="Z49" s="128" t="n"/>
      <c r="AA49" s="128" t="n"/>
    </row>
    <row r="50">
      <c r="A50" t="inlineStr">
        <is>
          <t>CAC (S&amp;M / New Customers)</t>
        </is>
      </c>
      <c r="B50" s="131" t="n">
        <v>7322.049999999999</v>
      </c>
      <c r="C50" s="131" t="n">
        <v>7519.458849999999</v>
      </c>
      <c r="D50" s="131" t="n">
        <v>3873.015861725</v>
      </c>
      <c r="E50" s="131" t="n">
        <v>3999.650314139825</v>
      </c>
      <c r="F50" s="131" t="n">
        <v>4141.235283197406</v>
      </c>
      <c r="G50" s="131" t="n">
        <v>4299.565567747813</v>
      </c>
      <c r="H50" s="131" t="n">
        <v>4472.646694916823</v>
      </c>
      <c r="I50" s="131" t="n">
        <v>3108.442291014103</v>
      </c>
      <c r="J50" s="131" t="n">
        <v>4871.310843997469</v>
      </c>
      <c r="K50" s="131" t="n">
        <v>3397.458337827782</v>
      </c>
      <c r="L50" s="131" t="n">
        <v>2669.296807662256</v>
      </c>
      <c r="M50" s="131" t="n">
        <v>3733.288912107872</v>
      </c>
      <c r="N50" s="131" t="n">
        <v>0</v>
      </c>
      <c r="O50" s="131" t="n">
        <v>3092.800614542015</v>
      </c>
      <c r="P50" s="131" t="n">
        <v>3256.668020327629</v>
      </c>
      <c r="Q50" s="131" t="n">
        <v>3431.726659067166</v>
      </c>
      <c r="R50" s="131" t="n">
        <v>3618.761035009203</v>
      </c>
      <c r="S50" s="131" t="n">
        <v>3054.888450582363</v>
      </c>
      <c r="T50" s="131" t="n">
        <v>4030.100167675357</v>
      </c>
      <c r="U50" s="131" t="n">
        <v>2835.953104337992</v>
      </c>
      <c r="V50" s="131" t="n">
        <v>3592.672656602747</v>
      </c>
      <c r="W50" s="131" t="n">
        <v>3159.433789657679</v>
      </c>
      <c r="X50" s="131" t="n">
        <v>3332.953980076983</v>
      </c>
      <c r="Y50" s="131" t="n">
        <v>3514.854652680173</v>
      </c>
    </row>
    <row r="51">
      <c r="A51" t="inlineStr">
        <is>
          <t>CAC Payback (months)</t>
        </is>
      </c>
      <c r="B51" t="n">
        <v>4.241345577671507</v>
      </c>
      <c r="C51" t="n">
        <v>3.775099872525254</v>
      </c>
      <c r="D51" t="n">
        <v>1.823965393623999</v>
      </c>
      <c r="E51" t="n">
        <v>1.818153007477646</v>
      </c>
      <c r="F51" t="n">
        <v>1.840911161196056</v>
      </c>
      <c r="G51" t="n">
        <v>1.882225721300333</v>
      </c>
      <c r="H51" t="n">
        <v>1.936767227502826</v>
      </c>
      <c r="I51" t="n">
        <v>1.335104232649192</v>
      </c>
      <c r="J51" t="n">
        <v>2.079125249127857</v>
      </c>
      <c r="K51" t="n">
        <v>1.442951843567907</v>
      </c>
      <c r="L51" t="n">
        <v>1.129234004176416</v>
      </c>
      <c r="M51" t="n">
        <v>1.574279585360366</v>
      </c>
      <c r="N51" t="n">
        <v>0</v>
      </c>
      <c r="O51" t="n">
        <v>1.118793297356812</v>
      </c>
      <c r="P51" t="n">
        <v>1.175822948067602</v>
      </c>
      <c r="Q51" t="n">
        <v>1.23701460876823</v>
      </c>
      <c r="R51" t="n">
        <v>1.302610458069844</v>
      </c>
      <c r="S51" t="n">
        <v>1.098305080187393</v>
      </c>
      <c r="T51" t="n">
        <v>1.447394415485239</v>
      </c>
      <c r="U51" t="n">
        <v>1.017586358588622</v>
      </c>
      <c r="V51" t="n">
        <v>1.288068661390867</v>
      </c>
      <c r="W51" t="n">
        <v>1.131938431995476</v>
      </c>
      <c r="X51" t="n">
        <v>1.193358386141285</v>
      </c>
      <c r="Y51" t="n">
        <v>1.257787081636889</v>
      </c>
    </row>
    <row r="52">
      <c r="A52" t="inlineStr">
        <is>
          <t>LTV (margin-weighted)</t>
        </is>
      </c>
      <c r="B52" s="131" t="n">
        <v>575450.2406458624</v>
      </c>
      <c r="C52" s="131" t="n">
        <v>663952.3106594488</v>
      </c>
      <c r="D52" s="131" t="n">
        <v>707801.4153967007</v>
      </c>
      <c r="E52" s="131" t="n">
        <v>733280.8437445732</v>
      </c>
      <c r="F52" s="131" t="n">
        <v>749852.4590230287</v>
      </c>
      <c r="G52" s="131" t="n">
        <v>761432.864487947</v>
      </c>
      <c r="H52" s="131" t="n">
        <v>577334.0532878127</v>
      </c>
      <c r="I52" s="131" t="n">
        <v>582059.8525191831</v>
      </c>
      <c r="J52" s="131" t="n">
        <v>585740.4268983876</v>
      </c>
      <c r="K52" s="131" t="n">
        <v>588629.8896550619</v>
      </c>
      <c r="L52" s="131" t="n">
        <v>590952.9817978368</v>
      </c>
      <c r="M52" s="131" t="n">
        <v>592856.7178957114</v>
      </c>
      <c r="N52" s="131" t="n">
        <v>689551.9351965724</v>
      </c>
      <c r="O52" s="131" t="n">
        <v>691101.8822352762</v>
      </c>
      <c r="P52" s="131" t="n">
        <v>692423.129196402</v>
      </c>
      <c r="Q52" s="131" t="n">
        <v>693550.1478200695</v>
      </c>
      <c r="R52" s="131" t="n">
        <v>694520.9545552358</v>
      </c>
      <c r="S52" s="131" t="n">
        <v>695364.2721157988</v>
      </c>
      <c r="T52" s="131" t="n">
        <v>696095.7090476727</v>
      </c>
      <c r="U52" s="131" t="n">
        <v>696735.2403071275</v>
      </c>
      <c r="V52" s="131" t="n">
        <v>697298.3592201038</v>
      </c>
      <c r="W52" s="131" t="n">
        <v>697792.7642424784</v>
      </c>
      <c r="X52" s="131" t="n">
        <v>698229.8902792447</v>
      </c>
      <c r="Y52" s="131" t="n">
        <v>698618.7694235833</v>
      </c>
    </row>
    <row r="53">
      <c r="A53" s="145" t="inlineStr">
        <is>
          <t>LTV:CAC Ratio</t>
        </is>
      </c>
      <c r="B53" t="n">
        <v>78.59141096357747</v>
      </c>
      <c r="C53" t="n">
        <v>88.29788471539398</v>
      </c>
      <c r="D53" t="n">
        <v>182.7520053278206</v>
      </c>
      <c r="E53" t="n">
        <v>183.336238458705</v>
      </c>
      <c r="F53" t="n">
        <v>181.0697552166307</v>
      </c>
      <c r="G53" t="n">
        <v>177.0953024183787</v>
      </c>
      <c r="H53" t="n">
        <v>129.0810771939476</v>
      </c>
      <c r="I53" t="n">
        <v>187.2512976038847</v>
      </c>
      <c r="J53" t="n">
        <v>120.242876231179</v>
      </c>
      <c r="K53" t="n">
        <v>173.2559552242844</v>
      </c>
      <c r="L53" t="n">
        <v>221.3890115559639</v>
      </c>
      <c r="M53" t="n">
        <v>158.8027961010324</v>
      </c>
      <c r="N53" t="n">
        <v>0</v>
      </c>
      <c r="O53" t="n">
        <v>223.4550390949192</v>
      </c>
      <c r="P53" t="n">
        <v>212.6170444375667</v>
      </c>
      <c r="Q53" t="n">
        <v>202.0994725752997</v>
      </c>
      <c r="R53" t="n">
        <v>191.9223037487662</v>
      </c>
      <c r="S53" t="n">
        <v>227.6234577348444</v>
      </c>
      <c r="T53" t="n">
        <v>172.7241706374745</v>
      </c>
      <c r="U53" t="n">
        <v>245.6793940779106</v>
      </c>
      <c r="V53" t="n">
        <v>194.0890322803507</v>
      </c>
      <c r="W53" t="n">
        <v>220.8600688283718</v>
      </c>
      <c r="X53" t="n">
        <v>209.4928086175127</v>
      </c>
      <c r="Y53" t="n">
        <v>198.7617806303505</v>
      </c>
    </row>
    <row r="54">
      <c r="A54" s="145" t="inlineStr">
        <is>
          <t>Net Revenue Retention</t>
        </is>
      </c>
      <c r="B54" s="130" t="n">
        <v>1</v>
      </c>
      <c r="C54" s="130" t="n">
        <v>1.61297578015836</v>
      </c>
      <c r="D54" s="130" t="n">
        <v>1.436170975718288</v>
      </c>
      <c r="E54" s="130" t="n">
        <v>1.339488116749803</v>
      </c>
      <c r="F54" s="130" t="n">
        <v>1.283368117763173</v>
      </c>
      <c r="G54" s="130" t="n">
        <v>1.246914492541524</v>
      </c>
      <c r="H54" s="130" t="n">
        <v>1.216468960333719</v>
      </c>
      <c r="I54" s="130" t="n">
        <v>1.1953604968766</v>
      </c>
      <c r="J54" s="130" t="n">
        <v>1.179456410963276</v>
      </c>
      <c r="K54" s="130" t="n">
        <v>1.163986643676404</v>
      </c>
      <c r="L54" s="130" t="n">
        <v>1.15186568467615</v>
      </c>
      <c r="M54" s="130" t="n">
        <v>1.142141118439143</v>
      </c>
      <c r="N54" s="130" t="n">
        <v>1.134189935872346</v>
      </c>
      <c r="O54" s="130" t="n">
        <v>1.127587422901389</v>
      </c>
      <c r="P54" s="130" t="n">
        <v>1.122034056293237</v>
      </c>
      <c r="Q54" s="130" t="n">
        <v>1.116189257605315</v>
      </c>
      <c r="R54" s="130" t="n">
        <v>1.111215681177215</v>
      </c>
      <c r="S54" s="130" t="n">
        <v>1.106942259858156</v>
      </c>
      <c r="T54" s="130" t="n">
        <v>1.102237515464189</v>
      </c>
      <c r="U54" s="130" t="n">
        <v>1.098166515666649</v>
      </c>
      <c r="V54" s="130" t="n">
        <v>1.094615742750912</v>
      </c>
      <c r="W54" s="130" t="n">
        <v>1.090596236692368</v>
      </c>
      <c r="X54" s="130" t="n">
        <v>1.087074996580063</v>
      </c>
      <c r="Y54" s="130" t="n">
        <v>1.083968858367559</v>
      </c>
    </row>
    <row r="55">
      <c r="A55" t="inlineStr">
        <is>
          <t>Gross Revenue Retention</t>
        </is>
      </c>
      <c r="B55" s="130" t="n">
        <v>0.997</v>
      </c>
      <c r="C55" s="130" t="n">
        <v>0.997</v>
      </c>
      <c r="D55" s="130" t="n">
        <v>0.997</v>
      </c>
      <c r="E55" s="130" t="n">
        <v>0.997</v>
      </c>
      <c r="F55" s="130" t="n">
        <v>0.997</v>
      </c>
      <c r="G55" s="130" t="n">
        <v>0.997</v>
      </c>
      <c r="H55" s="130" t="n">
        <v>0.996</v>
      </c>
      <c r="I55" s="130" t="n">
        <v>0.996</v>
      </c>
      <c r="J55" s="130" t="n">
        <v>0.996</v>
      </c>
      <c r="K55" s="130" t="n">
        <v>0.996</v>
      </c>
      <c r="L55" s="130" t="n">
        <v>0.996</v>
      </c>
      <c r="M55" s="130" t="n">
        <v>0.996</v>
      </c>
      <c r="N55" s="130" t="n">
        <v>0.996</v>
      </c>
      <c r="O55" s="130" t="n">
        <v>0.996</v>
      </c>
      <c r="P55" s="130" t="n">
        <v>0.996</v>
      </c>
      <c r="Q55" s="130" t="n">
        <v>0.996</v>
      </c>
      <c r="R55" s="130" t="n">
        <v>0.996</v>
      </c>
      <c r="S55" s="130" t="n">
        <v>0.996</v>
      </c>
      <c r="T55" s="130" t="n">
        <v>0.996</v>
      </c>
      <c r="U55" s="130" t="n">
        <v>0.996</v>
      </c>
      <c r="V55" s="130" t="n">
        <v>0.996</v>
      </c>
      <c r="W55" s="130" t="n">
        <v>0.996</v>
      </c>
      <c r="X55" s="130" t="n">
        <v>0.996</v>
      </c>
      <c r="Y55" s="130" t="n">
        <v>0.996</v>
      </c>
    </row>
    <row r="56">
      <c r="A56" s="145" t="inlineStr">
        <is>
          <t>Rule of 40</t>
        </is>
      </c>
      <c r="B56" s="130" t="n">
        <v>-5.865407545412204</v>
      </c>
      <c r="C56" s="130" t="n">
        <v>4.065145640635397</v>
      </c>
      <c r="D56" s="130" t="n">
        <v>3.219216300938245</v>
      </c>
      <c r="E56" s="130" t="n">
        <v>2.199890373187995</v>
      </c>
      <c r="F56" s="130" t="n">
        <v>2.141151253841368</v>
      </c>
      <c r="G56" s="130" t="n">
        <v>2.133266679335062</v>
      </c>
      <c r="H56" s="130" t="n">
        <v>2.077498776053702</v>
      </c>
      <c r="I56" s="130" t="n">
        <v>2.057926423059961</v>
      </c>
      <c r="J56" s="130" t="n">
        <v>2.049111730490018</v>
      </c>
      <c r="K56" s="130" t="n">
        <v>1.818434113649511</v>
      </c>
      <c r="L56" s="130" t="n">
        <v>1.812658056112381</v>
      </c>
      <c r="M56" s="130" t="n">
        <v>1.810425013405789</v>
      </c>
      <c r="N56" s="130" t="n">
        <v>1.81028491435339</v>
      </c>
      <c r="O56" s="130" t="n">
        <v>1.811391186040399</v>
      </c>
      <c r="P56" s="130" t="n">
        <v>1.813233294749738</v>
      </c>
      <c r="Q56" s="130" t="n">
        <v>1.801511028894906</v>
      </c>
      <c r="R56" s="130" t="n">
        <v>1.7921466986461</v>
      </c>
      <c r="S56" s="130" t="n">
        <v>1.784576245977159</v>
      </c>
      <c r="T56" s="130" t="n">
        <v>1.76603095052674</v>
      </c>
      <c r="U56" s="130" t="n">
        <v>1.750326960773904</v>
      </c>
      <c r="V56" s="130" t="n">
        <v>1.736905109939314</v>
      </c>
      <c r="W56" s="130" t="n">
        <v>1.714296901968908</v>
      </c>
      <c r="X56" s="130" t="n">
        <v>1.69469901677242</v>
      </c>
      <c r="Y56" s="130" t="n">
        <v>1.677581634754727</v>
      </c>
    </row>
    <row r="58">
      <c r="A58" s="143" t="inlineStr">
        <is>
          <t>CASH &amp; RUNWAY ($1M Raise)</t>
        </is>
      </c>
      <c r="B58" s="128" t="n"/>
      <c r="C58" s="128" t="n"/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128" t="n"/>
      <c r="N58" s="128" t="n"/>
      <c r="O58" s="128" t="n"/>
      <c r="P58" s="128" t="n"/>
      <c r="Q58" s="128" t="n"/>
      <c r="R58" s="128" t="n"/>
      <c r="S58" s="128" t="n"/>
      <c r="T58" s="128" t="n"/>
      <c r="U58" s="128" t="n"/>
      <c r="V58" s="128" t="n"/>
      <c r="W58" s="128" t="n"/>
      <c r="X58" s="128" t="n"/>
      <c r="Y58" s="128" t="n"/>
      <c r="Z58" s="128" t="n"/>
      <c r="AA58" s="128" t="n"/>
    </row>
    <row r="59">
      <c r="A59" t="inlineStr">
        <is>
          <t>Monthly Burn (neg=profit)</t>
        </is>
      </c>
      <c r="B59" s="131" t="n">
        <v>31482.575</v>
      </c>
      <c r="C59" s="131" t="n">
        <v>28488.54077499999</v>
      </c>
      <c r="D59" s="131" t="n">
        <v>25052.185527675</v>
      </c>
      <c r="E59" s="131" t="n">
        <v>31210.94047109198</v>
      </c>
      <c r="F59" s="131" t="n">
        <v>26916.1964096787</v>
      </c>
      <c r="G59" s="131" t="n">
        <v>22113.51111164967</v>
      </c>
      <c r="H59" s="131" t="n">
        <v>16863.38358752307</v>
      </c>
      <c r="I59" s="131" t="n">
        <v>11099.54242552497</v>
      </c>
      <c r="J59" s="131" t="n">
        <v>4770.571065410069</v>
      </c>
      <c r="K59" s="131" t="n">
        <v>7949.312295502612</v>
      </c>
      <c r="L59" s="131" t="n">
        <v>596.3270018231124</v>
      </c>
      <c r="M59" s="131" t="n">
        <v>-7330.978834241476</v>
      </c>
      <c r="N59" s="131" t="n">
        <v>-15878.60652920639</v>
      </c>
      <c r="O59" s="131" t="n">
        <v>-25096.23728221559</v>
      </c>
      <c r="P59" s="131" t="n">
        <v>-35037.52656654284</v>
      </c>
      <c r="Q59" s="131" t="n">
        <v>-45657.75065007471</v>
      </c>
      <c r="R59" s="131" t="n">
        <v>-57004.50279055833</v>
      </c>
      <c r="S59" s="131" t="n">
        <v>-69128.70750249586</v>
      </c>
      <c r="T59" s="131" t="n">
        <v>-81959.07683897164</v>
      </c>
      <c r="U59" s="131" t="n">
        <v>-95538.06582809064</v>
      </c>
      <c r="V59" s="131" t="n">
        <v>-109910.6764590417</v>
      </c>
      <c r="W59" s="131" t="n">
        <v>-124974.8081921821</v>
      </c>
      <c r="X59" s="131" t="n">
        <v>-140765.1455203387</v>
      </c>
      <c r="Y59" s="131" t="n">
        <v>-157318.1067272291</v>
      </c>
    </row>
    <row r="60">
      <c r="A60" s="145" t="inlineStr">
        <is>
          <t>Cumulative Cash</t>
        </is>
      </c>
      <c r="B60" s="131" t="n">
        <v>968517.425</v>
      </c>
      <c r="C60" s="131" t="n">
        <v>940028.884225</v>
      </c>
      <c r="D60" s="131" t="n">
        <v>914976.6986973251</v>
      </c>
      <c r="E60" s="131" t="n">
        <v>883765.7582262331</v>
      </c>
      <c r="F60" s="131" t="n">
        <v>856849.5618165544</v>
      </c>
      <c r="G60" s="131" t="n">
        <v>834736.0507049047</v>
      </c>
      <c r="H60" s="131" t="n">
        <v>817872.6671173817</v>
      </c>
      <c r="I60" s="131" t="n">
        <v>806773.1246918567</v>
      </c>
      <c r="J60" s="131" t="n">
        <v>802002.5536264466</v>
      </c>
      <c r="K60" s="131" t="n">
        <v>794053.241330944</v>
      </c>
      <c r="L60" s="131" t="n">
        <v>793456.9143291209</v>
      </c>
      <c r="M60" s="131" t="n">
        <v>800787.8931633624</v>
      </c>
      <c r="N60" s="131" t="n">
        <v>816666.4996925688</v>
      </c>
      <c r="O60" s="131" t="n">
        <v>841762.7369747844</v>
      </c>
      <c r="P60" s="131" t="n">
        <v>876800.2635413272</v>
      </c>
      <c r="Q60" s="131" t="n">
        <v>922458.0141914019</v>
      </c>
      <c r="R60" s="131" t="n">
        <v>979462.5169819603</v>
      </c>
      <c r="S60" s="131" t="n">
        <v>1048591.224484456</v>
      </c>
      <c r="T60" s="131" t="n">
        <v>1130550.301323428</v>
      </c>
      <c r="U60" s="131" t="n">
        <v>1226088.367151518</v>
      </c>
      <c r="V60" s="131" t="n">
        <v>1335999.04361056</v>
      </c>
      <c r="W60" s="131" t="n">
        <v>1460973.851802742</v>
      </c>
      <c r="X60" s="131" t="n">
        <v>1601738.997323081</v>
      </c>
      <c r="Y60" s="131" t="n">
        <v>1759057.10405031</v>
      </c>
    </row>
    <row r="61">
      <c r="A61" t="inlineStr">
        <is>
          <t>Runway (months)</t>
        </is>
      </c>
      <c r="B61" t="n">
        <v>30.76360256427563</v>
      </c>
      <c r="C61" t="n">
        <v>32.99673688621913</v>
      </c>
      <c r="D61" t="n">
        <v>36.52282942286836</v>
      </c>
      <c r="E61" t="n">
        <v>28.31589644165928</v>
      </c>
      <c r="F61" t="n">
        <v>31.8339764198051</v>
      </c>
      <c r="G61" t="n">
        <v>37.74778444229761</v>
      </c>
      <c r="H61" t="n">
        <v>48.4999147930497</v>
      </c>
      <c r="I61" t="n">
        <v>72.68525978481485</v>
      </c>
      <c r="J61" t="n">
        <v>168.1145805460311</v>
      </c>
      <c r="K61" t="n">
        <v>99.88955167608475</v>
      </c>
      <c r="L61" t="n">
        <v>1330.573514033971</v>
      </c>
      <c r="M61" t="n">
        <v>99</v>
      </c>
      <c r="N61" t="n">
        <v>99</v>
      </c>
      <c r="O61" t="n">
        <v>99</v>
      </c>
      <c r="P61" t="n">
        <v>99</v>
      </c>
      <c r="Q61" t="n">
        <v>99</v>
      </c>
      <c r="R61" t="n">
        <v>99</v>
      </c>
      <c r="S61" t="n">
        <v>99</v>
      </c>
      <c r="T61" t="n">
        <v>99</v>
      </c>
      <c r="U61" t="n">
        <v>99</v>
      </c>
      <c r="V61" t="n">
        <v>99</v>
      </c>
      <c r="W61" t="n">
        <v>99</v>
      </c>
      <c r="X61" t="n">
        <v>99</v>
      </c>
      <c r="Y61" t="n">
        <v>99</v>
      </c>
    </row>
    <row r="63">
      <c r="A63" s="134" t="inlineStr">
        <is>
          <t>EBITDA Breakeven: Month 12 (Dec-2026)</t>
        </is>
      </c>
    </row>
  </sheetData>
  <mergeCells count="3">
    <mergeCell ref="B4:M4"/>
    <mergeCell ref="A1:F1"/>
    <mergeCell ref="N4:Y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selection activeCell="A1" sqref="A1"/>
    </sheetView>
  </sheetViews>
  <sheetFormatPr baseColWidth="8" defaultRowHeight="15"/>
  <cols>
    <col width="32" customWidth="1" style="114" min="1" max="1"/>
    <col width="12" customWidth="1" style="114" min="2" max="2"/>
    <col width="12" customWidth="1" style="114" min="3" max="3"/>
    <col width="12" customWidth="1" style="114" min="4" max="4"/>
    <col width="12" customWidth="1" style="114" min="5" max="5"/>
    <col width="12" customWidth="1" style="114" min="6" max="6"/>
    <col width="12" customWidth="1" style="114" min="7" max="7"/>
    <col width="12" customWidth="1" style="114" min="8" max="8"/>
    <col width="12" customWidth="1" style="114" min="9" max="9"/>
    <col width="12" customWidth="1" style="114" min="10" max="10"/>
    <col width="12" customWidth="1" style="114" min="11" max="11"/>
    <col width="12" customWidth="1" style="114" min="12" max="12"/>
    <col width="12" customWidth="1" style="114" min="13" max="13"/>
    <col width="12" customWidth="1" style="114" min="14" max="14"/>
    <col width="12" customWidth="1" style="114" min="15" max="15"/>
    <col width="12" customWidth="1" style="114" min="16" max="16"/>
    <col width="12" customWidth="1" style="114" min="17" max="17"/>
    <col width="12" customWidth="1" style="114" min="18" max="18"/>
    <col width="12" customWidth="1" style="114" min="19" max="19"/>
    <col width="12" customWidth="1" style="114" min="20" max="20"/>
    <col width="12" customWidth="1" style="114" min="21" max="21"/>
    <col width="12" customWidth="1" style="114" min="22" max="22"/>
    <col width="12" customWidth="1" style="114" min="23" max="23"/>
    <col width="12" customWidth="1" style="114" min="24" max="24"/>
    <col width="12" customWidth="1" style="114" min="25" max="25"/>
    <col width="14" customWidth="1" style="114" min="26" max="26"/>
    <col width="14" customWidth="1" style="114" min="27" max="27"/>
  </cols>
  <sheetData>
    <row r="1">
      <c r="A1" s="121" t="inlineStr">
        <is>
          <t>GuardSpine SaaS P&amp;L -- Bear Case (Slow Adoption)</t>
        </is>
      </c>
    </row>
    <row r="2">
      <c r="A2" s="140" t="inlineStr">
        <is>
          <t>Generated: Feb 18, 2026 | $1M raise at $9M pre / $10M post</t>
        </is>
      </c>
    </row>
    <row r="4">
      <c r="A4" s="123" t="inlineStr">
        <is>
          <t>Metric</t>
        </is>
      </c>
      <c r="B4" s="123" t="inlineStr">
        <is>
          <t>Year 1</t>
        </is>
      </c>
      <c r="N4" s="123" t="inlineStr">
        <is>
          <t>Year 2</t>
        </is>
      </c>
      <c r="Z4" s="123" t="inlineStr">
        <is>
          <t>Y1 Total</t>
        </is>
      </c>
      <c r="AA4" s="123" t="inlineStr">
        <is>
          <t>Y2 Total</t>
        </is>
      </c>
    </row>
    <row r="5">
      <c r="A5" s="123" t="inlineStr">
        <is>
          <t>Month</t>
        </is>
      </c>
      <c r="B5" s="142" t="inlineStr">
        <is>
          <t>Jan-2026</t>
        </is>
      </c>
      <c r="C5" s="142" t="inlineStr">
        <is>
          <t>Feb-2026</t>
        </is>
      </c>
      <c r="D5" s="142" t="inlineStr">
        <is>
          <t>Mar-2026</t>
        </is>
      </c>
      <c r="E5" s="142" t="inlineStr">
        <is>
          <t>Apr-2026</t>
        </is>
      </c>
      <c r="F5" s="142" t="inlineStr">
        <is>
          <t>May-2026</t>
        </is>
      </c>
      <c r="G5" s="142" t="inlineStr">
        <is>
          <t>Jun-2026</t>
        </is>
      </c>
      <c r="H5" s="142" t="inlineStr">
        <is>
          <t>Jul-2026</t>
        </is>
      </c>
      <c r="I5" s="142" t="inlineStr">
        <is>
          <t>Aug-2026</t>
        </is>
      </c>
      <c r="J5" s="142" t="inlineStr">
        <is>
          <t>Sep-2026</t>
        </is>
      </c>
      <c r="K5" s="142" t="inlineStr">
        <is>
          <t>Oct-2026</t>
        </is>
      </c>
      <c r="L5" s="142" t="inlineStr">
        <is>
          <t>Nov-2026</t>
        </is>
      </c>
      <c r="M5" s="142" t="inlineStr">
        <is>
          <t>Dec-2026</t>
        </is>
      </c>
      <c r="N5" s="142" t="inlineStr">
        <is>
          <t>Jan-2027</t>
        </is>
      </c>
      <c r="O5" s="142" t="inlineStr">
        <is>
          <t>Feb-2027</t>
        </is>
      </c>
      <c r="P5" s="142" t="inlineStr">
        <is>
          <t>Mar-2027</t>
        </is>
      </c>
      <c r="Q5" s="142" t="inlineStr">
        <is>
          <t>Apr-2027</t>
        </is>
      </c>
      <c r="R5" s="142" t="inlineStr">
        <is>
          <t>May-2027</t>
        </is>
      </c>
      <c r="S5" s="142" t="inlineStr">
        <is>
          <t>Jun-2027</t>
        </is>
      </c>
      <c r="T5" s="142" t="inlineStr">
        <is>
          <t>Jul-2027</t>
        </is>
      </c>
      <c r="U5" s="142" t="inlineStr">
        <is>
          <t>Aug-2027</t>
        </is>
      </c>
      <c r="V5" s="142" t="inlineStr">
        <is>
          <t>Sep-2027</t>
        </is>
      </c>
      <c r="W5" s="142" t="inlineStr">
        <is>
          <t>Oct-2027</t>
        </is>
      </c>
      <c r="X5" s="142" t="inlineStr">
        <is>
          <t>Nov-2027</t>
        </is>
      </c>
      <c r="Y5" s="142" t="inlineStr">
        <is>
          <t>Dec-2027</t>
        </is>
      </c>
    </row>
    <row r="6">
      <c r="A6" t="inlineStr">
        <is>
          <t>Month #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  <c r="N6" t="n">
        <v>13</v>
      </c>
      <c r="O6" t="n">
        <v>14</v>
      </c>
      <c r="P6" t="n">
        <v>15</v>
      </c>
      <c r="Q6" t="n">
        <v>16</v>
      </c>
      <c r="R6" t="n">
        <v>17</v>
      </c>
      <c r="S6" t="n">
        <v>18</v>
      </c>
      <c r="T6" t="n">
        <v>19</v>
      </c>
      <c r="U6" t="n">
        <v>20</v>
      </c>
      <c r="V6" t="n">
        <v>21</v>
      </c>
      <c r="W6" t="n">
        <v>22</v>
      </c>
      <c r="X6" t="n">
        <v>23</v>
      </c>
      <c r="Y6" t="n">
        <v>24</v>
      </c>
    </row>
    <row r="8">
      <c r="A8" s="143" t="inlineStr">
        <is>
          <t>REVENUE</t>
        </is>
      </c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28" t="n"/>
      <c r="U8" s="128" t="n"/>
      <c r="V8" s="128" t="n"/>
      <c r="W8" s="128" t="n"/>
      <c r="X8" s="128" t="n"/>
      <c r="Y8" s="128" t="n"/>
      <c r="Z8" s="128" t="n"/>
      <c r="AA8" s="128" t="n"/>
    </row>
    <row r="9">
      <c r="A9" t="inlineStr">
        <is>
          <t>Avg Price / Customer</t>
        </is>
      </c>
      <c r="B9" s="131" t="n">
        <v>2000</v>
      </c>
      <c r="C9" s="131" t="n">
        <v>2000</v>
      </c>
      <c r="D9" s="131" t="n">
        <v>2000</v>
      </c>
      <c r="E9" s="131" t="n">
        <v>2000</v>
      </c>
      <c r="F9" s="131" t="n">
        <v>2000</v>
      </c>
      <c r="G9" s="131" t="n">
        <v>2000</v>
      </c>
      <c r="H9" s="131" t="n">
        <v>2000</v>
      </c>
      <c r="I9" s="131" t="n">
        <v>2000</v>
      </c>
      <c r="J9" s="131" t="n">
        <v>2000</v>
      </c>
      <c r="K9" s="131" t="n">
        <v>2000</v>
      </c>
      <c r="L9" s="131" t="n">
        <v>2000</v>
      </c>
      <c r="M9" s="131" t="n">
        <v>2000</v>
      </c>
      <c r="N9" s="131" t="n">
        <v>2200</v>
      </c>
      <c r="O9" s="131" t="n">
        <v>2200</v>
      </c>
      <c r="P9" s="131" t="n">
        <v>2200</v>
      </c>
      <c r="Q9" s="131" t="n">
        <v>2200</v>
      </c>
      <c r="R9" s="131" t="n">
        <v>2200</v>
      </c>
      <c r="S9" s="131" t="n">
        <v>2200</v>
      </c>
      <c r="T9" s="131" t="n">
        <v>2200</v>
      </c>
      <c r="U9" s="131" t="n">
        <v>2200</v>
      </c>
      <c r="V9" s="131" t="n">
        <v>2200</v>
      </c>
      <c r="W9" s="131" t="n">
        <v>2200</v>
      </c>
      <c r="X9" s="131" t="n">
        <v>2200</v>
      </c>
      <c r="Y9" s="131" t="n">
        <v>2200</v>
      </c>
    </row>
    <row r="10">
      <c r="A10" t="inlineStr">
        <is>
          <t>Customers</t>
        </is>
      </c>
      <c r="B10" s="131" t="n">
        <v>2</v>
      </c>
      <c r="C10" s="131" t="n">
        <v>3</v>
      </c>
      <c r="D10" s="131" t="n">
        <v>5</v>
      </c>
      <c r="E10" s="131" t="n">
        <v>6</v>
      </c>
      <c r="F10" s="131" t="n">
        <v>8</v>
      </c>
      <c r="G10" s="131" t="n">
        <v>9</v>
      </c>
      <c r="H10" s="131" t="n">
        <v>11</v>
      </c>
      <c r="I10" s="131" t="n">
        <v>13</v>
      </c>
      <c r="J10" s="131" t="n">
        <v>15</v>
      </c>
      <c r="K10" s="131" t="n">
        <v>17</v>
      </c>
      <c r="L10" s="131" t="n">
        <v>19</v>
      </c>
      <c r="M10" s="131" t="n">
        <v>21</v>
      </c>
      <c r="N10" s="131" t="n">
        <v>21</v>
      </c>
      <c r="O10" s="131" t="n">
        <v>23</v>
      </c>
      <c r="P10" s="131" t="n">
        <v>26</v>
      </c>
      <c r="Q10" s="131" t="n">
        <v>28</v>
      </c>
      <c r="R10" s="131" t="n">
        <v>30</v>
      </c>
      <c r="S10" s="131" t="n">
        <v>33</v>
      </c>
      <c r="T10" s="131" t="n">
        <v>36</v>
      </c>
      <c r="U10" s="131" t="n">
        <v>38</v>
      </c>
      <c r="V10" s="131" t="n">
        <v>41</v>
      </c>
      <c r="W10" s="131" t="n">
        <v>44</v>
      </c>
      <c r="X10" s="131" t="n">
        <v>47</v>
      </c>
      <c r="Y10" s="131" t="n">
        <v>50</v>
      </c>
    </row>
    <row r="11">
      <c r="A11" t="inlineStr">
        <is>
          <t>New Customers</t>
        </is>
      </c>
      <c r="B11" s="131" t="n">
        <v>1</v>
      </c>
      <c r="C11" s="131" t="n">
        <v>1</v>
      </c>
      <c r="D11" s="131" t="n">
        <v>2</v>
      </c>
      <c r="E11" s="131" t="n">
        <v>1</v>
      </c>
      <c r="F11" s="131" t="n">
        <v>2</v>
      </c>
      <c r="G11" s="131" t="n">
        <v>1</v>
      </c>
      <c r="H11" s="131" t="n">
        <v>2</v>
      </c>
      <c r="I11" s="131" t="n">
        <v>2</v>
      </c>
      <c r="J11" s="131" t="n">
        <v>2</v>
      </c>
      <c r="K11" s="131" t="n">
        <v>2</v>
      </c>
      <c r="L11" s="131" t="n">
        <v>2</v>
      </c>
      <c r="M11" s="131" t="n">
        <v>2</v>
      </c>
      <c r="N11" s="131" t="n">
        <v>0</v>
      </c>
      <c r="O11" s="131" t="n">
        <v>2</v>
      </c>
      <c r="P11" s="131" t="n">
        <v>3</v>
      </c>
      <c r="Q11" s="131" t="n">
        <v>2</v>
      </c>
      <c r="R11" s="131" t="n">
        <v>2</v>
      </c>
      <c r="S11" s="131" t="n">
        <v>3</v>
      </c>
      <c r="T11" s="131" t="n">
        <v>3</v>
      </c>
      <c r="U11" s="131" t="n">
        <v>2</v>
      </c>
      <c r="V11" s="131" t="n">
        <v>3</v>
      </c>
      <c r="W11" s="131" t="n">
        <v>3</v>
      </c>
      <c r="X11" s="131" t="n">
        <v>3</v>
      </c>
      <c r="Y11" s="131" t="n">
        <v>3</v>
      </c>
    </row>
    <row r="12">
      <c r="A12" t="inlineStr">
        <is>
          <t>Gross MRR</t>
        </is>
      </c>
      <c r="B12" s="131" t="n">
        <v>4190</v>
      </c>
      <c r="C12" s="131" t="n">
        <v>6589.05</v>
      </c>
      <c r="D12" s="131" t="n">
        <v>9218.104749999999</v>
      </c>
      <c r="E12" s="131" t="n">
        <v>12046.97422625</v>
      </c>
      <c r="F12" s="131" t="n">
        <v>15091.69615511875</v>
      </c>
      <c r="G12" s="131" t="n">
        <v>18369.59101834316</v>
      </c>
      <c r="H12" s="131" t="n">
        <v>21813.92801687309</v>
      </c>
      <c r="I12" s="131" t="n">
        <v>25450.87226609026</v>
      </c>
      <c r="J12" s="131" t="n">
        <v>29292.06451885122</v>
      </c>
      <c r="K12" s="131" t="n">
        <v>33309.90449241349</v>
      </c>
      <c r="L12" s="131" t="n">
        <v>37513.31704416817</v>
      </c>
      <c r="M12" s="131" t="n">
        <v>41911.67271954777</v>
      </c>
      <c r="N12" s="131" t="n">
        <v>46514.81003975731</v>
      </c>
      <c r="O12" s="131" t="n">
        <v>51333.05890387195</v>
      </c>
      <c r="P12" s="131" t="n">
        <v>56377.26516101956</v>
      </c>
      <c r="Q12" s="131" t="n">
        <v>61605.29436504711</v>
      </c>
      <c r="R12" s="131" t="n">
        <v>67024.60710565024</v>
      </c>
      <c r="S12" s="131" t="n">
        <v>72642.96175008149</v>
      </c>
      <c r="T12" s="131" t="n">
        <v>78468.42635812877</v>
      </c>
      <c r="U12" s="131" t="n">
        <v>84509.39107366967</v>
      </c>
      <c r="V12" s="131" t="n">
        <v>90774.58101186492</v>
      </c>
      <c r="W12" s="131" t="n">
        <v>97205.34719897012</v>
      </c>
      <c r="X12" s="131" t="n">
        <v>103806.791199148</v>
      </c>
      <c r="Y12" s="131" t="n">
        <v>110584.1668178259</v>
      </c>
      <c r="Z12" s="144" t="n">
        <v>254797.1752076559</v>
      </c>
      <c r="AA12" s="144" t="n">
        <v>920846.700985035</v>
      </c>
    </row>
    <row r="13">
      <c r="A13" t="inlineStr">
        <is>
          <t>Lost MRR (Churn)</t>
        </is>
      </c>
      <c r="B13" s="131" t="n">
        <v>10</v>
      </c>
      <c r="C13" s="131" t="n">
        <v>20.95</v>
      </c>
      <c r="D13" s="131" t="n">
        <v>32.94525</v>
      </c>
      <c r="E13" s="131" t="n">
        <v>46.09052375</v>
      </c>
      <c r="F13" s="131" t="n">
        <v>60.23487113125</v>
      </c>
      <c r="G13" s="131" t="n">
        <v>75.45848077559374</v>
      </c>
      <c r="H13" s="131" t="n">
        <v>110.2175461100589</v>
      </c>
      <c r="I13" s="131" t="n">
        <v>130.8835681012386</v>
      </c>
      <c r="J13" s="131" t="n">
        <v>152.7052335965415</v>
      </c>
      <c r="K13" s="131" t="n">
        <v>175.7523871131073</v>
      </c>
      <c r="L13" s="131" t="n">
        <v>199.859426954481</v>
      </c>
      <c r="M13" s="131" t="n">
        <v>225.079902265009</v>
      </c>
      <c r="N13" s="131" t="n">
        <v>251.4700363172866</v>
      </c>
      <c r="O13" s="131" t="n">
        <v>279.0888602385439</v>
      </c>
      <c r="P13" s="131" t="n">
        <v>307.9983534232317</v>
      </c>
      <c r="Q13" s="131" t="n">
        <v>338.2635909661174</v>
      </c>
      <c r="R13" s="131" t="n">
        <v>369.6317661902827</v>
      </c>
      <c r="S13" s="131" t="n">
        <v>402.1476426339015</v>
      </c>
      <c r="T13" s="131" t="n">
        <v>435.857770500489</v>
      </c>
      <c r="U13" s="131" t="n">
        <v>470.8105581487726</v>
      </c>
      <c r="V13" s="131" t="n">
        <v>507.056346442018</v>
      </c>
      <c r="W13" s="131" t="n">
        <v>544.6474860711895</v>
      </c>
      <c r="X13" s="131" t="n">
        <v>583.2320831938207</v>
      </c>
      <c r="Y13" s="131" t="n">
        <v>622.8407471948877</v>
      </c>
    </row>
    <row r="14">
      <c r="A14" t="inlineStr">
        <is>
          <t>Net MRR</t>
        </is>
      </c>
      <c r="B14" s="131" t="n">
        <v>4180</v>
      </c>
      <c r="C14" s="131" t="n">
        <v>6568.1</v>
      </c>
      <c r="D14" s="131" t="n">
        <v>9185.159499999998</v>
      </c>
      <c r="E14" s="131" t="n">
        <v>12000.8837025</v>
      </c>
      <c r="F14" s="131" t="n">
        <v>15031.4612839875</v>
      </c>
      <c r="G14" s="131" t="n">
        <v>18294.13253756756</v>
      </c>
      <c r="H14" s="131" t="n">
        <v>21703.71047076304</v>
      </c>
      <c r="I14" s="131" t="n">
        <v>25319.98869798902</v>
      </c>
      <c r="J14" s="131" t="n">
        <v>29139.35928525468</v>
      </c>
      <c r="K14" s="131" t="n">
        <v>33134.15210530039</v>
      </c>
      <c r="L14" s="131" t="n">
        <v>37313.45761721369</v>
      </c>
      <c r="M14" s="131" t="n">
        <v>41686.59281728276</v>
      </c>
      <c r="N14" s="131" t="n">
        <v>46263.34000344003</v>
      </c>
      <c r="O14" s="131" t="n">
        <v>51053.9700436334</v>
      </c>
      <c r="P14" s="131" t="n">
        <v>56069.26680759633</v>
      </c>
      <c r="Q14" s="131" t="n">
        <v>61267.03077408099</v>
      </c>
      <c r="R14" s="131" t="n">
        <v>66654.97533945995</v>
      </c>
      <c r="S14" s="131" t="n">
        <v>72240.81410744759</v>
      </c>
      <c r="T14" s="131" t="n">
        <v>78032.56858762828</v>
      </c>
      <c r="U14" s="131" t="n">
        <v>84038.58051552089</v>
      </c>
      <c r="V14" s="131" t="n">
        <v>90267.52466542291</v>
      </c>
      <c r="W14" s="131" t="n">
        <v>96660.69971289893</v>
      </c>
      <c r="X14" s="131" t="n">
        <v>103223.5591159541</v>
      </c>
      <c r="Y14" s="131" t="n">
        <v>109961.326070631</v>
      </c>
    </row>
    <row r="15">
      <c r="A15" s="145" t="inlineStr">
        <is>
          <t>ARR (MRR x 12)</t>
        </is>
      </c>
      <c r="B15" s="131" t="n">
        <v>50280</v>
      </c>
      <c r="C15" s="131" t="n">
        <v>79068.60000000001</v>
      </c>
      <c r="D15" s="131" t="n">
        <v>110617.257</v>
      </c>
      <c r="E15" s="131" t="n">
        <v>144563.690715</v>
      </c>
      <c r="F15" s="131" t="n">
        <v>181100.353861425</v>
      </c>
      <c r="G15" s="131" t="n">
        <v>220435.0922201179</v>
      </c>
      <c r="H15" s="131" t="n">
        <v>261767.1362024772</v>
      </c>
      <c r="I15" s="131" t="n">
        <v>305410.4671930831</v>
      </c>
      <c r="J15" s="131" t="n">
        <v>351504.7742262146</v>
      </c>
      <c r="K15" s="131" t="n">
        <v>399718.8539089619</v>
      </c>
      <c r="L15" s="131" t="n">
        <v>450159.804530018</v>
      </c>
      <c r="M15" s="131" t="n">
        <v>502940.0726345732</v>
      </c>
      <c r="N15" s="131" t="n">
        <v>558177.7204770878</v>
      </c>
      <c r="O15" s="131" t="n">
        <v>615996.7068464634</v>
      </c>
      <c r="P15" s="131" t="n">
        <v>676527.1819322347</v>
      </c>
      <c r="Q15" s="131" t="n">
        <v>739263.5323805653</v>
      </c>
      <c r="R15" s="131" t="n">
        <v>804295.2852678029</v>
      </c>
      <c r="S15" s="131" t="n">
        <v>871715.5410009779</v>
      </c>
      <c r="T15" s="131" t="n">
        <v>941621.1162975451</v>
      </c>
      <c r="U15" s="131" t="n">
        <v>1014112.692884036</v>
      </c>
      <c r="V15" s="131" t="n">
        <v>1089294.972142379</v>
      </c>
      <c r="W15" s="131" t="n">
        <v>1166464.166387641</v>
      </c>
      <c r="X15" s="131" t="n">
        <v>1245681.494389776</v>
      </c>
      <c r="Y15" s="131" t="n">
        <v>1327010.001813911</v>
      </c>
    </row>
    <row r="16">
      <c r="A16" t="inlineStr">
        <is>
          <t>MRR Growth Rate</t>
        </is>
      </c>
      <c r="B16" s="130" t="n">
        <v>0</v>
      </c>
      <c r="C16" s="130" t="n">
        <v>0.5725656324582339</v>
      </c>
      <c r="D16" s="130" t="n">
        <v>0.3990036120533307</v>
      </c>
      <c r="E16" s="130" t="n">
        <v>0.3068818974149757</v>
      </c>
      <c r="F16" s="130" t="n">
        <v>0.252737481768193</v>
      </c>
      <c r="G16" s="130" t="n">
        <v>0.2171985726145581</v>
      </c>
      <c r="H16" s="130" t="n">
        <v>0.1875021057948737</v>
      </c>
      <c r="I16" s="130" t="n">
        <v>0.1667257839305228</v>
      </c>
      <c r="J16" s="130" t="n">
        <v>0.150925760524083</v>
      </c>
      <c r="K16" s="130" t="n">
        <v>0.1371647932489207</v>
      </c>
      <c r="L16" s="130" t="n">
        <v>0.1261910718690899</v>
      </c>
      <c r="M16" s="130" t="n">
        <v>0.1172478474830946</v>
      </c>
      <c r="N16" s="130" t="n">
        <v>0.1098294823738359</v>
      </c>
      <c r="O16" s="130" t="n">
        <v>0.1035852637041055</v>
      </c>
      <c r="P16" s="130" t="n">
        <v>0.09826428357977979</v>
      </c>
      <c r="Q16" s="130" t="n">
        <v>0.09273293390688137</v>
      </c>
      <c r="R16" s="130" t="n">
        <v>0.08796829552490334</v>
      </c>
      <c r="S16" s="130" t="n">
        <v>0.08382525294889225</v>
      </c>
      <c r="T16" s="130" t="n">
        <v>0.08019310429672478</v>
      </c>
      <c r="U16" s="130" t="n">
        <v>0.07698592919361003</v>
      </c>
      <c r="V16" s="130" t="n">
        <v>0.07413602037119967</v>
      </c>
      <c r="W16" s="130" t="n">
        <v>0.07084324835676903</v>
      </c>
      <c r="X16" s="130" t="n">
        <v>0.06791235451960594</v>
      </c>
      <c r="Y16" s="130" t="n">
        <v>0.06528836447391857</v>
      </c>
    </row>
    <row r="18">
      <c r="A18" s="143" t="inlineStr">
        <is>
          <t>COST OF GOODS SOLD</t>
        </is>
      </c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8" t="n"/>
      <c r="U18" s="128" t="n"/>
      <c r="V18" s="128" t="n"/>
      <c r="W18" s="128" t="n"/>
      <c r="X18" s="128" t="n"/>
      <c r="Y18" s="128" t="n"/>
      <c r="Z18" s="128" t="n"/>
      <c r="AA18" s="128" t="n"/>
    </row>
    <row r="19">
      <c r="A19" t="inlineStr">
        <is>
          <t>Payment Processing (3%)</t>
        </is>
      </c>
      <c r="B19" s="131" t="n">
        <v>125.7</v>
      </c>
      <c r="C19" s="131" t="n">
        <v>197.6715</v>
      </c>
      <c r="D19" s="131" t="n">
        <v>276.5431424999999</v>
      </c>
      <c r="E19" s="131" t="n">
        <v>361.4092267875</v>
      </c>
      <c r="F19" s="131" t="n">
        <v>452.7508846535624</v>
      </c>
      <c r="G19" s="131" t="n">
        <v>551.0877305502946</v>
      </c>
      <c r="H19" s="131" t="n">
        <v>654.4178405061929</v>
      </c>
      <c r="I19" s="131" t="n">
        <v>763.5261679827076</v>
      </c>
      <c r="J19" s="131" t="n">
        <v>878.7619355655366</v>
      </c>
      <c r="K19" s="131" t="n">
        <v>999.2971347724048</v>
      </c>
      <c r="L19" s="131" t="n">
        <v>1125.399511325045</v>
      </c>
      <c r="M19" s="131" t="n">
        <v>1257.350181586433</v>
      </c>
      <c r="N19" s="131" t="n">
        <v>1395.444301192719</v>
      </c>
      <c r="O19" s="131" t="n">
        <v>1539.991767116158</v>
      </c>
      <c r="P19" s="131" t="n">
        <v>1691.317954830587</v>
      </c>
      <c r="Q19" s="131" t="n">
        <v>1848.158830951413</v>
      </c>
      <c r="R19" s="131" t="n">
        <v>2010.738213169507</v>
      </c>
      <c r="S19" s="131" t="n">
        <v>2179.288852502445</v>
      </c>
      <c r="T19" s="131" t="n">
        <v>2354.052790743863</v>
      </c>
      <c r="U19" s="131" t="n">
        <v>2535.28173221009</v>
      </c>
      <c r="V19" s="131" t="n">
        <v>2723.237430355948</v>
      </c>
      <c r="W19" s="131" t="n">
        <v>2916.160415969104</v>
      </c>
      <c r="X19" s="131" t="n">
        <v>3114.203735974439</v>
      </c>
      <c r="Y19" s="131" t="n">
        <v>3317.525004534777</v>
      </c>
    </row>
    <row r="20">
      <c r="A20" t="inlineStr">
        <is>
          <t>Hosting &amp; Bandwidth</t>
        </is>
      </c>
      <c r="B20" s="131" t="n">
        <v>1500</v>
      </c>
      <c r="C20" s="131" t="n">
        <v>1500</v>
      </c>
      <c r="D20" s="131" t="n">
        <v>1500</v>
      </c>
      <c r="E20" s="131" t="n">
        <v>1500</v>
      </c>
      <c r="F20" s="131" t="n">
        <v>1500</v>
      </c>
      <c r="G20" s="131" t="n">
        <v>1500</v>
      </c>
      <c r="H20" s="131" t="n">
        <v>1500</v>
      </c>
      <c r="I20" s="131" t="n">
        <v>1500</v>
      </c>
      <c r="J20" s="131" t="n">
        <v>1500</v>
      </c>
      <c r="K20" s="131" t="n">
        <v>1500</v>
      </c>
      <c r="L20" s="131" t="n">
        <v>1500</v>
      </c>
      <c r="M20" s="131" t="n">
        <v>1500</v>
      </c>
      <c r="N20" s="131" t="n">
        <v>1500</v>
      </c>
      <c r="O20" s="131" t="n">
        <v>1500</v>
      </c>
      <c r="P20" s="131" t="n">
        <v>1500</v>
      </c>
      <c r="Q20" s="131" t="n">
        <v>1500</v>
      </c>
      <c r="R20" s="131" t="n">
        <v>1500</v>
      </c>
      <c r="S20" s="131" t="n">
        <v>1500</v>
      </c>
      <c r="T20" s="131" t="n">
        <v>1500</v>
      </c>
      <c r="U20" s="131" t="n">
        <v>1500</v>
      </c>
      <c r="V20" s="131" t="n">
        <v>1500</v>
      </c>
      <c r="W20" s="131" t="n">
        <v>1500</v>
      </c>
      <c r="X20" s="131" t="n">
        <v>1500</v>
      </c>
      <c r="Y20" s="131" t="n">
        <v>1500</v>
      </c>
    </row>
    <row r="21">
      <c r="A21" s="145" t="inlineStr">
        <is>
          <t>Total COGS</t>
        </is>
      </c>
      <c r="B21" s="131" t="n">
        <v>1625.7</v>
      </c>
      <c r="C21" s="131" t="n">
        <v>1697.6715</v>
      </c>
      <c r="D21" s="131" t="n">
        <v>1776.5431425</v>
      </c>
      <c r="E21" s="131" t="n">
        <v>1861.4092267875</v>
      </c>
      <c r="F21" s="131" t="n">
        <v>1952.750884653562</v>
      </c>
      <c r="G21" s="131" t="n">
        <v>2051.087730550295</v>
      </c>
      <c r="H21" s="131" t="n">
        <v>2154.417840506193</v>
      </c>
      <c r="I21" s="131" t="n">
        <v>2263.526167982708</v>
      </c>
      <c r="J21" s="131" t="n">
        <v>2378.761935565537</v>
      </c>
      <c r="K21" s="131" t="n">
        <v>2499.297134772405</v>
      </c>
      <c r="L21" s="131" t="n">
        <v>2625.399511325045</v>
      </c>
      <c r="M21" s="131" t="n">
        <v>2757.350181586433</v>
      </c>
      <c r="N21" s="131" t="n">
        <v>2895.44430119272</v>
      </c>
      <c r="O21" s="131" t="n">
        <v>3039.991767116158</v>
      </c>
      <c r="P21" s="131" t="n">
        <v>3191.317954830587</v>
      </c>
      <c r="Q21" s="131" t="n">
        <v>3348.158830951414</v>
      </c>
      <c r="R21" s="131" t="n">
        <v>3510.738213169507</v>
      </c>
      <c r="S21" s="131" t="n">
        <v>3679.288852502445</v>
      </c>
      <c r="T21" s="131" t="n">
        <v>3854.052790743863</v>
      </c>
      <c r="U21" s="131" t="n">
        <v>4035.28173221009</v>
      </c>
      <c r="V21" s="131" t="n">
        <v>4223.237430355948</v>
      </c>
      <c r="W21" s="131" t="n">
        <v>4416.160415969103</v>
      </c>
      <c r="X21" s="131" t="n">
        <v>4614.203735974439</v>
      </c>
      <c r="Y21" s="131" t="n">
        <v>4817.525004534777</v>
      </c>
      <c r="Z21" s="144" t="n">
        <v>25643.91525622968</v>
      </c>
      <c r="AA21" s="144" t="n">
        <v>45625.40102955105</v>
      </c>
    </row>
    <row r="22">
      <c r="A22" t="inlineStr">
        <is>
          <t>COGS % of Revenue</t>
        </is>
      </c>
      <c r="B22" s="130" t="n">
        <v>0.3879952267303103</v>
      </c>
      <c r="C22" s="130" t="n">
        <v>0.2576504200150249</v>
      </c>
      <c r="D22" s="130" t="n">
        <v>0.1927232539313464</v>
      </c>
      <c r="E22" s="130" t="n">
        <v>0.1545125931067026</v>
      </c>
      <c r="F22" s="130" t="n">
        <v>0.129392406564668</v>
      </c>
      <c r="G22" s="130" t="n">
        <v>0.111656690042917</v>
      </c>
      <c r="H22" s="130" t="n">
        <v>0.09876340651897947</v>
      </c>
      <c r="I22" s="130" t="n">
        <v>0.08893707627453465</v>
      </c>
      <c r="J22" s="130" t="n">
        <v>0.08120840830576004</v>
      </c>
      <c r="K22" s="130" t="n">
        <v>0.07503165118175685</v>
      </c>
      <c r="L22" s="130" t="n">
        <v>0.06998580019553857</v>
      </c>
      <c r="M22" s="130" t="n">
        <v>0.06578955223374786</v>
      </c>
      <c r="N22" s="130" t="n">
        <v>0.06224779373962647</v>
      </c>
      <c r="O22" s="130" t="n">
        <v>0.05922093543673194</v>
      </c>
      <c r="P22" s="130" t="n">
        <v>0.05660646974832564</v>
      </c>
      <c r="Q22" s="130" t="n">
        <v>0.05434855665345303</v>
      </c>
      <c r="R22" s="130" t="n">
        <v>0.05237984025233545</v>
      </c>
      <c r="S22" s="130" t="n">
        <v>0.05064893781672272</v>
      </c>
      <c r="T22" s="130" t="n">
        <v>0.04911596892683971</v>
      </c>
      <c r="U22" s="130" t="n">
        <v>0.04774950666361327</v>
      </c>
      <c r="V22" s="130" t="n">
        <v>0.0465244497223726</v>
      </c>
      <c r="W22" s="130" t="n">
        <v>0.04543124985634424</v>
      </c>
      <c r="X22" s="130" t="n">
        <v>0.04444992165418472</v>
      </c>
      <c r="Y22" s="130" t="n">
        <v>0.04356432881093248</v>
      </c>
    </row>
    <row r="24">
      <c r="A24" s="143" t="inlineStr">
        <is>
          <t>GROSS PROFIT</t>
        </is>
      </c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8" t="n"/>
      <c r="P24" s="128" t="n"/>
      <c r="Q24" s="128" t="n"/>
      <c r="R24" s="128" t="n"/>
      <c r="S24" s="128" t="n"/>
      <c r="T24" s="128" t="n"/>
      <c r="U24" s="128" t="n"/>
      <c r="V24" s="128" t="n"/>
      <c r="W24" s="128" t="n"/>
      <c r="X24" s="128" t="n"/>
      <c r="Y24" s="128" t="n"/>
      <c r="Z24" s="128" t="n"/>
      <c r="AA24" s="128" t="n"/>
    </row>
    <row r="25">
      <c r="A25" s="145" t="inlineStr">
        <is>
          <t>Gross Profit</t>
        </is>
      </c>
      <c r="B25" s="131" t="n">
        <v>2564.3</v>
      </c>
      <c r="C25" s="131" t="n">
        <v>4891.378500000001</v>
      </c>
      <c r="D25" s="131" t="n">
        <v>7441.561607499999</v>
      </c>
      <c r="E25" s="131" t="n">
        <v>10185.5649994625</v>
      </c>
      <c r="F25" s="131" t="n">
        <v>13138.94527046519</v>
      </c>
      <c r="G25" s="131" t="n">
        <v>16318.50328779286</v>
      </c>
      <c r="H25" s="131" t="n">
        <v>19659.5101763669</v>
      </c>
      <c r="I25" s="131" t="n">
        <v>23187.34609810755</v>
      </c>
      <c r="J25" s="131" t="n">
        <v>26913.30258328568</v>
      </c>
      <c r="K25" s="131" t="n">
        <v>30810.60735764109</v>
      </c>
      <c r="L25" s="131" t="n">
        <v>34887.91753284312</v>
      </c>
      <c r="M25" s="131" t="n">
        <v>39154.32253796133</v>
      </c>
      <c r="N25" s="131" t="n">
        <v>43619.36573856459</v>
      </c>
      <c r="O25" s="131" t="n">
        <v>48293.06713675579</v>
      </c>
      <c r="P25" s="131" t="n">
        <v>53185.94720618898</v>
      </c>
      <c r="Q25" s="131" t="n">
        <v>58257.1355340957</v>
      </c>
      <c r="R25" s="131" t="n">
        <v>63513.86889248074</v>
      </c>
      <c r="S25" s="131" t="n">
        <v>68963.67289757905</v>
      </c>
      <c r="T25" s="131" t="n">
        <v>74614.3735673849</v>
      </c>
      <c r="U25" s="131" t="n">
        <v>80474.10934145958</v>
      </c>
      <c r="V25" s="131" t="n">
        <v>86551.34358150898</v>
      </c>
      <c r="W25" s="131" t="n">
        <v>92789.18678300102</v>
      </c>
      <c r="X25" s="131" t="n">
        <v>99192.58746317352</v>
      </c>
      <c r="Y25" s="131" t="n">
        <v>105766.6418132911</v>
      </c>
    </row>
    <row r="26">
      <c r="A26" s="145" t="inlineStr">
        <is>
          <t>Gross Margin %</t>
        </is>
      </c>
      <c r="B26" s="130" t="n">
        <v>0.6120047732696898</v>
      </c>
      <c r="C26" s="130" t="n">
        <v>0.7423495799849752</v>
      </c>
      <c r="D26" s="130" t="n">
        <v>0.8072767460686536</v>
      </c>
      <c r="E26" s="130" t="n">
        <v>0.8454874068932974</v>
      </c>
      <c r="F26" s="130" t="n">
        <v>0.870607593435332</v>
      </c>
      <c r="G26" s="130" t="n">
        <v>0.888343309957083</v>
      </c>
      <c r="H26" s="130" t="n">
        <v>0.9012365934810205</v>
      </c>
      <c r="I26" s="130" t="n">
        <v>0.9110629237254653</v>
      </c>
      <c r="J26" s="130" t="n">
        <v>0.91879159169424</v>
      </c>
      <c r="K26" s="130" t="n">
        <v>0.9249683488182432</v>
      </c>
      <c r="L26" s="130" t="n">
        <v>0.9300141998044615</v>
      </c>
      <c r="M26" s="130" t="n">
        <v>0.9342104477662521</v>
      </c>
      <c r="N26" s="130" t="n">
        <v>0.9377522062603735</v>
      </c>
      <c r="O26" s="130" t="n">
        <v>0.940779064563268</v>
      </c>
      <c r="P26" s="130" t="n">
        <v>0.9433935302516744</v>
      </c>
      <c r="Q26" s="130" t="n">
        <v>0.945651443346547</v>
      </c>
      <c r="R26" s="130" t="n">
        <v>0.9476201597476646</v>
      </c>
      <c r="S26" s="130" t="n">
        <v>0.9493510621832773</v>
      </c>
      <c r="T26" s="130" t="n">
        <v>0.9508840310731602</v>
      </c>
      <c r="U26" s="130" t="n">
        <v>0.9522504933363868</v>
      </c>
      <c r="V26" s="130" t="n">
        <v>0.9534755502776274</v>
      </c>
      <c r="W26" s="130" t="n">
        <v>0.9545687501436557</v>
      </c>
      <c r="X26" s="130" t="n">
        <v>0.9555500783458153</v>
      </c>
      <c r="Y26" s="130" t="n">
        <v>0.9564356711890675</v>
      </c>
    </row>
    <row r="28">
      <c r="A28" s="143" t="inlineStr">
        <is>
          <t>PERSONNEL</t>
        </is>
      </c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28" t="n"/>
      <c r="U28" s="128" t="n"/>
      <c r="V28" s="128" t="n"/>
      <c r="W28" s="128" t="n"/>
      <c r="X28" s="128" t="n"/>
      <c r="Y28" s="128" t="n"/>
      <c r="Z28" s="128" t="n"/>
      <c r="AA28" s="128" t="n"/>
    </row>
    <row r="29">
      <c r="A29" t="inlineStr">
        <is>
          <t xml:space="preserve">  CEO - David Youssef (G&amp;A)</t>
        </is>
      </c>
      <c r="B29" s="131" t="n">
        <v>10000</v>
      </c>
      <c r="C29" s="131" t="n">
        <v>10000</v>
      </c>
      <c r="D29" s="131" t="n">
        <v>10000</v>
      </c>
      <c r="E29" s="131" t="n">
        <v>10000</v>
      </c>
      <c r="F29" s="131" t="n">
        <v>10000</v>
      </c>
      <c r="G29" s="131" t="n">
        <v>10000</v>
      </c>
      <c r="H29" s="131" t="n">
        <v>10000</v>
      </c>
      <c r="I29" s="131" t="n">
        <v>10000</v>
      </c>
      <c r="J29" s="131" t="n">
        <v>10000</v>
      </c>
      <c r="K29" s="131" t="n">
        <v>10000</v>
      </c>
      <c r="L29" s="131" t="n">
        <v>10000</v>
      </c>
      <c r="M29" s="131" t="n">
        <v>10000</v>
      </c>
      <c r="N29" s="131" t="n">
        <v>10000</v>
      </c>
      <c r="O29" s="131" t="n">
        <v>10000</v>
      </c>
      <c r="P29" s="131" t="n">
        <v>10000</v>
      </c>
      <c r="Q29" s="131" t="n">
        <v>10000</v>
      </c>
      <c r="R29" s="131" t="n">
        <v>10000</v>
      </c>
      <c r="S29" s="131" t="n">
        <v>10000</v>
      </c>
      <c r="T29" s="131" t="n">
        <v>10000</v>
      </c>
      <c r="U29" s="131" t="n">
        <v>10000</v>
      </c>
      <c r="V29" s="131" t="n">
        <v>10000</v>
      </c>
      <c r="W29" s="131" t="n">
        <v>10000</v>
      </c>
      <c r="X29" s="131" t="n">
        <v>10000</v>
      </c>
      <c r="Y29" s="131" t="n">
        <v>10000</v>
      </c>
    </row>
    <row r="30">
      <c r="A30" t="inlineStr">
        <is>
          <t xml:space="preserve">  CTO - Igor Malovitsa (R&amp;D)</t>
        </is>
      </c>
      <c r="B30" s="131" t="n">
        <v>10000</v>
      </c>
      <c r="C30" s="131" t="n">
        <v>10000</v>
      </c>
      <c r="D30" s="131" t="n">
        <v>10000</v>
      </c>
      <c r="E30" s="131" t="n">
        <v>10000</v>
      </c>
      <c r="F30" s="131" t="n">
        <v>10000</v>
      </c>
      <c r="G30" s="131" t="n">
        <v>10000</v>
      </c>
      <c r="H30" s="131" t="n">
        <v>10000</v>
      </c>
      <c r="I30" s="131" t="n">
        <v>10000</v>
      </c>
      <c r="J30" s="131" t="n">
        <v>10000</v>
      </c>
      <c r="K30" s="131" t="n">
        <v>10000</v>
      </c>
      <c r="L30" s="131" t="n">
        <v>10000</v>
      </c>
      <c r="M30" s="131" t="n">
        <v>10000</v>
      </c>
      <c r="N30" s="131" t="n">
        <v>10000</v>
      </c>
      <c r="O30" s="131" t="n">
        <v>10000</v>
      </c>
      <c r="P30" s="131" t="n">
        <v>10000</v>
      </c>
      <c r="Q30" s="131" t="n">
        <v>10000</v>
      </c>
      <c r="R30" s="131" t="n">
        <v>10000</v>
      </c>
      <c r="S30" s="131" t="n">
        <v>10000</v>
      </c>
      <c r="T30" s="131" t="n">
        <v>10000</v>
      </c>
      <c r="U30" s="131" t="n">
        <v>10000</v>
      </c>
      <c r="V30" s="131" t="n">
        <v>10000</v>
      </c>
      <c r="W30" s="131" t="n">
        <v>10000</v>
      </c>
      <c r="X30" s="131" t="n">
        <v>10000</v>
      </c>
      <c r="Y30" s="131" t="n">
        <v>10000</v>
      </c>
    </row>
    <row r="31">
      <c r="A31" t="inlineStr">
        <is>
          <t xml:space="preserve">  GTM - Kristen Hengst Smith (S&amp;M)</t>
        </is>
      </c>
      <c r="B31" s="131" t="n">
        <v>7000</v>
      </c>
      <c r="C31" s="131" t="n">
        <v>7000</v>
      </c>
      <c r="D31" s="131" t="n">
        <v>7000</v>
      </c>
      <c r="E31" s="131" t="n">
        <v>7000</v>
      </c>
      <c r="F31" s="131" t="n">
        <v>7000</v>
      </c>
      <c r="G31" s="131" t="n">
        <v>7000</v>
      </c>
      <c r="H31" s="131" t="n">
        <v>7000</v>
      </c>
      <c r="I31" s="131" t="n">
        <v>7000</v>
      </c>
      <c r="J31" s="131" t="n">
        <v>7000</v>
      </c>
      <c r="K31" s="131" t="n">
        <v>7000</v>
      </c>
      <c r="L31" s="131" t="n">
        <v>7000</v>
      </c>
      <c r="M31" s="131" t="n">
        <v>7000</v>
      </c>
      <c r="N31" s="131" t="n">
        <v>7000</v>
      </c>
      <c r="O31" s="131" t="n">
        <v>7000</v>
      </c>
      <c r="P31" s="131" t="n">
        <v>7000</v>
      </c>
      <c r="Q31" s="131" t="n">
        <v>7000</v>
      </c>
      <c r="R31" s="131" t="n">
        <v>7000</v>
      </c>
      <c r="S31" s="131" t="n">
        <v>7000</v>
      </c>
      <c r="T31" s="131" t="n">
        <v>7000</v>
      </c>
      <c r="U31" s="131" t="n">
        <v>7000</v>
      </c>
      <c r="V31" s="131" t="n">
        <v>7000</v>
      </c>
      <c r="W31" s="131" t="n">
        <v>7000</v>
      </c>
      <c r="X31" s="131" t="n">
        <v>7000</v>
      </c>
      <c r="Y31" s="131" t="n">
        <v>7000</v>
      </c>
    </row>
    <row r="32">
      <c r="A32" t="inlineStr">
        <is>
          <t xml:space="preserve">  Engineer - Hire #1 (R&amp;D)</t>
        </is>
      </c>
      <c r="B32" s="131" t="n">
        <v>0</v>
      </c>
      <c r="C32" s="131" t="n">
        <v>0</v>
      </c>
      <c r="D32" s="131" t="n">
        <v>0</v>
      </c>
      <c r="E32" s="131" t="n">
        <v>0</v>
      </c>
      <c r="F32" s="131" t="n">
        <v>0</v>
      </c>
      <c r="G32" s="131" t="n">
        <v>10000</v>
      </c>
      <c r="H32" s="131" t="n">
        <v>10000</v>
      </c>
      <c r="I32" s="131" t="n">
        <v>10000</v>
      </c>
      <c r="J32" s="131" t="n">
        <v>10000</v>
      </c>
      <c r="K32" s="131" t="n">
        <v>10000</v>
      </c>
      <c r="L32" s="131" t="n">
        <v>10000</v>
      </c>
      <c r="M32" s="131" t="n">
        <v>10000</v>
      </c>
      <c r="N32" s="131" t="n">
        <v>10000</v>
      </c>
      <c r="O32" s="131" t="n">
        <v>10000</v>
      </c>
      <c r="P32" s="131" t="n">
        <v>10000</v>
      </c>
      <c r="Q32" s="131" t="n">
        <v>10000</v>
      </c>
      <c r="R32" s="131" t="n">
        <v>10000</v>
      </c>
      <c r="S32" s="131" t="n">
        <v>10000</v>
      </c>
      <c r="T32" s="131" t="n">
        <v>10000</v>
      </c>
      <c r="U32" s="131" t="n">
        <v>10000</v>
      </c>
      <c r="V32" s="131" t="n">
        <v>10000</v>
      </c>
      <c r="W32" s="131" t="n">
        <v>10000</v>
      </c>
      <c r="X32" s="131" t="n">
        <v>10000</v>
      </c>
      <c r="Y32" s="131" t="n">
        <v>10000</v>
      </c>
    </row>
    <row r="33">
      <c r="A33" s="145" t="inlineStr">
        <is>
          <t>Total Payroll</t>
        </is>
      </c>
      <c r="B33" s="131" t="n">
        <v>27000</v>
      </c>
      <c r="C33" s="131" t="n">
        <v>27000</v>
      </c>
      <c r="D33" s="131" t="n">
        <v>27000</v>
      </c>
      <c r="E33" s="131" t="n">
        <v>27000</v>
      </c>
      <c r="F33" s="131" t="n">
        <v>27000</v>
      </c>
      <c r="G33" s="131" t="n">
        <v>37000</v>
      </c>
      <c r="H33" s="131" t="n">
        <v>37000</v>
      </c>
      <c r="I33" s="131" t="n">
        <v>37000</v>
      </c>
      <c r="J33" s="131" t="n">
        <v>37000</v>
      </c>
      <c r="K33" s="131" t="n">
        <v>37000</v>
      </c>
      <c r="L33" s="131" t="n">
        <v>37000</v>
      </c>
      <c r="M33" s="131" t="n">
        <v>37000</v>
      </c>
      <c r="N33" s="131" t="n">
        <v>37000</v>
      </c>
      <c r="O33" s="131" t="n">
        <v>37000</v>
      </c>
      <c r="P33" s="131" t="n">
        <v>37000</v>
      </c>
      <c r="Q33" s="131" t="n">
        <v>37000</v>
      </c>
      <c r="R33" s="131" t="n">
        <v>37000</v>
      </c>
      <c r="S33" s="131" t="n">
        <v>37000</v>
      </c>
      <c r="T33" s="131" t="n">
        <v>37000</v>
      </c>
      <c r="U33" s="131" t="n">
        <v>37000</v>
      </c>
      <c r="V33" s="131" t="n">
        <v>37000</v>
      </c>
      <c r="W33" s="131" t="n">
        <v>37000</v>
      </c>
      <c r="X33" s="131" t="n">
        <v>37000</v>
      </c>
      <c r="Y33" s="131" t="n">
        <v>37000</v>
      </c>
      <c r="Z33" s="144" t="n">
        <v>394000</v>
      </c>
      <c r="AA33" s="144" t="n">
        <v>444000</v>
      </c>
    </row>
    <row r="35">
      <c r="A35" s="143" t="inlineStr">
        <is>
          <t>OPERATING EXPENSES</t>
        </is>
      </c>
      <c r="B35" s="128" t="n"/>
      <c r="C35" s="128" t="n"/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8" t="n"/>
      <c r="P35" s="128" t="n"/>
      <c r="Q35" s="128" t="n"/>
      <c r="R35" s="128" t="n"/>
      <c r="S35" s="128" t="n"/>
      <c r="T35" s="128" t="n"/>
      <c r="U35" s="128" t="n"/>
      <c r="V35" s="128" t="n"/>
      <c r="W35" s="128" t="n"/>
      <c r="X35" s="128" t="n"/>
      <c r="Y35" s="128" t="n"/>
      <c r="Z35" s="128" t="n"/>
      <c r="AA35" s="128" t="n"/>
    </row>
    <row r="36">
      <c r="A36" t="inlineStr">
        <is>
          <t>Sales &amp; Marketing</t>
        </is>
      </c>
      <c r="B36" s="131" t="n">
        <v>7251.4</v>
      </c>
      <c r="C36" s="131" t="n">
        <v>7395.343000000001</v>
      </c>
      <c r="D36" s="131" t="n">
        <v>7553.086284999999</v>
      </c>
      <c r="E36" s="131" t="n">
        <v>7722.818453575001</v>
      </c>
      <c r="F36" s="131" t="n">
        <v>7905.501769307124</v>
      </c>
      <c r="G36" s="131" t="n">
        <v>8102.175461100589</v>
      </c>
      <c r="H36" s="131" t="n">
        <v>8308.835681012386</v>
      </c>
      <c r="I36" s="131" t="n">
        <v>8527.052335965416</v>
      </c>
      <c r="J36" s="131" t="n">
        <v>8757.523871131074</v>
      </c>
      <c r="K36" s="131" t="n">
        <v>8998.59426954481</v>
      </c>
      <c r="L36" s="131" t="n">
        <v>9250.79902265009</v>
      </c>
      <c r="M36" s="131" t="n">
        <v>9514.700363172866</v>
      </c>
      <c r="N36" s="131" t="n">
        <v>9790.888602385439</v>
      </c>
      <c r="O36" s="131" t="n">
        <v>10079.98353423232</v>
      </c>
      <c r="P36" s="131" t="n">
        <v>10382.63590966117</v>
      </c>
      <c r="Q36" s="131" t="n">
        <v>10696.31766190283</v>
      </c>
      <c r="R36" s="131" t="n">
        <v>11021.47642633901</v>
      </c>
      <c r="S36" s="131" t="n">
        <v>11358.57770500489</v>
      </c>
      <c r="T36" s="131" t="n">
        <v>11708.10558148773</v>
      </c>
      <c r="U36" s="131" t="n">
        <v>12070.56346442018</v>
      </c>
      <c r="V36" s="131" t="n">
        <v>12446.4748607119</v>
      </c>
      <c r="W36" s="131" t="n">
        <v>12832.32083193821</v>
      </c>
      <c r="X36" s="131" t="n">
        <v>13228.40747194888</v>
      </c>
      <c r="Y36" s="131" t="n">
        <v>13635.05000906955</v>
      </c>
      <c r="Z36" s="144" t="n">
        <v>99287.83051245936</v>
      </c>
      <c r="AA36" s="144" t="n">
        <v>139250.8020591021</v>
      </c>
    </row>
    <row r="37">
      <c r="A37" t="inlineStr">
        <is>
          <t xml:space="preserve">  S&amp;M % of Revenue</t>
        </is>
      </c>
      <c r="B37" s="130" t="n">
        <v>1.730644391408114</v>
      </c>
      <c r="C37" s="130" t="n">
        <v>1.122368626736783</v>
      </c>
      <c r="D37" s="130" t="n">
        <v>0.8193751850129497</v>
      </c>
      <c r="E37" s="130" t="n">
        <v>0.641058767831279</v>
      </c>
      <c r="F37" s="130" t="n">
        <v>0.5238312306351174</v>
      </c>
      <c r="G37" s="130" t="n">
        <v>0.4410645535336129</v>
      </c>
      <c r="H37" s="130" t="n">
        <v>0.3808958970885708</v>
      </c>
      <c r="I37" s="130" t="n">
        <v>0.3350396892811617</v>
      </c>
      <c r="J37" s="130" t="n">
        <v>0.2989725720935469</v>
      </c>
      <c r="K37" s="130" t="n">
        <v>0.2701477055148653</v>
      </c>
      <c r="L37" s="130" t="n">
        <v>0.2466004009125133</v>
      </c>
      <c r="M37" s="130" t="n">
        <v>0.2270179104241567</v>
      </c>
      <c r="N37" s="130" t="n">
        <v>0.2104897041182568</v>
      </c>
      <c r="O37" s="130" t="n">
        <v>0.1963643653714157</v>
      </c>
      <c r="P37" s="130" t="n">
        <v>0.1841635254921863</v>
      </c>
      <c r="Q37" s="130" t="n">
        <v>0.1736265977161141</v>
      </c>
      <c r="R37" s="130" t="n">
        <v>0.1644392545108987</v>
      </c>
      <c r="S37" s="130" t="n">
        <v>0.1563617098113727</v>
      </c>
      <c r="T37" s="130" t="n">
        <v>0.1492078549919187</v>
      </c>
      <c r="U37" s="130" t="n">
        <v>0.1428310310968619</v>
      </c>
      <c r="V37" s="130" t="n">
        <v>0.1371140987044054</v>
      </c>
      <c r="W37" s="130" t="n">
        <v>0.1320124993296065</v>
      </c>
      <c r="X37" s="130" t="n">
        <v>0.1274329677195287</v>
      </c>
      <c r="Y37" s="130" t="n">
        <v>0.1233002011176849</v>
      </c>
    </row>
    <row r="38">
      <c r="A38" t="inlineStr">
        <is>
          <t>Research &amp; Development</t>
        </is>
      </c>
      <c r="B38" s="131" t="n">
        <v>13000</v>
      </c>
      <c r="C38" s="131" t="n">
        <v>13000</v>
      </c>
      <c r="D38" s="131" t="n">
        <v>13000</v>
      </c>
      <c r="E38" s="131" t="n">
        <v>13000</v>
      </c>
      <c r="F38" s="131" t="n">
        <v>13000</v>
      </c>
      <c r="G38" s="131" t="n">
        <v>23000</v>
      </c>
      <c r="H38" s="131" t="n">
        <v>23000</v>
      </c>
      <c r="I38" s="131" t="n">
        <v>23000</v>
      </c>
      <c r="J38" s="131" t="n">
        <v>23000</v>
      </c>
      <c r="K38" s="131" t="n">
        <v>23000</v>
      </c>
      <c r="L38" s="131" t="n">
        <v>23000</v>
      </c>
      <c r="M38" s="131" t="n">
        <v>23000</v>
      </c>
      <c r="N38" s="131" t="n">
        <v>23000</v>
      </c>
      <c r="O38" s="131" t="n">
        <v>23000</v>
      </c>
      <c r="P38" s="131" t="n">
        <v>23000</v>
      </c>
      <c r="Q38" s="131" t="n">
        <v>23000</v>
      </c>
      <c r="R38" s="131" t="n">
        <v>23000</v>
      </c>
      <c r="S38" s="131" t="n">
        <v>23000</v>
      </c>
      <c r="T38" s="131" t="n">
        <v>23000</v>
      </c>
      <c r="U38" s="131" t="n">
        <v>23000</v>
      </c>
      <c r="V38" s="131" t="n">
        <v>23000</v>
      </c>
      <c r="W38" s="131" t="n">
        <v>23000</v>
      </c>
      <c r="X38" s="131" t="n">
        <v>23000</v>
      </c>
      <c r="Y38" s="131" t="n">
        <v>23000</v>
      </c>
      <c r="Z38" s="144" t="n">
        <v>226000</v>
      </c>
      <c r="AA38" s="144" t="n">
        <v>276000</v>
      </c>
    </row>
    <row r="39">
      <c r="A39" t="inlineStr">
        <is>
          <t xml:space="preserve">  R&amp;D % of Revenue</t>
        </is>
      </c>
      <c r="B39" s="130" t="n">
        <v>3.102625298329356</v>
      </c>
      <c r="C39" s="130" t="n">
        <v>1.972970306796883</v>
      </c>
      <c r="D39" s="130" t="n">
        <v>1.410268200738335</v>
      </c>
      <c r="E39" s="130" t="n">
        <v>1.07910914025809</v>
      </c>
      <c r="F39" s="130" t="n">
        <v>0.8614008568937896</v>
      </c>
      <c r="G39" s="130" t="n">
        <v>1.252069247324728</v>
      </c>
      <c r="H39" s="130" t="n">
        <v>1.054372233291018</v>
      </c>
      <c r="I39" s="130" t="n">
        <v>0.9037018362095313</v>
      </c>
      <c r="J39" s="130" t="n">
        <v>0.7851955940216541</v>
      </c>
      <c r="K39" s="130" t="n">
        <v>0.6904853181202717</v>
      </c>
      <c r="L39" s="130" t="n">
        <v>0.6131156029982582</v>
      </c>
      <c r="M39" s="130" t="n">
        <v>0.5487731342508005</v>
      </c>
      <c r="N39" s="130" t="n">
        <v>0.4944661706742724</v>
      </c>
      <c r="O39" s="130" t="n">
        <v>0.4480543433632231</v>
      </c>
      <c r="P39" s="130" t="n">
        <v>0.4079658694743265</v>
      </c>
      <c r="Q39" s="130" t="n">
        <v>0.3733445353529464</v>
      </c>
      <c r="R39" s="130" t="n">
        <v>0.3431575505358103</v>
      </c>
      <c r="S39" s="130" t="n">
        <v>0.3166170465230818</v>
      </c>
      <c r="T39" s="130" t="n">
        <v>0.2931115235448756</v>
      </c>
      <c r="U39" s="130" t="n">
        <v>0.2721591021754036</v>
      </c>
      <c r="V39" s="130" t="n">
        <v>0.2533748957430464</v>
      </c>
      <c r="W39" s="130" t="n">
        <v>0.2366124977972784</v>
      </c>
      <c r="X39" s="130" t="n">
        <v>0.2215654653641657</v>
      </c>
      <c r="Y39" s="130" t="n">
        <v>0.2079863751009648</v>
      </c>
    </row>
    <row r="40">
      <c r="A40" t="inlineStr">
        <is>
          <t>General &amp; Administrative</t>
        </is>
      </c>
      <c r="B40" s="131" t="n">
        <v>14867</v>
      </c>
      <c r="C40" s="131" t="n">
        <v>14867</v>
      </c>
      <c r="D40" s="131" t="n">
        <v>14867</v>
      </c>
      <c r="E40" s="131" t="n">
        <v>14867</v>
      </c>
      <c r="F40" s="131" t="n">
        <v>14867</v>
      </c>
      <c r="G40" s="131" t="n">
        <v>14867</v>
      </c>
      <c r="H40" s="131" t="n">
        <v>14867</v>
      </c>
      <c r="I40" s="131" t="n">
        <v>14867</v>
      </c>
      <c r="J40" s="131" t="n">
        <v>14867</v>
      </c>
      <c r="K40" s="131" t="n">
        <v>14867</v>
      </c>
      <c r="L40" s="131" t="n">
        <v>14867</v>
      </c>
      <c r="M40" s="131" t="n">
        <v>14867</v>
      </c>
      <c r="N40" s="131" t="n">
        <v>14867</v>
      </c>
      <c r="O40" s="131" t="n">
        <v>14867</v>
      </c>
      <c r="P40" s="131" t="n">
        <v>14867</v>
      </c>
      <c r="Q40" s="131" t="n">
        <v>14867</v>
      </c>
      <c r="R40" s="131" t="n">
        <v>14867</v>
      </c>
      <c r="S40" s="131" t="n">
        <v>14867</v>
      </c>
      <c r="T40" s="131" t="n">
        <v>14867</v>
      </c>
      <c r="U40" s="131" t="n">
        <v>14867</v>
      </c>
      <c r="V40" s="131" t="n">
        <v>14867</v>
      </c>
      <c r="W40" s="131" t="n">
        <v>14867</v>
      </c>
      <c r="X40" s="131" t="n">
        <v>14867</v>
      </c>
      <c r="Y40" s="131" t="n">
        <v>14867</v>
      </c>
      <c r="Z40" s="144" t="n">
        <v>178404</v>
      </c>
      <c r="AA40" s="144" t="n">
        <v>178404</v>
      </c>
    </row>
    <row r="41">
      <c r="A41" t="inlineStr">
        <is>
          <t xml:space="preserve">  G&amp;A % of Revenue</t>
        </is>
      </c>
      <c r="B41" s="130" t="n">
        <v>3.548210023866349</v>
      </c>
      <c r="C41" s="130" t="n">
        <v>2.25631919624225</v>
      </c>
      <c r="D41" s="130" t="n">
        <v>1.612804410798218</v>
      </c>
      <c r="E41" s="130" t="n">
        <v>1.234085814478232</v>
      </c>
      <c r="F41" s="130" t="n">
        <v>0.985111272264613</v>
      </c>
      <c r="G41" s="130" t="n">
        <v>0.8093266739120318</v>
      </c>
      <c r="H41" s="130" t="n">
        <v>0.6815370431451118</v>
      </c>
      <c r="I41" s="130" t="n">
        <v>0.5841450086490044</v>
      </c>
      <c r="J41" s="130" t="n">
        <v>0.5075436041878231</v>
      </c>
      <c r="K41" s="130" t="n">
        <v>0.4463237054127861</v>
      </c>
      <c r="L41" s="130" t="n">
        <v>0.396312594338048</v>
      </c>
      <c r="M41" s="130" t="n">
        <v>0.3547221820394196</v>
      </c>
      <c r="N41" s="130" t="n">
        <v>0.3196186330180177</v>
      </c>
      <c r="O41" s="130" t="n">
        <v>0.2896184314252626</v>
      </c>
      <c r="P41" s="130" t="n">
        <v>0.2637055904989049</v>
      </c>
      <c r="Q41" s="130" t="n">
        <v>0.2413266611779241</v>
      </c>
      <c r="R41" s="130" t="n">
        <v>0.2218140566876474</v>
      </c>
      <c r="S41" s="130" t="n">
        <v>0.2046585056808111</v>
      </c>
      <c r="T41" s="130" t="n">
        <v>0.1894647400235507</v>
      </c>
      <c r="U41" s="130" t="n">
        <v>0.1759212770452924</v>
      </c>
      <c r="V41" s="130" t="n">
        <v>0.1637793293483422</v>
      </c>
      <c r="W41" s="130" t="n">
        <v>0.1529442610761799</v>
      </c>
      <c r="X41" s="130" t="n">
        <v>0.1432179901551762</v>
      </c>
      <c r="Y41" s="130" t="n">
        <v>0.1344405842880888</v>
      </c>
    </row>
    <row r="42">
      <c r="A42" s="145" t="inlineStr">
        <is>
          <t>Total OpEx</t>
        </is>
      </c>
      <c r="B42" s="131" t="n">
        <v>35118.4</v>
      </c>
      <c r="C42" s="131" t="n">
        <v>35262.343</v>
      </c>
      <c r="D42" s="131" t="n">
        <v>35420.086285</v>
      </c>
      <c r="E42" s="131" t="n">
        <v>35589.818453575</v>
      </c>
      <c r="F42" s="131" t="n">
        <v>35772.50176930713</v>
      </c>
      <c r="G42" s="131" t="n">
        <v>45969.17546110059</v>
      </c>
      <c r="H42" s="131" t="n">
        <v>46175.83568101239</v>
      </c>
      <c r="I42" s="131" t="n">
        <v>46394.05233596542</v>
      </c>
      <c r="J42" s="131" t="n">
        <v>46624.52387113107</v>
      </c>
      <c r="K42" s="131" t="n">
        <v>46865.59426954481</v>
      </c>
      <c r="L42" s="131" t="n">
        <v>47117.79902265009</v>
      </c>
      <c r="M42" s="131" t="n">
        <v>47381.70036317287</v>
      </c>
      <c r="N42" s="131" t="n">
        <v>47657.88860238544</v>
      </c>
      <c r="O42" s="131" t="n">
        <v>47946.98353423232</v>
      </c>
      <c r="P42" s="131" t="n">
        <v>48249.63590966117</v>
      </c>
      <c r="Q42" s="131" t="n">
        <v>48563.31766190282</v>
      </c>
      <c r="R42" s="131" t="n">
        <v>48888.47642633901</v>
      </c>
      <c r="S42" s="131" t="n">
        <v>49225.57770500489</v>
      </c>
      <c r="T42" s="131" t="n">
        <v>49575.10558148773</v>
      </c>
      <c r="U42" s="131" t="n">
        <v>49937.56346442018</v>
      </c>
      <c r="V42" s="131" t="n">
        <v>50313.4748607119</v>
      </c>
      <c r="W42" s="131" t="n">
        <v>50699.32083193821</v>
      </c>
      <c r="X42" s="131" t="n">
        <v>51095.40747194888</v>
      </c>
      <c r="Y42" s="131" t="n">
        <v>51502.05000906956</v>
      </c>
      <c r="Z42" s="144" t="n">
        <v>503691.8305124594</v>
      </c>
      <c r="AA42" s="144" t="n">
        <v>593654.8020591021</v>
      </c>
    </row>
    <row r="44">
      <c r="A44" s="143" t="inlineStr">
        <is>
          <t>EBITDA / OPERATING INCOME</t>
        </is>
      </c>
      <c r="B44" s="128" t="n"/>
      <c r="C44" s="128" t="n"/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28" t="n"/>
      <c r="P44" s="128" t="n"/>
      <c r="Q44" s="128" t="n"/>
      <c r="R44" s="128" t="n"/>
      <c r="S44" s="128" t="n"/>
      <c r="T44" s="128" t="n"/>
      <c r="U44" s="128" t="n"/>
      <c r="V44" s="128" t="n"/>
      <c r="W44" s="128" t="n"/>
      <c r="X44" s="128" t="n"/>
      <c r="Y44" s="128" t="n"/>
      <c r="Z44" s="128" t="n"/>
      <c r="AA44" s="128" t="n"/>
    </row>
    <row r="45">
      <c r="A45" s="145" t="inlineStr">
        <is>
          <t>EBITDA</t>
        </is>
      </c>
      <c r="B45" s="131" t="n">
        <v>-32554.1</v>
      </c>
      <c r="C45" s="131" t="n">
        <v>-30370.9645</v>
      </c>
      <c r="D45" s="131" t="n">
        <v>-27978.5246775</v>
      </c>
      <c r="E45" s="131" t="n">
        <v>-25404.25345411251</v>
      </c>
      <c r="F45" s="131" t="n">
        <v>-22633.55649884194</v>
      </c>
      <c r="G45" s="131" t="n">
        <v>-29650.67217330773</v>
      </c>
      <c r="H45" s="131" t="n">
        <v>-26516.32550464549</v>
      </c>
      <c r="I45" s="131" t="n">
        <v>-23206.70623785787</v>
      </c>
      <c r="J45" s="131" t="n">
        <v>-19711.22128784539</v>
      </c>
      <c r="K45" s="131" t="n">
        <v>-16054.98691190372</v>
      </c>
      <c r="L45" s="131" t="n">
        <v>-12229.88148980697</v>
      </c>
      <c r="M45" s="131" t="n">
        <v>-8227.377825211537</v>
      </c>
      <c r="N45" s="131" t="n">
        <v>-4038.52286382085</v>
      </c>
      <c r="O45" s="131" t="n">
        <v>346.0836025234676</v>
      </c>
      <c r="P45" s="131" t="n">
        <v>4936.311296527805</v>
      </c>
      <c r="Q45" s="131" t="n">
        <v>9693.817872192878</v>
      </c>
      <c r="R45" s="131" t="n">
        <v>14625.39246614173</v>
      </c>
      <c r="S45" s="131" t="n">
        <v>19738.09519257415</v>
      </c>
      <c r="T45" s="131" t="n">
        <v>25039.26798589718</v>
      </c>
      <c r="U45" s="131" t="n">
        <v>30536.5458770394</v>
      </c>
      <c r="V45" s="131" t="n">
        <v>36237.86872079708</v>
      </c>
      <c r="W45" s="131" t="n">
        <v>42089.86595106281</v>
      </c>
      <c r="X45" s="131" t="n">
        <v>48097.17999122464</v>
      </c>
      <c r="Y45" s="131" t="n">
        <v>54264.59180422156</v>
      </c>
      <c r="Z45" s="144" t="n">
        <v>-274538.5705610331</v>
      </c>
      <c r="AA45" s="144" t="n">
        <v>281566.4978963818</v>
      </c>
    </row>
    <row r="46">
      <c r="A46" s="145" t="inlineStr">
        <is>
          <t>EBITDA Margin %</t>
        </is>
      </c>
      <c r="B46" s="130" t="n">
        <v>-7.769474940334129</v>
      </c>
      <c r="C46" s="130" t="n">
        <v>-4.609308549790941</v>
      </c>
      <c r="D46" s="130" t="n">
        <v>-3.035171050480849</v>
      </c>
      <c r="E46" s="130" t="n">
        <v>-2.108766315674304</v>
      </c>
      <c r="F46" s="130" t="n">
        <v>-1.499735766358189</v>
      </c>
      <c r="G46" s="130" t="n">
        <v>-1.61411716481329</v>
      </c>
      <c r="H46" s="130" t="n">
        <v>-1.21556858004368</v>
      </c>
      <c r="I46" s="130" t="n">
        <v>-0.9118236104142322</v>
      </c>
      <c r="J46" s="130" t="n">
        <v>-0.6729201786087841</v>
      </c>
      <c r="K46" s="130" t="n">
        <v>-0.48198838022968</v>
      </c>
      <c r="L46" s="130" t="n">
        <v>-0.3260143984443581</v>
      </c>
      <c r="M46" s="130" t="n">
        <v>-0.1963027789481248</v>
      </c>
      <c r="N46" s="130" t="n">
        <v>-0.08682230155017356</v>
      </c>
      <c r="O46" s="130" t="n">
        <v>0.006741924403366564</v>
      </c>
      <c r="P46" s="130" t="n">
        <v>0.08755854478625678</v>
      </c>
      <c r="Q46" s="130" t="n">
        <v>0.1573536490995625</v>
      </c>
      <c r="R46" s="130" t="n">
        <v>0.2182092980133082</v>
      </c>
      <c r="S46" s="130" t="n">
        <v>0.2717138001680116</v>
      </c>
      <c r="T46" s="130" t="n">
        <v>0.3190999125128152</v>
      </c>
      <c r="U46" s="130" t="n">
        <v>0.3613390830188289</v>
      </c>
      <c r="V46" s="130" t="n">
        <v>0.3992072264818332</v>
      </c>
      <c r="W46" s="130" t="n">
        <v>0.432999491940591</v>
      </c>
      <c r="X46" s="130" t="n">
        <v>0.4633336551069447</v>
      </c>
      <c r="Y46" s="130" t="n">
        <v>0.4907085106823289</v>
      </c>
    </row>
    <row r="48">
      <c r="A48" s="143" t="inlineStr">
        <is>
          <t>SaaS OPERATING METRICS</t>
        </is>
      </c>
      <c r="B48" s="128" t="n"/>
      <c r="C48" s="128" t="n"/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128" t="n"/>
      <c r="N48" s="128" t="n"/>
      <c r="O48" s="128" t="n"/>
      <c r="P48" s="128" t="n"/>
      <c r="Q48" s="128" t="n"/>
      <c r="R48" s="128" t="n"/>
      <c r="S48" s="128" t="n"/>
      <c r="T48" s="128" t="n"/>
      <c r="U48" s="128" t="n"/>
      <c r="V48" s="128" t="n"/>
      <c r="W48" s="128" t="n"/>
      <c r="X48" s="128" t="n"/>
      <c r="Y48" s="128" t="n"/>
      <c r="Z48" s="128" t="n"/>
      <c r="AA48" s="128" t="n"/>
    </row>
    <row r="49">
      <c r="A49" t="inlineStr">
        <is>
          <t>CAC (S&amp;M / New Customers)</t>
        </is>
      </c>
      <c r="B49" s="131" t="n">
        <v>7251.4</v>
      </c>
      <c r="C49" s="131" t="n">
        <v>7395.343000000001</v>
      </c>
      <c r="D49" s="131" t="n">
        <v>3776.5431425</v>
      </c>
      <c r="E49" s="131" t="n">
        <v>7722.818453575001</v>
      </c>
      <c r="F49" s="131" t="n">
        <v>3952.750884653562</v>
      </c>
      <c r="G49" s="131" t="n">
        <v>8102.175461100589</v>
      </c>
      <c r="H49" s="131" t="n">
        <v>4154.417840506193</v>
      </c>
      <c r="I49" s="131" t="n">
        <v>4263.526167982708</v>
      </c>
      <c r="J49" s="131" t="n">
        <v>4378.761935565537</v>
      </c>
      <c r="K49" s="131" t="n">
        <v>4499.297134772405</v>
      </c>
      <c r="L49" s="131" t="n">
        <v>4625.399511325045</v>
      </c>
      <c r="M49" s="131" t="n">
        <v>4757.350181586433</v>
      </c>
      <c r="N49" s="131" t="n">
        <v>0</v>
      </c>
      <c r="O49" s="131" t="n">
        <v>5039.991767116158</v>
      </c>
      <c r="P49" s="131" t="n">
        <v>3460.878636553725</v>
      </c>
      <c r="Q49" s="131" t="n">
        <v>5348.158830951414</v>
      </c>
      <c r="R49" s="131" t="n">
        <v>5510.738213169507</v>
      </c>
      <c r="S49" s="131" t="n">
        <v>3786.192568334963</v>
      </c>
      <c r="T49" s="131" t="n">
        <v>3902.701860495908</v>
      </c>
      <c r="U49" s="131" t="n">
        <v>6035.281732210089</v>
      </c>
      <c r="V49" s="131" t="n">
        <v>4148.824953570632</v>
      </c>
      <c r="W49" s="131" t="n">
        <v>4277.440277312736</v>
      </c>
      <c r="X49" s="131" t="n">
        <v>4409.469157316293</v>
      </c>
      <c r="Y49" s="131" t="n">
        <v>4545.016669689851</v>
      </c>
    </row>
    <row r="50">
      <c r="A50" t="inlineStr">
        <is>
          <t>CAC Payback (months)</t>
        </is>
      </c>
      <c r="B50" t="n">
        <v>5.924300198884684</v>
      </c>
      <c r="C50" t="n">
        <v>4.981038044198583</v>
      </c>
      <c r="D50" t="n">
        <v>2.339063500151179</v>
      </c>
      <c r="E50" t="n">
        <v>4.567080710256894</v>
      </c>
      <c r="F50" t="n">
        <v>2.270110503548674</v>
      </c>
      <c r="G50" t="n">
        <v>4.560272684156318</v>
      </c>
      <c r="H50" t="n">
        <v>2.304843073703755</v>
      </c>
      <c r="I50" t="n">
        <v>2.339863722336843</v>
      </c>
      <c r="J50" t="n">
        <v>2.38289181961883</v>
      </c>
      <c r="K50" t="n">
        <v>2.432135726871515</v>
      </c>
      <c r="L50" t="n">
        <v>2.486735961825932</v>
      </c>
      <c r="M50" t="n">
        <v>2.546187635217266</v>
      </c>
      <c r="N50" t="n">
        <v>0</v>
      </c>
      <c r="O50" t="n">
        <v>2.435115145501942</v>
      </c>
      <c r="P50" t="n">
        <v>1.667519017815708</v>
      </c>
      <c r="Q50" t="n">
        <v>2.570694841000978</v>
      </c>
      <c r="R50" t="n">
        <v>2.64333866288065</v>
      </c>
      <c r="S50" t="n">
        <v>1.812813710886427</v>
      </c>
      <c r="T50" t="n">
        <v>1.865585426997267</v>
      </c>
      <c r="U50" t="n">
        <v>2.880869999516216</v>
      </c>
      <c r="V50" t="n">
        <v>1.977847805118005</v>
      </c>
      <c r="W50" t="n">
        <v>2.036826613954784</v>
      </c>
      <c r="X50" t="n">
        <v>2.097539634852226</v>
      </c>
      <c r="Y50" t="n">
        <v>2.160016329663276</v>
      </c>
    </row>
    <row r="51">
      <c r="A51" t="inlineStr">
        <is>
          <t>LTV (margin-weighted)</t>
        </is>
      </c>
      <c r="B51" s="131" t="n">
        <v>244801.9093078759</v>
      </c>
      <c r="C51" s="131" t="n">
        <v>296939.8319939901</v>
      </c>
      <c r="D51" s="131" t="n">
        <v>322910.6984274614</v>
      </c>
      <c r="E51" s="131" t="n">
        <v>338194.9627573189</v>
      </c>
      <c r="F51" s="131" t="n">
        <v>348243.0373741328</v>
      </c>
      <c r="G51" s="131" t="n">
        <v>355337.3239828332</v>
      </c>
      <c r="H51" s="131" t="n">
        <v>300412.1978270068</v>
      </c>
      <c r="I51" s="131" t="n">
        <v>303687.6412418218</v>
      </c>
      <c r="J51" s="131" t="n">
        <v>306263.86389808</v>
      </c>
      <c r="K51" s="131" t="n">
        <v>308322.7829394144</v>
      </c>
      <c r="L51" s="131" t="n">
        <v>310004.7332681539</v>
      </c>
      <c r="M51" s="131" t="n">
        <v>311403.4825887507</v>
      </c>
      <c r="N51" s="131" t="n">
        <v>343842.4756288037</v>
      </c>
      <c r="O51" s="131" t="n">
        <v>344952.3236731982</v>
      </c>
      <c r="P51" s="131" t="n">
        <v>345910.9610922806</v>
      </c>
      <c r="Q51" s="131" t="n">
        <v>346738.8625604006</v>
      </c>
      <c r="R51" s="131" t="n">
        <v>347460.7252408103</v>
      </c>
      <c r="S51" s="131" t="n">
        <v>348095.3894672017</v>
      </c>
      <c r="T51" s="131" t="n">
        <v>348657.4780601587</v>
      </c>
      <c r="U51" s="131" t="n">
        <v>349158.5142233418</v>
      </c>
      <c r="V51" s="131" t="n">
        <v>349607.7017684634</v>
      </c>
      <c r="W51" s="131" t="n">
        <v>350008.5417193404</v>
      </c>
      <c r="X51" s="131" t="n">
        <v>350368.3620601322</v>
      </c>
      <c r="Y51" s="131" t="n">
        <v>350693.0794359914</v>
      </c>
    </row>
    <row r="52">
      <c r="A52" s="145" t="inlineStr">
        <is>
          <t>LTV:CAC Ratio</t>
        </is>
      </c>
      <c r="B52" t="n">
        <v>33.75926156437046</v>
      </c>
      <c r="C52" t="n">
        <v>40.15227312566706</v>
      </c>
      <c r="D52" t="n">
        <v>85.50430545689483</v>
      </c>
      <c r="E52" t="n">
        <v>43.79165000321402</v>
      </c>
      <c r="F52" t="n">
        <v>88.10143809623217</v>
      </c>
      <c r="G52" t="n">
        <v>43.85702650958939</v>
      </c>
      <c r="H52" t="n">
        <v>72.31150292537816</v>
      </c>
      <c r="I52" t="n">
        <v>71.22921949497777</v>
      </c>
      <c r="J52" t="n">
        <v>69.94302691144696</v>
      </c>
      <c r="K52" t="n">
        <v>68.52687735525845</v>
      </c>
      <c r="L52" t="n">
        <v>67.02226099802272</v>
      </c>
      <c r="M52" t="n">
        <v>65.4573387920977</v>
      </c>
      <c r="N52" t="n">
        <v>0</v>
      </c>
      <c r="O52" t="n">
        <v>68.44303316601986</v>
      </c>
      <c r="P52" t="n">
        <v>99.94888507177819</v>
      </c>
      <c r="Q52" t="n">
        <v>64.8333143274874</v>
      </c>
      <c r="R52" t="n">
        <v>63.05157526997965</v>
      </c>
      <c r="S52" t="n">
        <v>91.93811016862304</v>
      </c>
      <c r="T52" t="n">
        <v>89.33746171834287</v>
      </c>
      <c r="U52" t="n">
        <v>57.85289398503055</v>
      </c>
      <c r="V52" t="n">
        <v>84.26667928411347</v>
      </c>
      <c r="W52" t="n">
        <v>81.82663439528611</v>
      </c>
      <c r="X52" t="n">
        <v>79.45817275505668</v>
      </c>
      <c r="Y52" t="n">
        <v>77.15991049597679</v>
      </c>
    </row>
    <row r="53">
      <c r="A53" s="145" t="inlineStr">
        <is>
          <t>Net Revenue Retention</t>
        </is>
      </c>
      <c r="B53" s="130" t="n">
        <v>1</v>
      </c>
      <c r="C53" s="130" t="n">
        <v>1.572565632458234</v>
      </c>
      <c r="D53" s="130" t="n">
        <v>1.399003612053331</v>
      </c>
      <c r="E53" s="130" t="n">
        <v>1.306881897414976</v>
      </c>
      <c r="F53" s="130" t="n">
        <v>1.252737481768193</v>
      </c>
      <c r="G53" s="130" t="n">
        <v>1.217198572614558</v>
      </c>
      <c r="H53" s="130" t="n">
        <v>1.187502105794874</v>
      </c>
      <c r="I53" s="130" t="n">
        <v>1.166725783930523</v>
      </c>
      <c r="J53" s="130" t="n">
        <v>1.150925760524083</v>
      </c>
      <c r="K53" s="130" t="n">
        <v>1.137164793248921</v>
      </c>
      <c r="L53" s="130" t="n">
        <v>1.12619107186909</v>
      </c>
      <c r="M53" s="130" t="n">
        <v>1.117247847483094</v>
      </c>
      <c r="N53" s="130" t="n">
        <v>1.109829482373836</v>
      </c>
      <c r="O53" s="130" t="n">
        <v>1.103585263704105</v>
      </c>
      <c r="P53" s="130" t="n">
        <v>1.09826428357978</v>
      </c>
      <c r="Q53" s="130" t="n">
        <v>1.092732933906881</v>
      </c>
      <c r="R53" s="130" t="n">
        <v>1.087968295524903</v>
      </c>
      <c r="S53" s="130" t="n">
        <v>1.083825252948892</v>
      </c>
      <c r="T53" s="130" t="n">
        <v>1.080193104296725</v>
      </c>
      <c r="U53" s="130" t="n">
        <v>1.07698592919361</v>
      </c>
      <c r="V53" s="130" t="n">
        <v>1.0741360203712</v>
      </c>
      <c r="W53" s="130" t="n">
        <v>1.070843248356769</v>
      </c>
      <c r="X53" s="130" t="n">
        <v>1.067912354519606</v>
      </c>
      <c r="Y53" s="130" t="n">
        <v>1.065288364473919</v>
      </c>
    </row>
    <row r="54">
      <c r="A54" t="inlineStr">
        <is>
          <t>Gross Revenue Retention</t>
        </is>
      </c>
      <c r="B54" s="130" t="n">
        <v>0.995</v>
      </c>
      <c r="C54" s="130" t="n">
        <v>0.995</v>
      </c>
      <c r="D54" s="130" t="n">
        <v>0.995</v>
      </c>
      <c r="E54" s="130" t="n">
        <v>0.995</v>
      </c>
      <c r="F54" s="130" t="n">
        <v>0.995</v>
      </c>
      <c r="G54" s="130" t="n">
        <v>0.995</v>
      </c>
      <c r="H54" s="130" t="n">
        <v>0.994</v>
      </c>
      <c r="I54" s="130" t="n">
        <v>0.994</v>
      </c>
      <c r="J54" s="130" t="n">
        <v>0.994</v>
      </c>
      <c r="K54" s="130" t="n">
        <v>0.994</v>
      </c>
      <c r="L54" s="130" t="n">
        <v>0.994</v>
      </c>
      <c r="M54" s="130" t="n">
        <v>0.994</v>
      </c>
      <c r="N54" s="130" t="n">
        <v>0.994</v>
      </c>
      <c r="O54" s="130" t="n">
        <v>0.994</v>
      </c>
      <c r="P54" s="130" t="n">
        <v>0.994</v>
      </c>
      <c r="Q54" s="130" t="n">
        <v>0.994</v>
      </c>
      <c r="R54" s="130" t="n">
        <v>0.994</v>
      </c>
      <c r="S54" s="130" t="n">
        <v>0.994</v>
      </c>
      <c r="T54" s="130" t="n">
        <v>0.994</v>
      </c>
      <c r="U54" s="130" t="n">
        <v>0.994</v>
      </c>
      <c r="V54" s="130" t="n">
        <v>0.994</v>
      </c>
      <c r="W54" s="130" t="n">
        <v>0.994</v>
      </c>
      <c r="X54" s="130" t="n">
        <v>0.994</v>
      </c>
      <c r="Y54" s="130" t="n">
        <v>0.994</v>
      </c>
    </row>
    <row r="55">
      <c r="A55" s="145" t="inlineStr">
        <is>
          <t>Rule of 40</t>
        </is>
      </c>
      <c r="B55" s="130" t="n">
        <v>-7.769474940334129</v>
      </c>
      <c r="C55" s="130" t="n">
        <v>2.261479039707866</v>
      </c>
      <c r="D55" s="130" t="n">
        <v>1.752872294159119</v>
      </c>
      <c r="E55" s="130" t="n">
        <v>1.573816453305405</v>
      </c>
      <c r="F55" s="130" t="n">
        <v>1.533114014860127</v>
      </c>
      <c r="G55" s="130" t="n">
        <v>0.9922657065614069</v>
      </c>
      <c r="H55" s="130" t="n">
        <v>1.034456689494804</v>
      </c>
      <c r="I55" s="130" t="n">
        <v>1.088885796752042</v>
      </c>
      <c r="J55" s="130" t="n">
        <v>1.138188947680212</v>
      </c>
      <c r="K55" s="130" t="n">
        <v>1.163989138757368</v>
      </c>
      <c r="L55" s="130" t="n">
        <v>1.18827846398472</v>
      </c>
      <c r="M55" s="130" t="n">
        <v>1.21067139084901</v>
      </c>
      <c r="N55" s="130" t="n">
        <v>1.231131486935857</v>
      </c>
      <c r="O55" s="130" t="n">
        <v>1.249765088852632</v>
      </c>
      <c r="P55" s="130" t="n">
        <v>1.266729947743614</v>
      </c>
      <c r="Q55" s="130" t="n">
        <v>1.270148855982139</v>
      </c>
      <c r="R55" s="130" t="n">
        <v>1.273828844312148</v>
      </c>
      <c r="S55" s="130" t="n">
        <v>1.277616835554718</v>
      </c>
      <c r="T55" s="130" t="n">
        <v>1.281417164073513</v>
      </c>
      <c r="U55" s="130" t="n">
        <v>1.285170233342149</v>
      </c>
      <c r="V55" s="130" t="n">
        <v>1.288839470936229</v>
      </c>
      <c r="W55" s="130" t="n">
        <v>1.283118472221819</v>
      </c>
      <c r="X55" s="130" t="n">
        <v>1.278281909342216</v>
      </c>
      <c r="Y55" s="130" t="n">
        <v>1.274168884369352</v>
      </c>
    </row>
    <row r="57">
      <c r="A57" s="143" t="inlineStr">
        <is>
          <t>CASH &amp; RUNWAY ($1M Raise)</t>
        </is>
      </c>
      <c r="B57" s="128" t="n"/>
      <c r="C57" s="128" t="n"/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128" t="n"/>
      <c r="N57" s="128" t="n"/>
      <c r="O57" s="128" t="n"/>
      <c r="P57" s="128" t="n"/>
      <c r="Q57" s="128" t="n"/>
      <c r="R57" s="128" t="n"/>
      <c r="S57" s="128" t="n"/>
      <c r="T57" s="128" t="n"/>
      <c r="U57" s="128" t="n"/>
      <c r="V57" s="128" t="n"/>
      <c r="W57" s="128" t="n"/>
      <c r="X57" s="128" t="n"/>
      <c r="Y57" s="128" t="n"/>
      <c r="Z57" s="128" t="n"/>
      <c r="AA57" s="128" t="n"/>
    </row>
    <row r="58">
      <c r="A58" t="inlineStr">
        <is>
          <t>Monthly Burn (neg=profit)</t>
        </is>
      </c>
      <c r="B58" s="131" t="n">
        <v>32554.1</v>
      </c>
      <c r="C58" s="131" t="n">
        <v>30370.9645</v>
      </c>
      <c r="D58" s="131" t="n">
        <v>27978.5246775</v>
      </c>
      <c r="E58" s="131" t="n">
        <v>25404.25345411251</v>
      </c>
      <c r="F58" s="131" t="n">
        <v>22633.55649884194</v>
      </c>
      <c r="G58" s="131" t="n">
        <v>29650.67217330773</v>
      </c>
      <c r="H58" s="131" t="n">
        <v>26516.32550464548</v>
      </c>
      <c r="I58" s="131" t="n">
        <v>23206.70623785787</v>
      </c>
      <c r="J58" s="131" t="n">
        <v>19711.22128784539</v>
      </c>
      <c r="K58" s="131" t="n">
        <v>16054.98691190372</v>
      </c>
      <c r="L58" s="131" t="n">
        <v>12229.88148980697</v>
      </c>
      <c r="M58" s="131" t="n">
        <v>8227.377825211537</v>
      </c>
      <c r="N58" s="131" t="n">
        <v>4038.52286382085</v>
      </c>
      <c r="O58" s="131" t="n">
        <v>-346.0836025234676</v>
      </c>
      <c r="P58" s="131" t="n">
        <v>-4936.311296527805</v>
      </c>
      <c r="Q58" s="131" t="n">
        <v>-9693.817872192878</v>
      </c>
      <c r="R58" s="131" t="n">
        <v>-14625.39246614173</v>
      </c>
      <c r="S58" s="131" t="n">
        <v>-19738.09519257415</v>
      </c>
      <c r="T58" s="131" t="n">
        <v>-25039.26798589718</v>
      </c>
      <c r="U58" s="131" t="n">
        <v>-30536.5458770394</v>
      </c>
      <c r="V58" s="131" t="n">
        <v>-36237.86872079708</v>
      </c>
      <c r="W58" s="131" t="n">
        <v>-42089.86595106281</v>
      </c>
      <c r="X58" s="131" t="n">
        <v>-48097.17999122465</v>
      </c>
      <c r="Y58" s="131" t="n">
        <v>-54264.59180422156</v>
      </c>
    </row>
    <row r="59">
      <c r="A59" s="145" t="inlineStr">
        <is>
          <t>Cumulative Cash</t>
        </is>
      </c>
      <c r="B59" s="131" t="n">
        <v>967445.9</v>
      </c>
      <c r="C59" s="131" t="n">
        <v>937074.9355</v>
      </c>
      <c r="D59" s="131" t="n">
        <v>909096.4108225</v>
      </c>
      <c r="E59" s="131" t="n">
        <v>883692.1573683876</v>
      </c>
      <c r="F59" s="131" t="n">
        <v>861058.6008695456</v>
      </c>
      <c r="G59" s="131" t="n">
        <v>831407.9286962379</v>
      </c>
      <c r="H59" s="131" t="n">
        <v>804891.6031915924</v>
      </c>
      <c r="I59" s="131" t="n">
        <v>781684.8969537346</v>
      </c>
      <c r="J59" s="131" t="n">
        <v>761973.6756658892</v>
      </c>
      <c r="K59" s="131" t="n">
        <v>745918.6887539855</v>
      </c>
      <c r="L59" s="131" t="n">
        <v>733688.8072641785</v>
      </c>
      <c r="M59" s="131" t="n">
        <v>725461.429438967</v>
      </c>
      <c r="N59" s="131" t="n">
        <v>721422.9065751461</v>
      </c>
      <c r="O59" s="131" t="n">
        <v>721768.9901776696</v>
      </c>
      <c r="P59" s="131" t="n">
        <v>726705.3014741974</v>
      </c>
      <c r="Q59" s="131" t="n">
        <v>736399.1193463902</v>
      </c>
      <c r="R59" s="131" t="n">
        <v>751024.511812532</v>
      </c>
      <c r="S59" s="131" t="n">
        <v>770762.6070051062</v>
      </c>
      <c r="T59" s="131" t="n">
        <v>795801.8749910033</v>
      </c>
      <c r="U59" s="131" t="n">
        <v>826338.4208680427</v>
      </c>
      <c r="V59" s="131" t="n">
        <v>862576.2895888399</v>
      </c>
      <c r="W59" s="131" t="n">
        <v>904666.1555399026</v>
      </c>
      <c r="X59" s="131" t="n">
        <v>952763.3355311273</v>
      </c>
      <c r="Y59" s="131" t="n">
        <v>1007027.927335349</v>
      </c>
    </row>
    <row r="60">
      <c r="A60" t="inlineStr">
        <is>
          <t>Runway (months)</t>
        </is>
      </c>
      <c r="B60" t="n">
        <v>29.7180969524576</v>
      </c>
      <c r="C60" t="n">
        <v>30.85430281609924</v>
      </c>
      <c r="D60" t="n">
        <v>32.49265003431667</v>
      </c>
      <c r="E60" t="n">
        <v>34.78520472820008</v>
      </c>
      <c r="F60" t="n">
        <v>38.04345114359743</v>
      </c>
      <c r="G60" t="n">
        <v>28.04010390849392</v>
      </c>
      <c r="H60" t="n">
        <v>30.35456790763037</v>
      </c>
      <c r="I60" t="n">
        <v>33.68357788226517</v>
      </c>
      <c r="J60" t="n">
        <v>38.6568475153667</v>
      </c>
      <c r="K60" t="n">
        <v>46.46024894613497</v>
      </c>
      <c r="L60" t="n">
        <v>59.99148952307295</v>
      </c>
      <c r="M60" t="n">
        <v>88.17650591126394</v>
      </c>
      <c r="N60" t="n">
        <v>178.6353404206327</v>
      </c>
      <c r="O60" t="n">
        <v>99</v>
      </c>
      <c r="P60" t="n">
        <v>99</v>
      </c>
      <c r="Q60" t="n">
        <v>99</v>
      </c>
      <c r="R60" t="n">
        <v>99</v>
      </c>
      <c r="S60" t="n">
        <v>99</v>
      </c>
      <c r="T60" t="n">
        <v>99</v>
      </c>
      <c r="U60" t="n">
        <v>99</v>
      </c>
      <c r="V60" t="n">
        <v>99</v>
      </c>
      <c r="W60" t="n">
        <v>99</v>
      </c>
      <c r="X60" t="n">
        <v>99</v>
      </c>
      <c r="Y60" t="n">
        <v>99</v>
      </c>
    </row>
    <row r="62">
      <c r="A62" s="134" t="inlineStr">
        <is>
          <t>EBITDA Breakeven: Month 14 (Feb-2027)</t>
        </is>
      </c>
    </row>
  </sheetData>
  <mergeCells count="3">
    <mergeCell ref="B4:M4"/>
    <mergeCell ref="A1:F1"/>
    <mergeCell ref="N4:Y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selection activeCell="A1" sqref="A1"/>
    </sheetView>
  </sheetViews>
  <sheetFormatPr baseColWidth="8" defaultRowHeight="15"/>
  <cols>
    <col width="32" customWidth="1" style="114" min="1" max="1"/>
    <col width="12" customWidth="1" style="114" min="2" max="2"/>
    <col width="12" customWidth="1" style="114" min="3" max="3"/>
    <col width="12" customWidth="1" style="114" min="4" max="4"/>
    <col width="12" customWidth="1" style="114" min="5" max="5"/>
    <col width="12" customWidth="1" style="114" min="6" max="6"/>
    <col width="12" customWidth="1" style="114" min="7" max="7"/>
    <col width="12" customWidth="1" style="114" min="8" max="8"/>
    <col width="12" customWidth="1" style="114" min="9" max="9"/>
    <col width="12" customWidth="1" style="114" min="10" max="10"/>
    <col width="12" customWidth="1" style="114" min="11" max="11"/>
    <col width="12" customWidth="1" style="114" min="12" max="12"/>
    <col width="12" customWidth="1" style="114" min="13" max="13"/>
    <col width="12" customWidth="1" style="114" min="14" max="14"/>
    <col width="12" customWidth="1" style="114" min="15" max="15"/>
    <col width="12" customWidth="1" style="114" min="16" max="16"/>
    <col width="12" customWidth="1" style="114" min="17" max="17"/>
    <col width="12" customWidth="1" style="114" min="18" max="18"/>
    <col width="12" customWidth="1" style="114" min="19" max="19"/>
    <col width="12" customWidth="1" style="114" min="20" max="20"/>
    <col width="12" customWidth="1" style="114" min="21" max="21"/>
    <col width="12" customWidth="1" style="114" min="22" max="22"/>
    <col width="12" customWidth="1" style="114" min="23" max="23"/>
    <col width="12" customWidth="1" style="114" min="24" max="24"/>
    <col width="12" customWidth="1" style="114" min="25" max="25"/>
    <col width="14" customWidth="1" style="114" min="26" max="26"/>
    <col width="14" customWidth="1" style="114" min="27" max="27"/>
  </cols>
  <sheetData>
    <row r="1">
      <c r="A1" s="121" t="inlineStr">
        <is>
          <t>GuardSpine SaaS P&amp;L -- Bull Case (AI Adoption Wave)</t>
        </is>
      </c>
    </row>
    <row r="2">
      <c r="A2" s="140" t="inlineStr">
        <is>
          <t>Generated: Feb 18, 2026 | $1M raise at $9M pre / $10M post</t>
        </is>
      </c>
    </row>
    <row r="4">
      <c r="A4" s="123" t="inlineStr">
        <is>
          <t>Metric</t>
        </is>
      </c>
      <c r="B4" s="123" t="inlineStr">
        <is>
          <t>Year 1</t>
        </is>
      </c>
      <c r="N4" s="123" t="inlineStr">
        <is>
          <t>Year 2</t>
        </is>
      </c>
      <c r="Z4" s="123" t="inlineStr">
        <is>
          <t>Y1 Total</t>
        </is>
      </c>
      <c r="AA4" s="123" t="inlineStr">
        <is>
          <t>Y2 Total</t>
        </is>
      </c>
    </row>
    <row r="5">
      <c r="A5" s="123" t="inlineStr">
        <is>
          <t>Month</t>
        </is>
      </c>
      <c r="B5" s="142" t="inlineStr">
        <is>
          <t>Jan-2026</t>
        </is>
      </c>
      <c r="C5" s="142" t="inlineStr">
        <is>
          <t>Feb-2026</t>
        </is>
      </c>
      <c r="D5" s="142" t="inlineStr">
        <is>
          <t>Mar-2026</t>
        </is>
      </c>
      <c r="E5" s="142" t="inlineStr">
        <is>
          <t>Apr-2026</t>
        </is>
      </c>
      <c r="F5" s="142" t="inlineStr">
        <is>
          <t>May-2026</t>
        </is>
      </c>
      <c r="G5" s="142" t="inlineStr">
        <is>
          <t>Jun-2026</t>
        </is>
      </c>
      <c r="H5" s="142" t="inlineStr">
        <is>
          <t>Jul-2026</t>
        </is>
      </c>
      <c r="I5" s="142" t="inlineStr">
        <is>
          <t>Aug-2026</t>
        </is>
      </c>
      <c r="J5" s="142" t="inlineStr">
        <is>
          <t>Sep-2026</t>
        </is>
      </c>
      <c r="K5" s="142" t="inlineStr">
        <is>
          <t>Oct-2026</t>
        </is>
      </c>
      <c r="L5" s="142" t="inlineStr">
        <is>
          <t>Nov-2026</t>
        </is>
      </c>
      <c r="M5" s="142" t="inlineStr">
        <is>
          <t>Dec-2026</t>
        </is>
      </c>
      <c r="N5" s="142" t="inlineStr">
        <is>
          <t>Jan-2027</t>
        </is>
      </c>
      <c r="O5" s="142" t="inlineStr">
        <is>
          <t>Feb-2027</t>
        </is>
      </c>
      <c r="P5" s="142" t="inlineStr">
        <is>
          <t>Mar-2027</t>
        </is>
      </c>
      <c r="Q5" s="142" t="inlineStr">
        <is>
          <t>Apr-2027</t>
        </is>
      </c>
      <c r="R5" s="142" t="inlineStr">
        <is>
          <t>May-2027</t>
        </is>
      </c>
      <c r="S5" s="142" t="inlineStr">
        <is>
          <t>Jun-2027</t>
        </is>
      </c>
      <c r="T5" s="142" t="inlineStr">
        <is>
          <t>Jul-2027</t>
        </is>
      </c>
      <c r="U5" s="142" t="inlineStr">
        <is>
          <t>Aug-2027</t>
        </is>
      </c>
      <c r="V5" s="142" t="inlineStr">
        <is>
          <t>Sep-2027</t>
        </is>
      </c>
      <c r="W5" s="142" t="inlineStr">
        <is>
          <t>Oct-2027</t>
        </is>
      </c>
      <c r="X5" s="142" t="inlineStr">
        <is>
          <t>Nov-2027</t>
        </is>
      </c>
      <c r="Y5" s="142" t="inlineStr">
        <is>
          <t>Dec-2027</t>
        </is>
      </c>
    </row>
    <row r="6">
      <c r="A6" t="inlineStr">
        <is>
          <t>Month #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  <c r="N6" t="n">
        <v>13</v>
      </c>
      <c r="O6" t="n">
        <v>14</v>
      </c>
      <c r="P6" t="n">
        <v>15</v>
      </c>
      <c r="Q6" t="n">
        <v>16</v>
      </c>
      <c r="R6" t="n">
        <v>17</v>
      </c>
      <c r="S6" t="n">
        <v>18</v>
      </c>
      <c r="T6" t="n">
        <v>19</v>
      </c>
      <c r="U6" t="n">
        <v>20</v>
      </c>
      <c r="V6" t="n">
        <v>21</v>
      </c>
      <c r="W6" t="n">
        <v>22</v>
      </c>
      <c r="X6" t="n">
        <v>23</v>
      </c>
      <c r="Y6" t="n">
        <v>24</v>
      </c>
    </row>
    <row r="8">
      <c r="A8" s="143" t="inlineStr">
        <is>
          <t>REVENUE</t>
        </is>
      </c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28" t="n"/>
      <c r="U8" s="128" t="n"/>
      <c r="V8" s="128" t="n"/>
      <c r="W8" s="128" t="n"/>
      <c r="X8" s="128" t="n"/>
      <c r="Y8" s="128" t="n"/>
      <c r="Z8" s="128" t="n"/>
      <c r="AA8" s="128" t="n"/>
    </row>
    <row r="9">
      <c r="A9" t="inlineStr">
        <is>
          <t>Avg Price / Customer</t>
        </is>
      </c>
      <c r="B9" s="131" t="n">
        <v>3500</v>
      </c>
      <c r="C9" s="131" t="n">
        <v>3500</v>
      </c>
      <c r="D9" s="131" t="n">
        <v>3500</v>
      </c>
      <c r="E9" s="131" t="n">
        <v>3500</v>
      </c>
      <c r="F9" s="131" t="n">
        <v>3500</v>
      </c>
      <c r="G9" s="131" t="n">
        <v>3500</v>
      </c>
      <c r="H9" s="131" t="n">
        <v>3500</v>
      </c>
      <c r="I9" s="131" t="n">
        <v>3500</v>
      </c>
      <c r="J9" s="131" t="n">
        <v>3500</v>
      </c>
      <c r="K9" s="131" t="n">
        <v>3500</v>
      </c>
      <c r="L9" s="131" t="n">
        <v>3500</v>
      </c>
      <c r="M9" s="131" t="n">
        <v>3500</v>
      </c>
      <c r="N9" s="131" t="n">
        <v>4200</v>
      </c>
      <c r="O9" s="131" t="n">
        <v>4200</v>
      </c>
      <c r="P9" s="131" t="n">
        <v>4200</v>
      </c>
      <c r="Q9" s="131" t="n">
        <v>4200</v>
      </c>
      <c r="R9" s="131" t="n">
        <v>4200</v>
      </c>
      <c r="S9" s="131" t="n">
        <v>4200</v>
      </c>
      <c r="T9" s="131" t="n">
        <v>4200</v>
      </c>
      <c r="U9" s="131" t="n">
        <v>4200</v>
      </c>
      <c r="V9" s="131" t="n">
        <v>4200</v>
      </c>
      <c r="W9" s="131" t="n">
        <v>4200</v>
      </c>
      <c r="X9" s="131" t="n">
        <v>4200</v>
      </c>
      <c r="Y9" s="131" t="n">
        <v>4200</v>
      </c>
    </row>
    <row r="10">
      <c r="A10" t="inlineStr">
        <is>
          <t>Customers</t>
        </is>
      </c>
      <c r="B10" s="131" t="n">
        <v>4</v>
      </c>
      <c r="C10" s="131" t="n">
        <v>7</v>
      </c>
      <c r="D10" s="131" t="n">
        <v>10</v>
      </c>
      <c r="E10" s="131" t="n">
        <v>14</v>
      </c>
      <c r="F10" s="131" t="n">
        <v>18</v>
      </c>
      <c r="G10" s="131" t="n">
        <v>23</v>
      </c>
      <c r="H10" s="131" t="n">
        <v>29</v>
      </c>
      <c r="I10" s="131" t="n">
        <v>35</v>
      </c>
      <c r="J10" s="131" t="n">
        <v>42</v>
      </c>
      <c r="K10" s="131" t="n">
        <v>50</v>
      </c>
      <c r="L10" s="131" t="n">
        <v>59</v>
      </c>
      <c r="M10" s="131" t="n">
        <v>69</v>
      </c>
      <c r="N10" s="131" t="n">
        <v>66</v>
      </c>
      <c r="O10" s="131" t="n">
        <v>76</v>
      </c>
      <c r="P10" s="131" t="n">
        <v>87</v>
      </c>
      <c r="Q10" s="131" t="n">
        <v>98</v>
      </c>
      <c r="R10" s="131" t="n">
        <v>111</v>
      </c>
      <c r="S10" s="131" t="n">
        <v>125</v>
      </c>
      <c r="T10" s="131" t="n">
        <v>140</v>
      </c>
      <c r="U10" s="131" t="n">
        <v>156</v>
      </c>
      <c r="V10" s="131" t="n">
        <v>173</v>
      </c>
      <c r="W10" s="131" t="n">
        <v>192</v>
      </c>
      <c r="X10" s="131" t="n">
        <v>212</v>
      </c>
      <c r="Y10" s="131" t="n">
        <v>233</v>
      </c>
    </row>
    <row r="11">
      <c r="A11" t="inlineStr">
        <is>
          <t>New Customers</t>
        </is>
      </c>
      <c r="B11" s="131" t="n">
        <v>2</v>
      </c>
      <c r="C11" s="131" t="n">
        <v>3</v>
      </c>
      <c r="D11" s="131" t="n">
        <v>3</v>
      </c>
      <c r="E11" s="131" t="n">
        <v>4</v>
      </c>
      <c r="F11" s="131" t="n">
        <v>4</v>
      </c>
      <c r="G11" s="131" t="n">
        <v>5</v>
      </c>
      <c r="H11" s="131" t="n">
        <v>6</v>
      </c>
      <c r="I11" s="131" t="n">
        <v>6</v>
      </c>
      <c r="J11" s="131" t="n">
        <v>7</v>
      </c>
      <c r="K11" s="131" t="n">
        <v>8</v>
      </c>
      <c r="L11" s="131" t="n">
        <v>9</v>
      </c>
      <c r="M11" s="131" t="n">
        <v>10</v>
      </c>
      <c r="N11" s="131" t="n">
        <v>0</v>
      </c>
      <c r="O11" s="131" t="n">
        <v>10</v>
      </c>
      <c r="P11" s="131" t="n">
        <v>11</v>
      </c>
      <c r="Q11" s="131" t="n">
        <v>11</v>
      </c>
      <c r="R11" s="131" t="n">
        <v>13</v>
      </c>
      <c r="S11" s="131" t="n">
        <v>14</v>
      </c>
      <c r="T11" s="131" t="n">
        <v>15</v>
      </c>
      <c r="U11" s="131" t="n">
        <v>16</v>
      </c>
      <c r="V11" s="131" t="n">
        <v>17</v>
      </c>
      <c r="W11" s="131" t="n">
        <v>19</v>
      </c>
      <c r="X11" s="131" t="n">
        <v>20</v>
      </c>
      <c r="Y11" s="131" t="n">
        <v>21</v>
      </c>
    </row>
    <row r="12">
      <c r="A12" t="inlineStr">
        <is>
          <t>Gross MRR</t>
        </is>
      </c>
      <c r="B12" s="131" t="n">
        <v>15246</v>
      </c>
      <c r="C12" s="131" t="n">
        <v>24962.308</v>
      </c>
      <c r="D12" s="131" t="n">
        <v>36413.607384</v>
      </c>
      <c r="E12" s="131" t="n">
        <v>49567.187769232</v>
      </c>
      <c r="F12" s="131" t="n">
        <v>64678.42213369352</v>
      </c>
      <c r="G12" s="131" t="n">
        <v>82040.98934042612</v>
      </c>
      <c r="H12" s="131" t="n">
        <v>101560.7405500348</v>
      </c>
      <c r="I12" s="131" t="n">
        <v>123591.4961491066</v>
      </c>
      <c r="J12" s="131" t="n">
        <v>148459.766398075</v>
      </c>
      <c r="K12" s="131" t="n">
        <v>176029.7267574122</v>
      </c>
      <c r="L12" s="131" t="n">
        <v>206598.6645981099</v>
      </c>
      <c r="M12" s="131" t="n">
        <v>240496.5685975922</v>
      </c>
      <c r="N12" s="131" t="n">
        <v>277744.5488844037</v>
      </c>
      <c r="O12" s="131" t="n">
        <v>318677.7322296152</v>
      </c>
      <c r="P12" s="131" t="n">
        <v>363664.7577239775</v>
      </c>
      <c r="Q12" s="131" t="n">
        <v>412651.6974240514</v>
      </c>
      <c r="R12" s="131" t="n">
        <v>465998.6903626171</v>
      </c>
      <c r="S12" s="131" t="n">
        <v>524098.2876451426</v>
      </c>
      <c r="T12" s="131" t="n">
        <v>586783.3936041095</v>
      </c>
      <c r="U12" s="131" t="n">
        <v>654421.0363109518</v>
      </c>
      <c r="V12" s="131" t="n">
        <v>727407.6055206859</v>
      </c>
      <c r="W12" s="131" t="n">
        <v>805421.7032850975</v>
      </c>
      <c r="X12" s="131" t="n">
        <v>888815.501196884</v>
      </c>
      <c r="Y12" s="131" t="n">
        <v>977965.82212645</v>
      </c>
      <c r="Z12" s="144" t="n">
        <v>1269645.477677682</v>
      </c>
      <c r="AA12" s="144" t="n">
        <v>7003650.776313986</v>
      </c>
    </row>
    <row r="13">
      <c r="A13" t="inlineStr">
        <is>
          <t>Lost MRR (Churn)</t>
        </is>
      </c>
      <c r="B13" s="131" t="n">
        <v>14</v>
      </c>
      <c r="C13" s="131" t="n">
        <v>30.492</v>
      </c>
      <c r="D13" s="131" t="n">
        <v>49.924616</v>
      </c>
      <c r="E13" s="131" t="n">
        <v>72.827214768</v>
      </c>
      <c r="F13" s="131" t="n">
        <v>99.134375538464</v>
      </c>
      <c r="G13" s="131" t="n">
        <v>129.3568442673871</v>
      </c>
      <c r="H13" s="131" t="n">
        <v>246.1229680212784</v>
      </c>
      <c r="I13" s="131" t="n">
        <v>304.6822216501045</v>
      </c>
      <c r="J13" s="131" t="n">
        <v>370.7744884473198</v>
      </c>
      <c r="K13" s="131" t="n">
        <v>445.379299194225</v>
      </c>
      <c r="L13" s="131" t="n">
        <v>528.0891802722367</v>
      </c>
      <c r="M13" s="131" t="n">
        <v>619.7959937943297</v>
      </c>
      <c r="N13" s="131" t="n">
        <v>721.4897057927766</v>
      </c>
      <c r="O13" s="131" t="n">
        <v>833.2336466532109</v>
      </c>
      <c r="P13" s="131" t="n">
        <v>956.0331966888455</v>
      </c>
      <c r="Q13" s="131" t="n">
        <v>1090.994273171932</v>
      </c>
      <c r="R13" s="131" t="n">
        <v>1237.955092272154</v>
      </c>
      <c r="S13" s="131" t="n">
        <v>1397.996071087852</v>
      </c>
      <c r="T13" s="131" t="n">
        <v>1572.294862935428</v>
      </c>
      <c r="U13" s="131" t="n">
        <v>1760.350180812329</v>
      </c>
      <c r="V13" s="131" t="n">
        <v>1963.263108932855</v>
      </c>
      <c r="W13" s="131" t="n">
        <v>2182.222816562058</v>
      </c>
      <c r="X13" s="131" t="n">
        <v>2416.265109855292</v>
      </c>
      <c r="Y13" s="131" t="n">
        <v>2666.446503590652</v>
      </c>
    </row>
    <row r="14">
      <c r="A14" t="inlineStr">
        <is>
          <t>Net MRR</t>
        </is>
      </c>
      <c r="B14" s="131" t="n">
        <v>15232</v>
      </c>
      <c r="C14" s="131" t="n">
        <v>24931.816</v>
      </c>
      <c r="D14" s="131" t="n">
        <v>36363.68276800001</v>
      </c>
      <c r="E14" s="131" t="n">
        <v>49494.36055446399</v>
      </c>
      <c r="F14" s="131" t="n">
        <v>64579.28775815506</v>
      </c>
      <c r="G14" s="131" t="n">
        <v>81911.63249615874</v>
      </c>
      <c r="H14" s="131" t="n">
        <v>101314.6175820135</v>
      </c>
      <c r="I14" s="131" t="n">
        <v>123286.8139274565</v>
      </c>
      <c r="J14" s="131" t="n">
        <v>148088.9919096277</v>
      </c>
      <c r="K14" s="131" t="n">
        <v>175584.347458218</v>
      </c>
      <c r="L14" s="131" t="n">
        <v>206070.5754178377</v>
      </c>
      <c r="M14" s="131" t="n">
        <v>239876.7726037978</v>
      </c>
      <c r="N14" s="131" t="n">
        <v>277023.0591786109</v>
      </c>
      <c r="O14" s="131" t="n">
        <v>317844.498582962</v>
      </c>
      <c r="P14" s="131" t="n">
        <v>362708.7245272886</v>
      </c>
      <c r="Q14" s="131" t="n">
        <v>411560.7031508794</v>
      </c>
      <c r="R14" s="131" t="n">
        <v>464760.735270345</v>
      </c>
      <c r="S14" s="131" t="n">
        <v>522700.2915740547</v>
      </c>
      <c r="T14" s="131" t="n">
        <v>585211.0987411741</v>
      </c>
      <c r="U14" s="131" t="n">
        <v>652660.6861301395</v>
      </c>
      <c r="V14" s="131" t="n">
        <v>725444.342411753</v>
      </c>
      <c r="W14" s="131" t="n">
        <v>803239.4804685354</v>
      </c>
      <c r="X14" s="131" t="n">
        <v>886399.2360870286</v>
      </c>
      <c r="Y14" s="131" t="n">
        <v>975299.3756228593</v>
      </c>
    </row>
    <row r="15">
      <c r="A15" s="145" t="inlineStr">
        <is>
          <t>ARR (MRR x 12)</t>
        </is>
      </c>
      <c r="B15" s="131" t="n">
        <v>182952</v>
      </c>
      <c r="C15" s="131" t="n">
        <v>299547.696</v>
      </c>
      <c r="D15" s="131" t="n">
        <v>436963.288608</v>
      </c>
      <c r="E15" s="131" t="n">
        <v>594806.253230784</v>
      </c>
      <c r="F15" s="131" t="n">
        <v>776141.0656043222</v>
      </c>
      <c r="G15" s="131" t="n">
        <v>984491.8720851135</v>
      </c>
      <c r="H15" s="131" t="n">
        <v>1218728.886600418</v>
      </c>
      <c r="I15" s="131" t="n">
        <v>1483097.953789279</v>
      </c>
      <c r="J15" s="131" t="n">
        <v>1781517.1967769</v>
      </c>
      <c r="K15" s="131" t="n">
        <v>2112356.721088947</v>
      </c>
      <c r="L15" s="131" t="n">
        <v>2479183.975177319</v>
      </c>
      <c r="M15" s="131" t="n">
        <v>2885958.823171106</v>
      </c>
      <c r="N15" s="131" t="n">
        <v>3332934.586612844</v>
      </c>
      <c r="O15" s="131" t="n">
        <v>3824132.786755382</v>
      </c>
      <c r="P15" s="131" t="n">
        <v>4363977.09268773</v>
      </c>
      <c r="Q15" s="131" t="n">
        <v>4951820.369088616</v>
      </c>
      <c r="R15" s="131" t="n">
        <v>5591984.284351406</v>
      </c>
      <c r="S15" s="131" t="n">
        <v>6289179.451741711</v>
      </c>
      <c r="T15" s="131" t="n">
        <v>7041400.723249314</v>
      </c>
      <c r="U15" s="131" t="n">
        <v>7853052.435731422</v>
      </c>
      <c r="V15" s="131" t="n">
        <v>8728891.26624823</v>
      </c>
      <c r="W15" s="131" t="n">
        <v>9665060.439421169</v>
      </c>
      <c r="X15" s="131" t="n">
        <v>10665786.01436261</v>
      </c>
      <c r="Y15" s="131" t="n">
        <v>11735589.8655174</v>
      </c>
    </row>
    <row r="16">
      <c r="A16" t="inlineStr">
        <is>
          <t>MRR Growth Rate</t>
        </is>
      </c>
      <c r="B16" s="130" t="n">
        <v>0</v>
      </c>
      <c r="C16" s="130" t="n">
        <v>0.6373021120293848</v>
      </c>
      <c r="D16" s="130" t="n">
        <v>0.4587436139318528</v>
      </c>
      <c r="E16" s="130" t="n">
        <v>0.3612270612609402</v>
      </c>
      <c r="F16" s="130" t="n">
        <v>0.3048636617194081</v>
      </c>
      <c r="G16" s="130" t="n">
        <v>0.2684445079820177</v>
      </c>
      <c r="H16" s="130" t="n">
        <v>0.2379268139809017</v>
      </c>
      <c r="I16" s="130" t="n">
        <v>0.2169219668915089</v>
      </c>
      <c r="J16" s="130" t="n">
        <v>0.2012134412465252</v>
      </c>
      <c r="K16" s="130" t="n">
        <v>0.1857066128301189</v>
      </c>
      <c r="L16" s="130" t="n">
        <v>0.1736578156644243</v>
      </c>
      <c r="M16" s="130" t="n">
        <v>0.1640761040998152</v>
      </c>
      <c r="N16" s="130" t="n">
        <v>0.154879466696825</v>
      </c>
      <c r="O16" s="130" t="n">
        <v>0.1473770898821411</v>
      </c>
      <c r="P16" s="130" t="n">
        <v>0.1411677721553136</v>
      </c>
      <c r="Q16" s="130" t="n">
        <v>0.1347035660168508</v>
      </c>
      <c r="R16" s="130" t="n">
        <v>0.1292785011465615</v>
      </c>
      <c r="S16" s="130" t="n">
        <v>0.1246775977789019</v>
      </c>
      <c r="T16" s="130" t="n">
        <v>0.1196056301588413</v>
      </c>
      <c r="U16" s="130" t="n">
        <v>0.1152685018766499</v>
      </c>
      <c r="V16" s="130" t="n">
        <v>0.1115284582249494</v>
      </c>
      <c r="W16" s="130" t="n">
        <v>0.107249494193243</v>
      </c>
      <c r="X16" s="130" t="n">
        <v>0.1035405397838743</v>
      </c>
      <c r="Y16" s="130" t="n">
        <v>0.1003023921269552</v>
      </c>
    </row>
    <row r="18">
      <c r="A18" s="143" t="inlineStr">
        <is>
          <t>COST OF GOODS SOLD</t>
        </is>
      </c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8" t="n"/>
      <c r="U18" s="128" t="n"/>
      <c r="V18" s="128" t="n"/>
      <c r="W18" s="128" t="n"/>
      <c r="X18" s="128" t="n"/>
      <c r="Y18" s="128" t="n"/>
      <c r="Z18" s="128" t="n"/>
      <c r="AA18" s="128" t="n"/>
    </row>
    <row r="19">
      <c r="A19" t="inlineStr">
        <is>
          <t>Payment Processing (3%)</t>
        </is>
      </c>
      <c r="B19" s="131" t="n">
        <v>457.38</v>
      </c>
      <c r="C19" s="131" t="n">
        <v>748.86924</v>
      </c>
      <c r="D19" s="131" t="n">
        <v>1092.40822152</v>
      </c>
      <c r="E19" s="131" t="n">
        <v>1487.01563307696</v>
      </c>
      <c r="F19" s="131" t="n">
        <v>1940.352664010806</v>
      </c>
      <c r="G19" s="131" t="n">
        <v>2461.229680212783</v>
      </c>
      <c r="H19" s="131" t="n">
        <v>3046.822216501045</v>
      </c>
      <c r="I19" s="131" t="n">
        <v>3707.744884473198</v>
      </c>
      <c r="J19" s="131" t="n">
        <v>4453.79299194225</v>
      </c>
      <c r="K19" s="131" t="n">
        <v>5280.891802722366</v>
      </c>
      <c r="L19" s="131" t="n">
        <v>6197.959937943297</v>
      </c>
      <c r="M19" s="131" t="n">
        <v>7214.897057927765</v>
      </c>
      <c r="N19" s="131" t="n">
        <v>8332.33646653211</v>
      </c>
      <c r="O19" s="131" t="n">
        <v>9560.331966888454</v>
      </c>
      <c r="P19" s="131" t="n">
        <v>10909.94273171932</v>
      </c>
      <c r="Q19" s="131" t="n">
        <v>12379.55092272154</v>
      </c>
      <c r="R19" s="131" t="n">
        <v>13979.96071087851</v>
      </c>
      <c r="S19" s="131" t="n">
        <v>15722.94862935428</v>
      </c>
      <c r="T19" s="131" t="n">
        <v>17603.50180812328</v>
      </c>
      <c r="U19" s="131" t="n">
        <v>19632.63108932855</v>
      </c>
      <c r="V19" s="131" t="n">
        <v>21822.22816562058</v>
      </c>
      <c r="W19" s="131" t="n">
        <v>24162.65109855292</v>
      </c>
      <c r="X19" s="131" t="n">
        <v>26664.46503590652</v>
      </c>
      <c r="Y19" s="131" t="n">
        <v>29338.9746637935</v>
      </c>
    </row>
    <row r="20">
      <c r="A20" t="inlineStr">
        <is>
          <t>Hosting &amp; Bandwidth</t>
        </is>
      </c>
      <c r="B20" s="131" t="n">
        <v>1500</v>
      </c>
      <c r="C20" s="131" t="n">
        <v>1500</v>
      </c>
      <c r="D20" s="131" t="n">
        <v>1500</v>
      </c>
      <c r="E20" s="131" t="n">
        <v>1500</v>
      </c>
      <c r="F20" s="131" t="n">
        <v>1500</v>
      </c>
      <c r="G20" s="131" t="n">
        <v>1500</v>
      </c>
      <c r="H20" s="131" t="n">
        <v>1500</v>
      </c>
      <c r="I20" s="131" t="n">
        <v>1500</v>
      </c>
      <c r="J20" s="131" t="n">
        <v>1500</v>
      </c>
      <c r="K20" s="131" t="n">
        <v>1500</v>
      </c>
      <c r="L20" s="131" t="n">
        <v>1500</v>
      </c>
      <c r="M20" s="131" t="n">
        <v>1500</v>
      </c>
      <c r="N20" s="131" t="n">
        <v>1500</v>
      </c>
      <c r="O20" s="131" t="n">
        <v>1500</v>
      </c>
      <c r="P20" s="131" t="n">
        <v>1500</v>
      </c>
      <c r="Q20" s="131" t="n">
        <v>1500</v>
      </c>
      <c r="R20" s="131" t="n">
        <v>1500</v>
      </c>
      <c r="S20" s="131" t="n">
        <v>1500</v>
      </c>
      <c r="T20" s="131" t="n">
        <v>1500</v>
      </c>
      <c r="U20" s="131" t="n">
        <v>1500</v>
      </c>
      <c r="V20" s="131" t="n">
        <v>1500</v>
      </c>
      <c r="W20" s="131" t="n">
        <v>1500</v>
      </c>
      <c r="X20" s="131" t="n">
        <v>1500</v>
      </c>
      <c r="Y20" s="131" t="n">
        <v>1500</v>
      </c>
    </row>
    <row r="21">
      <c r="A21" s="145" t="inlineStr">
        <is>
          <t>Total COGS</t>
        </is>
      </c>
      <c r="B21" s="131" t="n">
        <v>1957.38</v>
      </c>
      <c r="C21" s="131" t="n">
        <v>2248.86924</v>
      </c>
      <c r="D21" s="131" t="n">
        <v>2592.40822152</v>
      </c>
      <c r="E21" s="131" t="n">
        <v>2987.01563307696</v>
      </c>
      <c r="F21" s="131" t="n">
        <v>3440.352664010806</v>
      </c>
      <c r="G21" s="131" t="n">
        <v>3961.229680212783</v>
      </c>
      <c r="H21" s="131" t="n">
        <v>4546.822216501045</v>
      </c>
      <c r="I21" s="131" t="n">
        <v>5207.744884473198</v>
      </c>
      <c r="J21" s="131" t="n">
        <v>5953.79299194225</v>
      </c>
      <c r="K21" s="131" t="n">
        <v>6780.891802722366</v>
      </c>
      <c r="L21" s="131" t="n">
        <v>7697.959937943297</v>
      </c>
      <c r="M21" s="131" t="n">
        <v>8714.897057927765</v>
      </c>
      <c r="N21" s="131" t="n">
        <v>9832.33646653211</v>
      </c>
      <c r="O21" s="131" t="n">
        <v>11060.33196688845</v>
      </c>
      <c r="P21" s="131" t="n">
        <v>12409.94273171932</v>
      </c>
      <c r="Q21" s="131" t="n">
        <v>13879.55092272154</v>
      </c>
      <c r="R21" s="131" t="n">
        <v>15479.96071087851</v>
      </c>
      <c r="S21" s="131" t="n">
        <v>17222.94862935428</v>
      </c>
      <c r="T21" s="131" t="n">
        <v>19103.50180812328</v>
      </c>
      <c r="U21" s="131" t="n">
        <v>21132.63108932855</v>
      </c>
      <c r="V21" s="131" t="n">
        <v>23322.22816562058</v>
      </c>
      <c r="W21" s="131" t="n">
        <v>25662.65109855292</v>
      </c>
      <c r="X21" s="131" t="n">
        <v>28164.46503590652</v>
      </c>
      <c r="Y21" s="131" t="n">
        <v>30838.9746637935</v>
      </c>
      <c r="Z21" s="144" t="n">
        <v>56089.36433033047</v>
      </c>
      <c r="AA21" s="144" t="n">
        <v>228109.5232894196</v>
      </c>
    </row>
    <row r="22">
      <c r="A22" t="inlineStr">
        <is>
          <t>COGS % of Revenue</t>
        </is>
      </c>
      <c r="B22" s="130" t="n">
        <v>0.1283864620228257</v>
      </c>
      <c r="C22" s="130" t="n">
        <v>0.09009059739187578</v>
      </c>
      <c r="D22" s="130" t="n">
        <v>0.07119339191477893</v>
      </c>
      <c r="E22" s="130" t="n">
        <v>0.06026195488401502</v>
      </c>
      <c r="F22" s="130" t="n">
        <v>0.05319166037939864</v>
      </c>
      <c r="G22" s="130" t="n">
        <v>0.048283543531829</v>
      </c>
      <c r="H22" s="130" t="n">
        <v>0.04476948663308546</v>
      </c>
      <c r="I22" s="130" t="n">
        <v>0.04213675735578384</v>
      </c>
      <c r="J22" s="130" t="n">
        <v>0.0401037475431421</v>
      </c>
      <c r="K22" s="130" t="n">
        <v>0.03852128800987779</v>
      </c>
      <c r="L22" s="130" t="n">
        <v>0.03726045351221367</v>
      </c>
      <c r="M22" s="130" t="n">
        <v>0.03623709522654294</v>
      </c>
      <c r="N22" s="130" t="n">
        <v>0.03540064604696993</v>
      </c>
      <c r="O22" s="130" t="n">
        <v>0.03470694952391343</v>
      </c>
      <c r="P22" s="130" t="n">
        <v>0.03412467792971708</v>
      </c>
      <c r="Q22" s="130" t="n">
        <v>0.03363502685040106</v>
      </c>
      <c r="R22" s="130" t="n">
        <v>0.03321889316648674</v>
      </c>
      <c r="S22" s="130" t="n">
        <v>0.03286205857824825</v>
      </c>
      <c r="T22" s="130" t="n">
        <v>0.03255630956218235</v>
      </c>
      <c r="U22" s="130" t="n">
        <v>0.03229210235730758</v>
      </c>
      <c r="V22" s="130" t="n">
        <v>0.03206211756464422</v>
      </c>
      <c r="W22" s="130" t="n">
        <v>0.03186237842099598</v>
      </c>
      <c r="X22" s="130" t="n">
        <v>0.03168763933345007</v>
      </c>
      <c r="Y22" s="130" t="n">
        <v>0.03153379593239614</v>
      </c>
    </row>
    <row r="24">
      <c r="A24" s="143" t="inlineStr">
        <is>
          <t>GROSS PROFIT</t>
        </is>
      </c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8" t="n"/>
      <c r="P24" s="128" t="n"/>
      <c r="Q24" s="128" t="n"/>
      <c r="R24" s="128" t="n"/>
      <c r="S24" s="128" t="n"/>
      <c r="T24" s="128" t="n"/>
      <c r="U24" s="128" t="n"/>
      <c r="V24" s="128" t="n"/>
      <c r="W24" s="128" t="n"/>
      <c r="X24" s="128" t="n"/>
      <c r="Y24" s="128" t="n"/>
      <c r="Z24" s="128" t="n"/>
      <c r="AA24" s="128" t="n"/>
    </row>
    <row r="25">
      <c r="A25" s="145" t="inlineStr">
        <is>
          <t>Gross Profit</t>
        </is>
      </c>
      <c r="B25" s="131" t="n">
        <v>13288.62</v>
      </c>
      <c r="C25" s="131" t="n">
        <v>22713.43876</v>
      </c>
      <c r="D25" s="131" t="n">
        <v>33821.19916248</v>
      </c>
      <c r="E25" s="131" t="n">
        <v>46580.17213615504</v>
      </c>
      <c r="F25" s="131" t="n">
        <v>61238.06946968272</v>
      </c>
      <c r="G25" s="131" t="n">
        <v>78079.75966021334</v>
      </c>
      <c r="H25" s="131" t="n">
        <v>97013.91833353377</v>
      </c>
      <c r="I25" s="131" t="n">
        <v>118383.7512646334</v>
      </c>
      <c r="J25" s="131" t="n">
        <v>142505.9734061327</v>
      </c>
      <c r="K25" s="131" t="n">
        <v>169248.8349546899</v>
      </c>
      <c r="L25" s="131" t="n">
        <v>198900.7046601666</v>
      </c>
      <c r="M25" s="131" t="n">
        <v>231781.6715396644</v>
      </c>
      <c r="N25" s="131" t="n">
        <v>267912.2124178716</v>
      </c>
      <c r="O25" s="131" t="n">
        <v>307617.4002627267</v>
      </c>
      <c r="P25" s="131" t="n">
        <v>351254.8149922582</v>
      </c>
      <c r="Q25" s="131" t="n">
        <v>398772.1465013298</v>
      </c>
      <c r="R25" s="131" t="n">
        <v>450518.7296517387</v>
      </c>
      <c r="S25" s="131" t="n">
        <v>506875.3390157883</v>
      </c>
      <c r="T25" s="131" t="n">
        <v>567679.8917959862</v>
      </c>
      <c r="U25" s="131" t="n">
        <v>633288.4052216233</v>
      </c>
      <c r="V25" s="131" t="n">
        <v>704085.3773550653</v>
      </c>
      <c r="W25" s="131" t="n">
        <v>779759.0521865445</v>
      </c>
      <c r="X25" s="131" t="n">
        <v>860651.0361609774</v>
      </c>
      <c r="Y25" s="131" t="n">
        <v>947126.8474626566</v>
      </c>
    </row>
    <row r="26">
      <c r="A26" s="145" t="inlineStr">
        <is>
          <t>Gross Margin %</t>
        </is>
      </c>
      <c r="B26" s="130" t="n">
        <v>0.8716135379771742</v>
      </c>
      <c r="C26" s="130" t="n">
        <v>0.9099094026081243</v>
      </c>
      <c r="D26" s="130" t="n">
        <v>0.928806608085221</v>
      </c>
      <c r="E26" s="130" t="n">
        <v>0.9397380451159849</v>
      </c>
      <c r="F26" s="130" t="n">
        <v>0.9468083396206014</v>
      </c>
      <c r="G26" s="130" t="n">
        <v>0.951716456468171</v>
      </c>
      <c r="H26" s="130" t="n">
        <v>0.9552305133669144</v>
      </c>
      <c r="I26" s="130" t="n">
        <v>0.9578632426442162</v>
      </c>
      <c r="J26" s="130" t="n">
        <v>0.9598962524568578</v>
      </c>
      <c r="K26" s="130" t="n">
        <v>0.9614787119901222</v>
      </c>
      <c r="L26" s="130" t="n">
        <v>0.9627395464877864</v>
      </c>
      <c r="M26" s="130" t="n">
        <v>0.9637629047734571</v>
      </c>
      <c r="N26" s="130" t="n">
        <v>0.9645993539530302</v>
      </c>
      <c r="O26" s="130" t="n">
        <v>0.9652930504760866</v>
      </c>
      <c r="P26" s="130" t="n">
        <v>0.9658753220702828</v>
      </c>
      <c r="Q26" s="130" t="n">
        <v>0.9663649731495989</v>
      </c>
      <c r="R26" s="130" t="n">
        <v>0.9667811068335134</v>
      </c>
      <c r="S26" s="130" t="n">
        <v>0.9671379414217517</v>
      </c>
      <c r="T26" s="130" t="n">
        <v>0.9674436904378176</v>
      </c>
      <c r="U26" s="130" t="n">
        <v>0.9677078976426924</v>
      </c>
      <c r="V26" s="130" t="n">
        <v>0.9679378824353557</v>
      </c>
      <c r="W26" s="130" t="n">
        <v>0.968137621579004</v>
      </c>
      <c r="X26" s="130" t="n">
        <v>0.9683123606665499</v>
      </c>
      <c r="Y26" s="130" t="n">
        <v>0.9684662040676039</v>
      </c>
    </row>
    <row r="28">
      <c r="A28" s="143" t="inlineStr">
        <is>
          <t>PERSONNEL</t>
        </is>
      </c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28" t="n"/>
      <c r="U28" s="128" t="n"/>
      <c r="V28" s="128" t="n"/>
      <c r="W28" s="128" t="n"/>
      <c r="X28" s="128" t="n"/>
      <c r="Y28" s="128" t="n"/>
      <c r="Z28" s="128" t="n"/>
      <c r="AA28" s="128" t="n"/>
    </row>
    <row r="29">
      <c r="A29" t="inlineStr">
        <is>
          <t xml:space="preserve">  CEO - David Youssef (G&amp;A)</t>
        </is>
      </c>
      <c r="B29" s="131" t="n">
        <v>10000</v>
      </c>
      <c r="C29" s="131" t="n">
        <v>10000</v>
      </c>
      <c r="D29" s="131" t="n">
        <v>10000</v>
      </c>
      <c r="E29" s="131" t="n">
        <v>10000</v>
      </c>
      <c r="F29" s="131" t="n">
        <v>10000</v>
      </c>
      <c r="G29" s="131" t="n">
        <v>10000</v>
      </c>
      <c r="H29" s="131" t="n">
        <v>10000</v>
      </c>
      <c r="I29" s="131" t="n">
        <v>10000</v>
      </c>
      <c r="J29" s="131" t="n">
        <v>10000</v>
      </c>
      <c r="K29" s="131" t="n">
        <v>10000</v>
      </c>
      <c r="L29" s="131" t="n">
        <v>10000</v>
      </c>
      <c r="M29" s="131" t="n">
        <v>10000</v>
      </c>
      <c r="N29" s="131" t="n">
        <v>10000</v>
      </c>
      <c r="O29" s="131" t="n">
        <v>10000</v>
      </c>
      <c r="P29" s="131" t="n">
        <v>10000</v>
      </c>
      <c r="Q29" s="131" t="n">
        <v>10000</v>
      </c>
      <c r="R29" s="131" t="n">
        <v>10000</v>
      </c>
      <c r="S29" s="131" t="n">
        <v>10000</v>
      </c>
      <c r="T29" s="131" t="n">
        <v>10000</v>
      </c>
      <c r="U29" s="131" t="n">
        <v>10000</v>
      </c>
      <c r="V29" s="131" t="n">
        <v>10000</v>
      </c>
      <c r="W29" s="131" t="n">
        <v>10000</v>
      </c>
      <c r="X29" s="131" t="n">
        <v>10000</v>
      </c>
      <c r="Y29" s="131" t="n">
        <v>10000</v>
      </c>
    </row>
    <row r="30">
      <c r="A30" t="inlineStr">
        <is>
          <t xml:space="preserve">  CTO - Igor Malovitsa (R&amp;D)</t>
        </is>
      </c>
      <c r="B30" s="131" t="n">
        <v>10000</v>
      </c>
      <c r="C30" s="131" t="n">
        <v>10000</v>
      </c>
      <c r="D30" s="131" t="n">
        <v>10000</v>
      </c>
      <c r="E30" s="131" t="n">
        <v>10000</v>
      </c>
      <c r="F30" s="131" t="n">
        <v>10000</v>
      </c>
      <c r="G30" s="131" t="n">
        <v>10000</v>
      </c>
      <c r="H30" s="131" t="n">
        <v>10000</v>
      </c>
      <c r="I30" s="131" t="n">
        <v>10000</v>
      </c>
      <c r="J30" s="131" t="n">
        <v>10000</v>
      </c>
      <c r="K30" s="131" t="n">
        <v>10000</v>
      </c>
      <c r="L30" s="131" t="n">
        <v>10000</v>
      </c>
      <c r="M30" s="131" t="n">
        <v>10000</v>
      </c>
      <c r="N30" s="131" t="n">
        <v>10000</v>
      </c>
      <c r="O30" s="131" t="n">
        <v>10000</v>
      </c>
      <c r="P30" s="131" t="n">
        <v>10000</v>
      </c>
      <c r="Q30" s="131" t="n">
        <v>10000</v>
      </c>
      <c r="R30" s="131" t="n">
        <v>10000</v>
      </c>
      <c r="S30" s="131" t="n">
        <v>10000</v>
      </c>
      <c r="T30" s="131" t="n">
        <v>10000</v>
      </c>
      <c r="U30" s="131" t="n">
        <v>10000</v>
      </c>
      <c r="V30" s="131" t="n">
        <v>10000</v>
      </c>
      <c r="W30" s="131" t="n">
        <v>10000</v>
      </c>
      <c r="X30" s="131" t="n">
        <v>10000</v>
      </c>
      <c r="Y30" s="131" t="n">
        <v>10000</v>
      </c>
    </row>
    <row r="31">
      <c r="A31" t="inlineStr">
        <is>
          <t xml:space="preserve">  GTM - Kristen Hengst Smith (S&amp;M)</t>
        </is>
      </c>
      <c r="B31" s="131" t="n">
        <v>7000</v>
      </c>
      <c r="C31" s="131" t="n">
        <v>7000</v>
      </c>
      <c r="D31" s="131" t="n">
        <v>7000</v>
      </c>
      <c r="E31" s="131" t="n">
        <v>7000</v>
      </c>
      <c r="F31" s="131" t="n">
        <v>7000</v>
      </c>
      <c r="G31" s="131" t="n">
        <v>7000</v>
      </c>
      <c r="H31" s="131" t="n">
        <v>7000</v>
      </c>
      <c r="I31" s="131" t="n">
        <v>7000</v>
      </c>
      <c r="J31" s="131" t="n">
        <v>7000</v>
      </c>
      <c r="K31" s="131" t="n">
        <v>7000</v>
      </c>
      <c r="L31" s="131" t="n">
        <v>7000</v>
      </c>
      <c r="M31" s="131" t="n">
        <v>7000</v>
      </c>
      <c r="N31" s="131" t="n">
        <v>7000</v>
      </c>
      <c r="O31" s="131" t="n">
        <v>7000</v>
      </c>
      <c r="P31" s="131" t="n">
        <v>7000</v>
      </c>
      <c r="Q31" s="131" t="n">
        <v>7000</v>
      </c>
      <c r="R31" s="131" t="n">
        <v>7000</v>
      </c>
      <c r="S31" s="131" t="n">
        <v>7000</v>
      </c>
      <c r="T31" s="131" t="n">
        <v>7000</v>
      </c>
      <c r="U31" s="131" t="n">
        <v>7000</v>
      </c>
      <c r="V31" s="131" t="n">
        <v>7000</v>
      </c>
      <c r="W31" s="131" t="n">
        <v>7000</v>
      </c>
      <c r="X31" s="131" t="n">
        <v>7000</v>
      </c>
      <c r="Y31" s="131" t="n">
        <v>7000</v>
      </c>
    </row>
    <row r="32">
      <c r="A32" t="inlineStr">
        <is>
          <t xml:space="preserve">  Engineer - Hire #1 (R&amp;D)</t>
        </is>
      </c>
      <c r="B32" s="131" t="n">
        <v>0</v>
      </c>
      <c r="C32" s="131" t="n">
        <v>0</v>
      </c>
      <c r="D32" s="131" t="n">
        <v>10000</v>
      </c>
      <c r="E32" s="131" t="n">
        <v>10000</v>
      </c>
      <c r="F32" s="131" t="n">
        <v>10000</v>
      </c>
      <c r="G32" s="131" t="n">
        <v>10000</v>
      </c>
      <c r="H32" s="131" t="n">
        <v>10000</v>
      </c>
      <c r="I32" s="131" t="n">
        <v>10000</v>
      </c>
      <c r="J32" s="131" t="n">
        <v>10000</v>
      </c>
      <c r="K32" s="131" t="n">
        <v>10000</v>
      </c>
      <c r="L32" s="131" t="n">
        <v>10000</v>
      </c>
      <c r="M32" s="131" t="n">
        <v>10000</v>
      </c>
      <c r="N32" s="131" t="n">
        <v>10000</v>
      </c>
      <c r="O32" s="131" t="n">
        <v>10000</v>
      </c>
      <c r="P32" s="131" t="n">
        <v>10000</v>
      </c>
      <c r="Q32" s="131" t="n">
        <v>10000</v>
      </c>
      <c r="R32" s="131" t="n">
        <v>10000</v>
      </c>
      <c r="S32" s="131" t="n">
        <v>10000</v>
      </c>
      <c r="T32" s="131" t="n">
        <v>10000</v>
      </c>
      <c r="U32" s="131" t="n">
        <v>10000</v>
      </c>
      <c r="V32" s="131" t="n">
        <v>10000</v>
      </c>
      <c r="W32" s="131" t="n">
        <v>10000</v>
      </c>
      <c r="X32" s="131" t="n">
        <v>10000</v>
      </c>
      <c r="Y32" s="131" t="n">
        <v>10000</v>
      </c>
    </row>
    <row r="33">
      <c r="A33" t="inlineStr">
        <is>
          <t xml:space="preserve">  Engineer - Hire #2 (R&amp;D)</t>
        </is>
      </c>
      <c r="B33" s="131" t="n">
        <v>0</v>
      </c>
      <c r="C33" s="131" t="n">
        <v>0</v>
      </c>
      <c r="D33" s="131" t="n">
        <v>0</v>
      </c>
      <c r="E33" s="131" t="n">
        <v>0</v>
      </c>
      <c r="F33" s="131" t="n">
        <v>0</v>
      </c>
      <c r="G33" s="131" t="n">
        <v>0</v>
      </c>
      <c r="H33" s="131" t="n">
        <v>10000</v>
      </c>
      <c r="I33" s="131" t="n">
        <v>10000</v>
      </c>
      <c r="J33" s="131" t="n">
        <v>10000</v>
      </c>
      <c r="K33" s="131" t="n">
        <v>10000</v>
      </c>
      <c r="L33" s="131" t="n">
        <v>10000</v>
      </c>
      <c r="M33" s="131" t="n">
        <v>10000</v>
      </c>
      <c r="N33" s="131" t="n">
        <v>10000</v>
      </c>
      <c r="O33" s="131" t="n">
        <v>10000</v>
      </c>
      <c r="P33" s="131" t="n">
        <v>10000</v>
      </c>
      <c r="Q33" s="131" t="n">
        <v>10000</v>
      </c>
      <c r="R33" s="131" t="n">
        <v>10000</v>
      </c>
      <c r="S33" s="131" t="n">
        <v>10000</v>
      </c>
      <c r="T33" s="131" t="n">
        <v>10000</v>
      </c>
      <c r="U33" s="131" t="n">
        <v>10000</v>
      </c>
      <c r="V33" s="131" t="n">
        <v>10000</v>
      </c>
      <c r="W33" s="131" t="n">
        <v>10000</v>
      </c>
      <c r="X33" s="131" t="n">
        <v>10000</v>
      </c>
      <c r="Y33" s="131" t="n">
        <v>10000</v>
      </c>
    </row>
    <row r="34">
      <c r="A34" t="inlineStr">
        <is>
          <t xml:space="preserve">  Sales - SDR Hire (S&amp;M)</t>
        </is>
      </c>
      <c r="B34" s="131" t="n">
        <v>0</v>
      </c>
      <c r="C34" s="131" t="n">
        <v>0</v>
      </c>
      <c r="D34" s="131" t="n">
        <v>0</v>
      </c>
      <c r="E34" s="131" t="n">
        <v>0</v>
      </c>
      <c r="F34" s="131" t="n">
        <v>0</v>
      </c>
      <c r="G34" s="131" t="n">
        <v>0</v>
      </c>
      <c r="H34" s="131" t="n">
        <v>0</v>
      </c>
      <c r="I34" s="131" t="n">
        <v>0</v>
      </c>
      <c r="J34" s="131" t="n">
        <v>6000</v>
      </c>
      <c r="K34" s="131" t="n">
        <v>6000</v>
      </c>
      <c r="L34" s="131" t="n">
        <v>6000</v>
      </c>
      <c r="M34" s="131" t="n">
        <v>6000</v>
      </c>
      <c r="N34" s="131" t="n">
        <v>6000</v>
      </c>
      <c r="O34" s="131" t="n">
        <v>6000</v>
      </c>
      <c r="P34" s="131" t="n">
        <v>6000</v>
      </c>
      <c r="Q34" s="131" t="n">
        <v>6000</v>
      </c>
      <c r="R34" s="131" t="n">
        <v>6000</v>
      </c>
      <c r="S34" s="131" t="n">
        <v>6000</v>
      </c>
      <c r="T34" s="131" t="n">
        <v>6000</v>
      </c>
      <c r="U34" s="131" t="n">
        <v>6000</v>
      </c>
      <c r="V34" s="131" t="n">
        <v>6000</v>
      </c>
      <c r="W34" s="131" t="n">
        <v>6000</v>
      </c>
      <c r="X34" s="131" t="n">
        <v>6000</v>
      </c>
      <c r="Y34" s="131" t="n">
        <v>6000</v>
      </c>
    </row>
    <row r="35">
      <c r="A35" s="145" t="inlineStr">
        <is>
          <t>Total Payroll</t>
        </is>
      </c>
      <c r="B35" s="131" t="n">
        <v>27000</v>
      </c>
      <c r="C35" s="131" t="n">
        <v>27000</v>
      </c>
      <c r="D35" s="131" t="n">
        <v>37000</v>
      </c>
      <c r="E35" s="131" t="n">
        <v>37000</v>
      </c>
      <c r="F35" s="131" t="n">
        <v>37000</v>
      </c>
      <c r="G35" s="131" t="n">
        <v>37000</v>
      </c>
      <c r="H35" s="131" t="n">
        <v>47000</v>
      </c>
      <c r="I35" s="131" t="n">
        <v>47000</v>
      </c>
      <c r="J35" s="131" t="n">
        <v>53000</v>
      </c>
      <c r="K35" s="131" t="n">
        <v>53000</v>
      </c>
      <c r="L35" s="131" t="n">
        <v>53000</v>
      </c>
      <c r="M35" s="131" t="n">
        <v>53000</v>
      </c>
      <c r="N35" s="131" t="n">
        <v>53000</v>
      </c>
      <c r="O35" s="131" t="n">
        <v>53000</v>
      </c>
      <c r="P35" s="131" t="n">
        <v>53000</v>
      </c>
      <c r="Q35" s="131" t="n">
        <v>53000</v>
      </c>
      <c r="R35" s="131" t="n">
        <v>53000</v>
      </c>
      <c r="S35" s="131" t="n">
        <v>53000</v>
      </c>
      <c r="T35" s="131" t="n">
        <v>53000</v>
      </c>
      <c r="U35" s="131" t="n">
        <v>53000</v>
      </c>
      <c r="V35" s="131" t="n">
        <v>53000</v>
      </c>
      <c r="W35" s="131" t="n">
        <v>53000</v>
      </c>
      <c r="X35" s="131" t="n">
        <v>53000</v>
      </c>
      <c r="Y35" s="131" t="n">
        <v>53000</v>
      </c>
      <c r="Z35" s="144" t="n">
        <v>508000</v>
      </c>
      <c r="AA35" s="144" t="n">
        <v>636000</v>
      </c>
    </row>
    <row r="37">
      <c r="A37" s="143" t="inlineStr">
        <is>
          <t>OPERATING EXPENSES</t>
        </is>
      </c>
      <c r="B37" s="128" t="n"/>
      <c r="C37" s="128" t="n"/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128" t="n"/>
      <c r="U37" s="128" t="n"/>
      <c r="V37" s="128" t="n"/>
      <c r="W37" s="128" t="n"/>
      <c r="X37" s="128" t="n"/>
      <c r="Y37" s="128" t="n"/>
      <c r="Z37" s="128" t="n"/>
      <c r="AA37" s="128" t="n"/>
    </row>
    <row r="38">
      <c r="A38" t="inlineStr">
        <is>
          <t>Sales &amp; Marketing</t>
        </is>
      </c>
      <c r="B38" s="131" t="n">
        <v>7914.76</v>
      </c>
      <c r="C38" s="131" t="n">
        <v>8497.73848</v>
      </c>
      <c r="D38" s="131" t="n">
        <v>9184.816443039999</v>
      </c>
      <c r="E38" s="131" t="n">
        <v>9974.031266153921</v>
      </c>
      <c r="F38" s="131" t="n">
        <v>10880.70532802161</v>
      </c>
      <c r="G38" s="131" t="n">
        <v>11922.45936042557</v>
      </c>
      <c r="H38" s="131" t="n">
        <v>13093.64443300209</v>
      </c>
      <c r="I38" s="131" t="n">
        <v>14415.4897689464</v>
      </c>
      <c r="J38" s="131" t="n">
        <v>21907.5859838845</v>
      </c>
      <c r="K38" s="131" t="n">
        <v>23561.78360544473</v>
      </c>
      <c r="L38" s="131" t="n">
        <v>25395.9198758866</v>
      </c>
      <c r="M38" s="131" t="n">
        <v>27429.79411585553</v>
      </c>
      <c r="N38" s="131" t="n">
        <v>29664.67293306422</v>
      </c>
      <c r="O38" s="131" t="n">
        <v>32120.66393377691</v>
      </c>
      <c r="P38" s="131" t="n">
        <v>34819.88546343865</v>
      </c>
      <c r="Q38" s="131" t="n">
        <v>37759.10184544308</v>
      </c>
      <c r="R38" s="131" t="n">
        <v>40959.92142175703</v>
      </c>
      <c r="S38" s="131" t="n">
        <v>44445.89725870856</v>
      </c>
      <c r="T38" s="131" t="n">
        <v>48207.00361624657</v>
      </c>
      <c r="U38" s="131" t="n">
        <v>52265.26217865711</v>
      </c>
      <c r="V38" s="131" t="n">
        <v>56644.45633124115</v>
      </c>
      <c r="W38" s="131" t="n">
        <v>61325.30219710586</v>
      </c>
      <c r="X38" s="131" t="n">
        <v>66328.93007181304</v>
      </c>
      <c r="Y38" s="131" t="n">
        <v>71677.949327587</v>
      </c>
      <c r="Z38" s="144" t="n">
        <v>184178.7286606609</v>
      </c>
      <c r="AA38" s="144" t="n">
        <v>576219.0465788392</v>
      </c>
    </row>
    <row r="39">
      <c r="A39" t="inlineStr">
        <is>
          <t xml:space="preserve">  S&amp;M % of Revenue</t>
        </is>
      </c>
      <c r="B39" s="130" t="n">
        <v>0.5191368227731864</v>
      </c>
      <c r="C39" s="130" t="n">
        <v>0.3404227878287536</v>
      </c>
      <c r="D39" s="130" t="n">
        <v>0.252235828935635</v>
      </c>
      <c r="E39" s="130" t="n">
        <v>0.2012224561254035</v>
      </c>
      <c r="F39" s="130" t="n">
        <v>0.1682277484371937</v>
      </c>
      <c r="G39" s="130" t="n">
        <v>0.1453232031485353</v>
      </c>
      <c r="H39" s="130" t="n">
        <v>0.1289242709543988</v>
      </c>
      <c r="I39" s="130" t="n">
        <v>0.1166382009936579</v>
      </c>
      <c r="J39" s="130" t="n">
        <v>0.1475658120405648</v>
      </c>
      <c r="K39" s="130" t="n">
        <v>0.1338511627522742</v>
      </c>
      <c r="L39" s="130" t="n">
        <v>0.1229239304391851</v>
      </c>
      <c r="M39" s="130" t="n">
        <v>0.1140548252967055</v>
      </c>
      <c r="N39" s="130" t="n">
        <v>0.1068055990737394</v>
      </c>
      <c r="O39" s="130" t="n">
        <v>0.1007935625405831</v>
      </c>
      <c r="P39" s="130" t="n">
        <v>0.09574720872421472</v>
      </c>
      <c r="Q39" s="130" t="n">
        <v>0.09150356603680918</v>
      </c>
      <c r="R39" s="130" t="n">
        <v>0.08789707410955176</v>
      </c>
      <c r="S39" s="130" t="n">
        <v>0.08480450767815152</v>
      </c>
      <c r="T39" s="130" t="n">
        <v>0.0821546828722471</v>
      </c>
      <c r="U39" s="130" t="n">
        <v>0.07986488709666567</v>
      </c>
      <c r="V39" s="130" t="n">
        <v>0.0778716855602499</v>
      </c>
      <c r="W39" s="130" t="n">
        <v>0.07614061298196524</v>
      </c>
      <c r="X39" s="130" t="n">
        <v>0.07462620755656728</v>
      </c>
      <c r="Y39" s="130" t="n">
        <v>0.07329289808076658</v>
      </c>
    </row>
    <row r="40">
      <c r="A40" t="inlineStr">
        <is>
          <t>Research &amp; Development</t>
        </is>
      </c>
      <c r="B40" s="131" t="n">
        <v>13000</v>
      </c>
      <c r="C40" s="131" t="n">
        <v>13000</v>
      </c>
      <c r="D40" s="131" t="n">
        <v>23000</v>
      </c>
      <c r="E40" s="131" t="n">
        <v>23000</v>
      </c>
      <c r="F40" s="131" t="n">
        <v>23000</v>
      </c>
      <c r="G40" s="131" t="n">
        <v>23000</v>
      </c>
      <c r="H40" s="131" t="n">
        <v>33000</v>
      </c>
      <c r="I40" s="131" t="n">
        <v>33000</v>
      </c>
      <c r="J40" s="131" t="n">
        <v>33000</v>
      </c>
      <c r="K40" s="131" t="n">
        <v>33000</v>
      </c>
      <c r="L40" s="131" t="n">
        <v>33000</v>
      </c>
      <c r="M40" s="131" t="n">
        <v>33000</v>
      </c>
      <c r="N40" s="131" t="n">
        <v>33000</v>
      </c>
      <c r="O40" s="131" t="n">
        <v>33000</v>
      </c>
      <c r="P40" s="131" t="n">
        <v>33000</v>
      </c>
      <c r="Q40" s="131" t="n">
        <v>33000</v>
      </c>
      <c r="R40" s="131" t="n">
        <v>33000</v>
      </c>
      <c r="S40" s="131" t="n">
        <v>33000</v>
      </c>
      <c r="T40" s="131" t="n">
        <v>33000</v>
      </c>
      <c r="U40" s="131" t="n">
        <v>33000</v>
      </c>
      <c r="V40" s="131" t="n">
        <v>33000</v>
      </c>
      <c r="W40" s="131" t="n">
        <v>33000</v>
      </c>
      <c r="X40" s="131" t="n">
        <v>33000</v>
      </c>
      <c r="Y40" s="131" t="n">
        <v>33000</v>
      </c>
      <c r="Z40" s="144" t="n">
        <v>316000</v>
      </c>
      <c r="AA40" s="144" t="n">
        <v>396000</v>
      </c>
    </row>
    <row r="41">
      <c r="A41" t="inlineStr">
        <is>
          <t xml:space="preserve">  R&amp;D % of Revenue</t>
        </is>
      </c>
      <c r="B41" s="130" t="n">
        <v>0.852682670864489</v>
      </c>
      <c r="C41" s="130" t="n">
        <v>0.5207851773962567</v>
      </c>
      <c r="D41" s="130" t="n">
        <v>0.6316320093599436</v>
      </c>
      <c r="E41" s="130" t="n">
        <v>0.464016641554897</v>
      </c>
      <c r="F41" s="130" t="n">
        <v>0.3556054591507791</v>
      </c>
      <c r="G41" s="130" t="n">
        <v>0.2803476674880447</v>
      </c>
      <c r="H41" s="130" t="n">
        <v>0.3249287059278801</v>
      </c>
      <c r="I41" s="130" t="n">
        <v>0.2670086618272445</v>
      </c>
      <c r="J41" s="130" t="n">
        <v>0.2222824459491261</v>
      </c>
      <c r="K41" s="130" t="n">
        <v>0.1874683362173113</v>
      </c>
      <c r="L41" s="130" t="n">
        <v>0.1597299772687006</v>
      </c>
      <c r="M41" s="130" t="n">
        <v>0.1372160949839448</v>
      </c>
      <c r="N41" s="130" t="n">
        <v>0.1188142130333384</v>
      </c>
      <c r="O41" s="130" t="n">
        <v>0.1035528895260956</v>
      </c>
      <c r="P41" s="130" t="n">
        <v>0.09074291445377582</v>
      </c>
      <c r="Q41" s="130" t="n">
        <v>0.07997059070882329</v>
      </c>
      <c r="R41" s="130" t="n">
        <v>0.07081564966270834</v>
      </c>
      <c r="S41" s="130" t="n">
        <v>0.06296528872146154</v>
      </c>
      <c r="T41" s="130" t="n">
        <v>0.0562388103680119</v>
      </c>
      <c r="U41" s="130" t="n">
        <v>0.05042625186076669</v>
      </c>
      <c r="V41" s="130" t="n">
        <v>0.04536658642217283</v>
      </c>
      <c r="W41" s="130" t="n">
        <v>0.04097232526191176</v>
      </c>
      <c r="X41" s="130" t="n">
        <v>0.03712806533590156</v>
      </c>
      <c r="Y41" s="130" t="n">
        <v>0.03374351051271517</v>
      </c>
    </row>
    <row r="42">
      <c r="A42" t="inlineStr">
        <is>
          <t>General &amp; Administrative</t>
        </is>
      </c>
      <c r="B42" s="131" t="n">
        <v>14867</v>
      </c>
      <c r="C42" s="131" t="n">
        <v>14867</v>
      </c>
      <c r="D42" s="131" t="n">
        <v>14867</v>
      </c>
      <c r="E42" s="131" t="n">
        <v>14867</v>
      </c>
      <c r="F42" s="131" t="n">
        <v>14867</v>
      </c>
      <c r="G42" s="131" t="n">
        <v>14867</v>
      </c>
      <c r="H42" s="131" t="n">
        <v>14867</v>
      </c>
      <c r="I42" s="131" t="n">
        <v>14867</v>
      </c>
      <c r="J42" s="131" t="n">
        <v>14867</v>
      </c>
      <c r="K42" s="131" t="n">
        <v>14867</v>
      </c>
      <c r="L42" s="131" t="n">
        <v>14867</v>
      </c>
      <c r="M42" s="131" t="n">
        <v>14867</v>
      </c>
      <c r="N42" s="131" t="n">
        <v>14867</v>
      </c>
      <c r="O42" s="131" t="n">
        <v>14867</v>
      </c>
      <c r="P42" s="131" t="n">
        <v>14867</v>
      </c>
      <c r="Q42" s="131" t="n">
        <v>14867</v>
      </c>
      <c r="R42" s="131" t="n">
        <v>14867</v>
      </c>
      <c r="S42" s="131" t="n">
        <v>14867</v>
      </c>
      <c r="T42" s="131" t="n">
        <v>14867</v>
      </c>
      <c r="U42" s="131" t="n">
        <v>14867</v>
      </c>
      <c r="V42" s="131" t="n">
        <v>14867</v>
      </c>
      <c r="W42" s="131" t="n">
        <v>14867</v>
      </c>
      <c r="X42" s="131" t="n">
        <v>14867</v>
      </c>
      <c r="Y42" s="131" t="n">
        <v>14867</v>
      </c>
      <c r="Z42" s="144" t="n">
        <v>178404</v>
      </c>
      <c r="AA42" s="144" t="n">
        <v>178404</v>
      </c>
    </row>
    <row r="43">
      <c r="A43" t="inlineStr">
        <is>
          <t xml:space="preserve">  G&amp;A % of Revenue</t>
        </is>
      </c>
      <c r="B43" s="130" t="n">
        <v>0.9751410205955661</v>
      </c>
      <c r="C43" s="130" t="n">
        <v>0.5955779409500115</v>
      </c>
      <c r="D43" s="130" t="n">
        <v>0.4082814383980122</v>
      </c>
      <c r="E43" s="130" t="n">
        <v>0.2999363221737676</v>
      </c>
      <c r="F43" s="130" t="n">
        <v>0.2298602765736797</v>
      </c>
      <c r="G43" s="130" t="n">
        <v>0.1812142944584678</v>
      </c>
      <c r="H43" s="130" t="n">
        <v>0.1463853051827211</v>
      </c>
      <c r="I43" s="130" t="n">
        <v>0.1202914477389589</v>
      </c>
      <c r="J43" s="130" t="n">
        <v>0.100141609815929</v>
      </c>
      <c r="K43" s="130" t="n">
        <v>0.08445732589523539</v>
      </c>
      <c r="L43" s="130" t="n">
        <v>0.07196077491072037</v>
      </c>
      <c r="M43" s="130" t="n">
        <v>0.0618179298220093</v>
      </c>
      <c r="N43" s="130" t="n">
        <v>0.05352760318686792</v>
      </c>
      <c r="O43" s="130" t="n">
        <v>0.04665214571468069</v>
      </c>
      <c r="P43" s="130" t="n">
        <v>0.04088105785406924</v>
      </c>
      <c r="Q43" s="130" t="n">
        <v>0.03602796278994169</v>
      </c>
      <c r="R43" s="130" t="n">
        <v>0.03190352313743894</v>
      </c>
      <c r="S43" s="130" t="n">
        <v>0.0283668165885445</v>
      </c>
      <c r="T43" s="130" t="n">
        <v>0.02533643617397675</v>
      </c>
      <c r="U43" s="130" t="n">
        <v>0.0227177904973945</v>
      </c>
      <c r="V43" s="130" t="n">
        <v>0.02043833455571041</v>
      </c>
      <c r="W43" s="130" t="n">
        <v>0.01845865332329825</v>
      </c>
      <c r="X43" s="130" t="n">
        <v>0.01672675598026814</v>
      </c>
      <c r="Y43" s="130" t="n">
        <v>0.01520196275128898</v>
      </c>
    </row>
    <row r="44">
      <c r="A44" s="145" t="inlineStr">
        <is>
          <t>Total OpEx</t>
        </is>
      </c>
      <c r="B44" s="131" t="n">
        <v>35781.76</v>
      </c>
      <c r="C44" s="131" t="n">
        <v>36364.73848</v>
      </c>
      <c r="D44" s="131" t="n">
        <v>47051.81644304</v>
      </c>
      <c r="E44" s="131" t="n">
        <v>47841.03126615392</v>
      </c>
      <c r="F44" s="131" t="n">
        <v>48747.70532802161</v>
      </c>
      <c r="G44" s="131" t="n">
        <v>49789.45936042556</v>
      </c>
      <c r="H44" s="131" t="n">
        <v>60960.64443300209</v>
      </c>
      <c r="I44" s="131" t="n">
        <v>62282.4897689464</v>
      </c>
      <c r="J44" s="131" t="n">
        <v>69774.58598388449</v>
      </c>
      <c r="K44" s="131" t="n">
        <v>71428.78360544474</v>
      </c>
      <c r="L44" s="131" t="n">
        <v>73262.9198758866</v>
      </c>
      <c r="M44" s="131" t="n">
        <v>75296.79411585553</v>
      </c>
      <c r="N44" s="131" t="n">
        <v>77531.67293306423</v>
      </c>
      <c r="O44" s="131" t="n">
        <v>79987.6639337769</v>
      </c>
      <c r="P44" s="131" t="n">
        <v>82686.88546343865</v>
      </c>
      <c r="Q44" s="131" t="n">
        <v>85626.10184544307</v>
      </c>
      <c r="R44" s="131" t="n">
        <v>88826.92142175703</v>
      </c>
      <c r="S44" s="131" t="n">
        <v>92312.89725870856</v>
      </c>
      <c r="T44" s="131" t="n">
        <v>96074.00361624657</v>
      </c>
      <c r="U44" s="131" t="n">
        <v>100132.2621786571</v>
      </c>
      <c r="V44" s="131" t="n">
        <v>104511.4563312411</v>
      </c>
      <c r="W44" s="131" t="n">
        <v>109192.3021971059</v>
      </c>
      <c r="X44" s="131" t="n">
        <v>114195.930071813</v>
      </c>
      <c r="Y44" s="131" t="n">
        <v>119544.949327587</v>
      </c>
      <c r="Z44" s="144" t="n">
        <v>678582.7286606609</v>
      </c>
      <c r="AA44" s="144" t="n">
        <v>1150623.046578839</v>
      </c>
    </row>
    <row r="46">
      <c r="A46" s="143" t="inlineStr">
        <is>
          <t>EBITDA / OPERATING INCOME</t>
        </is>
      </c>
      <c r="B46" s="128" t="n"/>
      <c r="C46" s="128" t="n"/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128" t="n"/>
      <c r="N46" s="128" t="n"/>
      <c r="O46" s="128" t="n"/>
      <c r="P46" s="128" t="n"/>
      <c r="Q46" s="128" t="n"/>
      <c r="R46" s="128" t="n"/>
      <c r="S46" s="128" t="n"/>
      <c r="T46" s="128" t="n"/>
      <c r="U46" s="128" t="n"/>
      <c r="V46" s="128" t="n"/>
      <c r="W46" s="128" t="n"/>
      <c r="X46" s="128" t="n"/>
      <c r="Y46" s="128" t="n"/>
      <c r="Z46" s="128" t="n"/>
      <c r="AA46" s="128" t="n"/>
    </row>
    <row r="47">
      <c r="A47" s="145" t="inlineStr">
        <is>
          <t>EBITDA</t>
        </is>
      </c>
      <c r="B47" s="131" t="n">
        <v>-22493.14</v>
      </c>
      <c r="C47" s="131" t="n">
        <v>-13651.29972</v>
      </c>
      <c r="D47" s="131" t="n">
        <v>-13230.61728056</v>
      </c>
      <c r="E47" s="131" t="n">
        <v>-1260.859129998884</v>
      </c>
      <c r="F47" s="131" t="n">
        <v>12490.36414166111</v>
      </c>
      <c r="G47" s="131" t="n">
        <v>28290.30029978778</v>
      </c>
      <c r="H47" s="131" t="n">
        <v>36053.27390053168</v>
      </c>
      <c r="I47" s="131" t="n">
        <v>56101.26149568701</v>
      </c>
      <c r="J47" s="131" t="n">
        <v>72731.38742224826</v>
      </c>
      <c r="K47" s="131" t="n">
        <v>97820.05134924513</v>
      </c>
      <c r="L47" s="131" t="n">
        <v>125637.78478428</v>
      </c>
      <c r="M47" s="131" t="n">
        <v>156484.8774238089</v>
      </c>
      <c r="N47" s="131" t="n">
        <v>190380.5394848073</v>
      </c>
      <c r="O47" s="131" t="n">
        <v>227629.7363289498</v>
      </c>
      <c r="P47" s="131" t="n">
        <v>268567.9295288195</v>
      </c>
      <c r="Q47" s="131" t="n">
        <v>313146.0446558867</v>
      </c>
      <c r="R47" s="131" t="n">
        <v>361691.8082299816</v>
      </c>
      <c r="S47" s="131" t="n">
        <v>414562.4417570797</v>
      </c>
      <c r="T47" s="131" t="n">
        <v>471605.8881797396</v>
      </c>
      <c r="U47" s="131" t="n">
        <v>533156.1430429661</v>
      </c>
      <c r="V47" s="131" t="n">
        <v>599573.9210238241</v>
      </c>
      <c r="W47" s="131" t="n">
        <v>670566.7499894387</v>
      </c>
      <c r="X47" s="131" t="n">
        <v>746455.1060891644</v>
      </c>
      <c r="Y47" s="131" t="n">
        <v>827581.8981350695</v>
      </c>
      <c r="Z47" s="144" t="n">
        <v>534973.384686691</v>
      </c>
      <c r="AA47" s="144" t="n">
        <v>5624918.206445727</v>
      </c>
    </row>
    <row r="48">
      <c r="A48" s="145" t="inlineStr">
        <is>
          <t>EBITDA Margin %</t>
        </is>
      </c>
      <c r="B48" s="130" t="n">
        <v>-1.475346976256067</v>
      </c>
      <c r="C48" s="130" t="n">
        <v>-0.5468765035668977</v>
      </c>
      <c r="D48" s="130" t="n">
        <v>-0.3633426686083698</v>
      </c>
      <c r="E48" s="130" t="n">
        <v>-0.0254373747380831</v>
      </c>
      <c r="F48" s="130" t="n">
        <v>0.1931148554589489</v>
      </c>
      <c r="G48" s="130" t="n">
        <v>0.3448312913731232</v>
      </c>
      <c r="H48" s="130" t="n">
        <v>0.3549922313019144</v>
      </c>
      <c r="I48" s="130" t="n">
        <v>0.4539249320843547</v>
      </c>
      <c r="J48" s="130" t="n">
        <v>0.4899063846512379</v>
      </c>
      <c r="K48" s="130" t="n">
        <v>0.5557018871253013</v>
      </c>
      <c r="L48" s="130" t="n">
        <v>0.6081248638691803</v>
      </c>
      <c r="M48" s="130" t="n">
        <v>0.6506740546707974</v>
      </c>
      <c r="N48" s="130" t="n">
        <v>0.6854519386590845</v>
      </c>
      <c r="O48" s="130" t="n">
        <v>0.7142944526947272</v>
      </c>
      <c r="P48" s="130" t="n">
        <v>0.7385041410382231</v>
      </c>
      <c r="Q48" s="130" t="n">
        <v>0.7588628536140247</v>
      </c>
      <c r="R48" s="130" t="n">
        <v>0.7761648599238142</v>
      </c>
      <c r="S48" s="130" t="n">
        <v>0.7910013284335942</v>
      </c>
      <c r="T48" s="130" t="n">
        <v>0.8037137610235818</v>
      </c>
      <c r="U48" s="130" t="n">
        <v>0.8146989681878656</v>
      </c>
      <c r="V48" s="130" t="n">
        <v>0.8242612758972225</v>
      </c>
      <c r="W48" s="130" t="n">
        <v>0.8325660300118287</v>
      </c>
      <c r="X48" s="130" t="n">
        <v>0.839831331793813</v>
      </c>
      <c r="Y48" s="130" t="n">
        <v>0.8462278327228331</v>
      </c>
    </row>
    <row r="50">
      <c r="A50" s="143" t="inlineStr">
        <is>
          <t>SaaS OPERATING METRICS</t>
        </is>
      </c>
      <c r="B50" s="128" t="n"/>
      <c r="C50" s="128" t="n"/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8" t="n"/>
      <c r="P50" s="128" t="n"/>
      <c r="Q50" s="128" t="n"/>
      <c r="R50" s="128" t="n"/>
      <c r="S50" s="128" t="n"/>
      <c r="T50" s="128" t="n"/>
      <c r="U50" s="128" t="n"/>
      <c r="V50" s="128" t="n"/>
      <c r="W50" s="128" t="n"/>
      <c r="X50" s="128" t="n"/>
      <c r="Y50" s="128" t="n"/>
      <c r="Z50" s="128" t="n"/>
      <c r="AA50" s="128" t="n"/>
    </row>
    <row r="51">
      <c r="A51" t="inlineStr">
        <is>
          <t>CAC (S&amp;M / New Customers)</t>
        </is>
      </c>
      <c r="B51" s="131" t="n">
        <v>3957.38</v>
      </c>
      <c r="C51" s="131" t="n">
        <v>2832.579493333333</v>
      </c>
      <c r="D51" s="131" t="n">
        <v>3061.605481013333</v>
      </c>
      <c r="E51" s="131" t="n">
        <v>2493.50781653848</v>
      </c>
      <c r="F51" s="131" t="n">
        <v>2720.176332005403</v>
      </c>
      <c r="G51" s="131" t="n">
        <v>2384.491872085114</v>
      </c>
      <c r="H51" s="131" t="n">
        <v>2182.274072167015</v>
      </c>
      <c r="I51" s="131" t="n">
        <v>2402.581628157733</v>
      </c>
      <c r="J51" s="131" t="n">
        <v>3129.655140554928</v>
      </c>
      <c r="K51" s="131" t="n">
        <v>2945.222950680592</v>
      </c>
      <c r="L51" s="131" t="n">
        <v>2821.768875098511</v>
      </c>
      <c r="M51" s="131" t="n">
        <v>2742.979411585553</v>
      </c>
      <c r="N51" s="131" t="n">
        <v>0</v>
      </c>
      <c r="O51" s="131" t="n">
        <v>3212.066393377691</v>
      </c>
      <c r="P51" s="131" t="n">
        <v>3165.444133039877</v>
      </c>
      <c r="Q51" s="131" t="n">
        <v>3432.645622313008</v>
      </c>
      <c r="R51" s="131" t="n">
        <v>3150.763186289002</v>
      </c>
      <c r="S51" s="131" t="n">
        <v>3174.706947050611</v>
      </c>
      <c r="T51" s="131" t="n">
        <v>3213.800241083105</v>
      </c>
      <c r="U51" s="131" t="n">
        <v>3266.578886166069</v>
      </c>
      <c r="V51" s="131" t="n">
        <v>3332.026843014185</v>
      </c>
      <c r="W51" s="131" t="n">
        <v>3227.647484058203</v>
      </c>
      <c r="X51" s="131" t="n">
        <v>3316.446503590652</v>
      </c>
      <c r="Y51" s="131" t="n">
        <v>3413.235682266048</v>
      </c>
    </row>
    <row r="52">
      <c r="A52" t="inlineStr">
        <is>
          <t>CAC Payback (months)</t>
        </is>
      </c>
      <c r="B52" t="n">
        <v>1.297226294378197</v>
      </c>
      <c r="C52" t="n">
        <v>0.8894384697497362</v>
      </c>
      <c r="D52" t="n">
        <v>0.9417939273171128</v>
      </c>
      <c r="E52" t="n">
        <v>0.7581163798017244</v>
      </c>
      <c r="F52" t="n">
        <v>0.8208559274279957</v>
      </c>
      <c r="G52" t="n">
        <v>0.7158470229174847</v>
      </c>
      <c r="H52" t="n">
        <v>0.6527292303135509</v>
      </c>
      <c r="I52" t="n">
        <v>0.7166491657664793</v>
      </c>
      <c r="J52" t="n">
        <v>0.9315456547798979</v>
      </c>
      <c r="K52" t="n">
        <v>0.8752063473992665</v>
      </c>
      <c r="L52" t="n">
        <v>0.837422417662992</v>
      </c>
      <c r="M52" t="n">
        <v>0.8131755221419082</v>
      </c>
      <c r="N52" t="n">
        <v>0</v>
      </c>
      <c r="O52" t="n">
        <v>0.7922751669369033</v>
      </c>
      <c r="P52" t="n">
        <v>0.7803048253866269</v>
      </c>
      <c r="Q52" t="n">
        <v>0.8457431710065406</v>
      </c>
      <c r="R52" t="n">
        <v>0.7759581830040641</v>
      </c>
      <c r="S52" t="n">
        <v>0.7815664902251982</v>
      </c>
      <c r="T52" t="n">
        <v>0.7909406419767208</v>
      </c>
      <c r="U52" t="n">
        <v>0.8037103753655215</v>
      </c>
      <c r="V52" t="n">
        <v>0.8196184268882261</v>
      </c>
      <c r="W52" t="n">
        <v>0.7937791891104836</v>
      </c>
      <c r="X52" t="n">
        <v>0.8154704535207878</v>
      </c>
      <c r="Y52" t="n">
        <v>0.8391363157857475</v>
      </c>
    </row>
    <row r="53">
      <c r="A53" t="inlineStr">
        <is>
          <t>LTV (margin-weighted)</t>
        </is>
      </c>
      <c r="B53" s="131" t="n">
        <v>1525323.691460055</v>
      </c>
      <c r="C53" s="131" t="n">
        <v>1592341.454564217</v>
      </c>
      <c r="D53" s="131" t="n">
        <v>1625411.564149137</v>
      </c>
      <c r="E53" s="131" t="n">
        <v>1644541.578952973</v>
      </c>
      <c r="F53" s="131" t="n">
        <v>1656914.594336052</v>
      </c>
      <c r="G53" s="131" t="n">
        <v>1665503.798819299</v>
      </c>
      <c r="H53" s="131" t="n">
        <v>1114435.598928067</v>
      </c>
      <c r="I53" s="131" t="n">
        <v>1117507.116418252</v>
      </c>
      <c r="J53" s="131" t="n">
        <v>1119878.961199668</v>
      </c>
      <c r="K53" s="131" t="n">
        <v>1121725.163988476</v>
      </c>
      <c r="L53" s="131" t="n">
        <v>1123196.137569084</v>
      </c>
      <c r="M53" s="131" t="n">
        <v>1124390.055569033</v>
      </c>
      <c r="N53" s="131" t="n">
        <v>1350439.095534242</v>
      </c>
      <c r="O53" s="131" t="n">
        <v>1351410.270666521</v>
      </c>
      <c r="P53" s="131" t="n">
        <v>1352225.450898396</v>
      </c>
      <c r="Q53" s="131" t="n">
        <v>1352910.962409439</v>
      </c>
      <c r="R53" s="131" t="n">
        <v>1353493.549566919</v>
      </c>
      <c r="S53" s="131" t="n">
        <v>1353993.117990452</v>
      </c>
      <c r="T53" s="131" t="n">
        <v>1354421.166612945</v>
      </c>
      <c r="U53" s="131" t="n">
        <v>1354791.056699769</v>
      </c>
      <c r="V53" s="131" t="n">
        <v>1355113.035409498</v>
      </c>
      <c r="W53" s="131" t="n">
        <v>1355392.670210605</v>
      </c>
      <c r="X53" s="131" t="n">
        <v>1355637.30493317</v>
      </c>
      <c r="Y53" s="131" t="n">
        <v>1355852.685694645</v>
      </c>
    </row>
    <row r="54">
      <c r="A54" s="145" t="inlineStr">
        <is>
          <t>LTV:CAC Ratio</t>
        </is>
      </c>
      <c r="B54" t="n">
        <v>385.4377622214836</v>
      </c>
      <c r="C54" t="n">
        <v>562.1524332545301</v>
      </c>
      <c r="D54" t="n">
        <v>530.9017031192263</v>
      </c>
      <c r="E54" t="n">
        <v>659.5293457856279</v>
      </c>
      <c r="F54" t="n">
        <v>609.1202893139359</v>
      </c>
      <c r="G54" t="n">
        <v>698.473254749618</v>
      </c>
      <c r="H54" t="n">
        <v>510.676277165051</v>
      </c>
      <c r="I54" t="n">
        <v>465.1276374218933</v>
      </c>
      <c r="J54" t="n">
        <v>357.8282305574085</v>
      </c>
      <c r="K54" t="n">
        <v>380.8625638100722</v>
      </c>
      <c r="L54" t="n">
        <v>398.0468235655453</v>
      </c>
      <c r="M54" t="n">
        <v>409.9156015608189</v>
      </c>
      <c r="N54" t="n">
        <v>0</v>
      </c>
      <c r="O54" t="n">
        <v>420.7292456509368</v>
      </c>
      <c r="P54" t="n">
        <v>427.1834832857437</v>
      </c>
      <c r="Q54" t="n">
        <v>394.1306826475758</v>
      </c>
      <c r="R54" t="n">
        <v>429.5764135676207</v>
      </c>
      <c r="S54" t="n">
        <v>426.4938907978101</v>
      </c>
      <c r="T54" t="n">
        <v>421.4391265825788</v>
      </c>
      <c r="U54" t="n">
        <v>414.7431009357517</v>
      </c>
      <c r="V54" t="n">
        <v>406.6933128856937</v>
      </c>
      <c r="W54" t="n">
        <v>419.9320641132829</v>
      </c>
      <c r="X54" t="n">
        <v>408.7619997685619</v>
      </c>
      <c r="Y54" t="n">
        <v>397.2338308600168</v>
      </c>
    </row>
    <row r="55">
      <c r="A55" s="145" t="inlineStr">
        <is>
          <t>Net Revenue Retention</t>
        </is>
      </c>
      <c r="B55" s="130" t="n">
        <v>1</v>
      </c>
      <c r="C55" s="130" t="n">
        <v>1.637302112029385</v>
      </c>
      <c r="D55" s="130" t="n">
        <v>1.458743613931853</v>
      </c>
      <c r="E55" s="130" t="n">
        <v>1.36122706126094</v>
      </c>
      <c r="F55" s="130" t="n">
        <v>1.304863661719408</v>
      </c>
      <c r="G55" s="130" t="n">
        <v>1.268444507982018</v>
      </c>
      <c r="H55" s="130" t="n">
        <v>1.237926813980902</v>
      </c>
      <c r="I55" s="130" t="n">
        <v>1.216921966891509</v>
      </c>
      <c r="J55" s="130" t="n">
        <v>1.201213441246525</v>
      </c>
      <c r="K55" s="130" t="n">
        <v>1.185706612830119</v>
      </c>
      <c r="L55" s="130" t="n">
        <v>1.173657815664424</v>
      </c>
      <c r="M55" s="130" t="n">
        <v>1.164076104099815</v>
      </c>
      <c r="N55" s="130" t="n">
        <v>1.154879466696825</v>
      </c>
      <c r="O55" s="130" t="n">
        <v>1.147377089882141</v>
      </c>
      <c r="P55" s="130" t="n">
        <v>1.141167772155314</v>
      </c>
      <c r="Q55" s="130" t="n">
        <v>1.134703566016851</v>
      </c>
      <c r="R55" s="130" t="n">
        <v>1.129278501146562</v>
      </c>
      <c r="S55" s="130" t="n">
        <v>1.124677597778902</v>
      </c>
      <c r="T55" s="130" t="n">
        <v>1.119605630158841</v>
      </c>
      <c r="U55" s="130" t="n">
        <v>1.11526850187665</v>
      </c>
      <c r="V55" s="130" t="n">
        <v>1.111528458224949</v>
      </c>
      <c r="W55" s="130" t="n">
        <v>1.107249494193243</v>
      </c>
      <c r="X55" s="130" t="n">
        <v>1.103540539783874</v>
      </c>
      <c r="Y55" s="130" t="n">
        <v>1.100302392126955</v>
      </c>
    </row>
    <row r="56">
      <c r="A56" t="inlineStr">
        <is>
          <t>Gross Revenue Retention</t>
        </is>
      </c>
      <c r="B56" s="130" t="n">
        <v>0.998</v>
      </c>
      <c r="C56" s="130" t="n">
        <v>0.998</v>
      </c>
      <c r="D56" s="130" t="n">
        <v>0.998</v>
      </c>
      <c r="E56" s="130" t="n">
        <v>0.998</v>
      </c>
      <c r="F56" s="130" t="n">
        <v>0.998</v>
      </c>
      <c r="G56" s="130" t="n">
        <v>0.998</v>
      </c>
      <c r="H56" s="130" t="n">
        <v>0.997</v>
      </c>
      <c r="I56" s="130" t="n">
        <v>0.997</v>
      </c>
      <c r="J56" s="130" t="n">
        <v>0.997</v>
      </c>
      <c r="K56" s="130" t="n">
        <v>0.997</v>
      </c>
      <c r="L56" s="130" t="n">
        <v>0.997</v>
      </c>
      <c r="M56" s="130" t="n">
        <v>0.997</v>
      </c>
      <c r="N56" s="130" t="n">
        <v>0.997</v>
      </c>
      <c r="O56" s="130" t="n">
        <v>0.997</v>
      </c>
      <c r="P56" s="130" t="n">
        <v>0.997</v>
      </c>
      <c r="Q56" s="130" t="n">
        <v>0.997</v>
      </c>
      <c r="R56" s="130" t="n">
        <v>0.997</v>
      </c>
      <c r="S56" s="130" t="n">
        <v>0.997</v>
      </c>
      <c r="T56" s="130" t="n">
        <v>0.997</v>
      </c>
      <c r="U56" s="130" t="n">
        <v>0.997</v>
      </c>
      <c r="V56" s="130" t="n">
        <v>0.997</v>
      </c>
      <c r="W56" s="130" t="n">
        <v>0.997</v>
      </c>
      <c r="X56" s="130" t="n">
        <v>0.997</v>
      </c>
      <c r="Y56" s="130" t="n">
        <v>0.997</v>
      </c>
    </row>
    <row r="57">
      <c r="A57" s="145" t="inlineStr">
        <is>
          <t>Rule of 40</t>
        </is>
      </c>
      <c r="B57" s="130" t="n">
        <v>-1.475346976256067</v>
      </c>
      <c r="C57" s="130" t="n">
        <v>7.10074884078572</v>
      </c>
      <c r="D57" s="130" t="n">
        <v>5.141580698573864</v>
      </c>
      <c r="E57" s="130" t="n">
        <v>4.309287360393199</v>
      </c>
      <c r="F57" s="130" t="n">
        <v>3.851478796091846</v>
      </c>
      <c r="G57" s="130" t="n">
        <v>3.566165387157335</v>
      </c>
      <c r="H57" s="130" t="n">
        <v>3.210113999072734</v>
      </c>
      <c r="I57" s="130" t="n">
        <v>3.056988534782462</v>
      </c>
      <c r="J57" s="130" t="n">
        <v>2.90446767960954</v>
      </c>
      <c r="K57" s="130" t="n">
        <v>2.784181241086729</v>
      </c>
      <c r="L57" s="130" t="n">
        <v>2.692018651842272</v>
      </c>
      <c r="M57" s="130" t="n">
        <v>2.619587303868579</v>
      </c>
      <c r="N57" s="130" t="n">
        <v>2.544005539020985</v>
      </c>
      <c r="O57" s="130" t="n">
        <v>2.482819531280421</v>
      </c>
      <c r="P57" s="130" t="n">
        <v>2.432517406901986</v>
      </c>
      <c r="Q57" s="130" t="n">
        <v>2.375305645816234</v>
      </c>
      <c r="R57" s="130" t="n">
        <v>2.327506873682553</v>
      </c>
      <c r="S57" s="130" t="n">
        <v>2.287132501780417</v>
      </c>
      <c r="T57" s="130" t="n">
        <v>2.238981322929678</v>
      </c>
      <c r="U57" s="130" t="n">
        <v>2.197920990707664</v>
      </c>
      <c r="V57" s="130" t="n">
        <v>2.162602774596616</v>
      </c>
      <c r="W57" s="130" t="n">
        <v>2.119559960330744</v>
      </c>
      <c r="X57" s="130" t="n">
        <v>2.082317809200305</v>
      </c>
      <c r="Y57" s="130" t="n">
        <v>2.049856538246295</v>
      </c>
    </row>
    <row r="59">
      <c r="A59" s="143" t="inlineStr">
        <is>
          <t>CASH &amp; RUNWAY ($1M Raise)</t>
        </is>
      </c>
      <c r="B59" s="128" t="n"/>
      <c r="C59" s="128" t="n"/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128" t="n"/>
      <c r="N59" s="128" t="n"/>
      <c r="O59" s="128" t="n"/>
      <c r="P59" s="128" t="n"/>
      <c r="Q59" s="128" t="n"/>
      <c r="R59" s="128" t="n"/>
      <c r="S59" s="128" t="n"/>
      <c r="T59" s="128" t="n"/>
      <c r="U59" s="128" t="n"/>
      <c r="V59" s="128" t="n"/>
      <c r="W59" s="128" t="n"/>
      <c r="X59" s="128" t="n"/>
      <c r="Y59" s="128" t="n"/>
      <c r="Z59" s="128" t="n"/>
      <c r="AA59" s="128" t="n"/>
    </row>
    <row r="60">
      <c r="A60" t="inlineStr">
        <is>
          <t>Monthly Burn (neg=profit)</t>
        </is>
      </c>
      <c r="B60" s="131" t="n">
        <v>22493.14</v>
      </c>
      <c r="C60" s="131" t="n">
        <v>13651.29972</v>
      </c>
      <c r="D60" s="131" t="n">
        <v>13230.61728056</v>
      </c>
      <c r="E60" s="131" t="n">
        <v>1260.859129998884</v>
      </c>
      <c r="F60" s="131" t="n">
        <v>-12490.36414166111</v>
      </c>
      <c r="G60" s="131" t="n">
        <v>-28290.30029978778</v>
      </c>
      <c r="H60" s="131" t="n">
        <v>-36053.27390053169</v>
      </c>
      <c r="I60" s="131" t="n">
        <v>-56101.26149568701</v>
      </c>
      <c r="J60" s="131" t="n">
        <v>-72731.38742224827</v>
      </c>
      <c r="K60" s="131" t="n">
        <v>-97820.05134924511</v>
      </c>
      <c r="L60" s="131" t="n">
        <v>-125637.78478428</v>
      </c>
      <c r="M60" s="131" t="n">
        <v>-156484.8774238089</v>
      </c>
      <c r="N60" s="131" t="n">
        <v>-190380.5394848073</v>
      </c>
      <c r="O60" s="131" t="n">
        <v>-227629.7363289498</v>
      </c>
      <c r="P60" s="131" t="n">
        <v>-268567.9295288195</v>
      </c>
      <c r="Q60" s="131" t="n">
        <v>-313146.0446558867</v>
      </c>
      <c r="R60" s="131" t="n">
        <v>-361691.8082299816</v>
      </c>
      <c r="S60" s="131" t="n">
        <v>-414562.4417570797</v>
      </c>
      <c r="T60" s="131" t="n">
        <v>-471605.8881797397</v>
      </c>
      <c r="U60" s="131" t="n">
        <v>-533156.1430429661</v>
      </c>
      <c r="V60" s="131" t="n">
        <v>-599573.9210238241</v>
      </c>
      <c r="W60" s="131" t="n">
        <v>-670566.7499894387</v>
      </c>
      <c r="X60" s="131" t="n">
        <v>-746455.1060891644</v>
      </c>
      <c r="Y60" s="131" t="n">
        <v>-827581.8981350695</v>
      </c>
    </row>
    <row r="61">
      <c r="A61" s="145" t="inlineStr">
        <is>
          <t>Cumulative Cash</t>
        </is>
      </c>
      <c r="B61" s="131" t="n">
        <v>977506.86</v>
      </c>
      <c r="C61" s="131" t="n">
        <v>963855.56028</v>
      </c>
      <c r="D61" s="131" t="n">
        <v>950624.94299944</v>
      </c>
      <c r="E61" s="131" t="n">
        <v>949364.0838694412</v>
      </c>
      <c r="F61" s="131" t="n">
        <v>961854.4480111023</v>
      </c>
      <c r="G61" s="131" t="n">
        <v>990144.74831089</v>
      </c>
      <c r="H61" s="131" t="n">
        <v>1026198.022211422</v>
      </c>
      <c r="I61" s="131" t="n">
        <v>1082299.283707109</v>
      </c>
      <c r="J61" s="131" t="n">
        <v>1155030.671129357</v>
      </c>
      <c r="K61" s="131" t="n">
        <v>1252850.722478602</v>
      </c>
      <c r="L61" s="131" t="n">
        <v>1378488.507262882</v>
      </c>
      <c r="M61" s="131" t="n">
        <v>1534973.384686691</v>
      </c>
      <c r="N61" s="131" t="n">
        <v>1725353.924171498</v>
      </c>
      <c r="O61" s="131" t="n">
        <v>1952983.660500448</v>
      </c>
      <c r="P61" s="131" t="n">
        <v>2221551.590029268</v>
      </c>
      <c r="Q61" s="131" t="n">
        <v>2534697.634685154</v>
      </c>
      <c r="R61" s="131" t="n">
        <v>2896389.442915136</v>
      </c>
      <c r="S61" s="131" t="n">
        <v>3310951.884672215</v>
      </c>
      <c r="T61" s="131" t="n">
        <v>3782557.772851955</v>
      </c>
      <c r="U61" s="131" t="n">
        <v>4315713.915894921</v>
      </c>
      <c r="V61" s="131" t="n">
        <v>4915287.836918745</v>
      </c>
      <c r="W61" s="131" t="n">
        <v>5585854.586908184</v>
      </c>
      <c r="X61" s="131" t="n">
        <v>6332309.692997348</v>
      </c>
      <c r="Y61" s="131" t="n">
        <v>7159891.591132418</v>
      </c>
    </row>
    <row r="62">
      <c r="A62" t="inlineStr">
        <is>
          <t>Runway (months)</t>
        </is>
      </c>
      <c r="B62" t="n">
        <v>43.45799919442106</v>
      </c>
      <c r="C62" t="n">
        <v>70.60540608216901</v>
      </c>
      <c r="D62" t="n">
        <v>71.85038481887096</v>
      </c>
      <c r="E62" t="n">
        <v>752.9501601580833</v>
      </c>
      <c r="F62" t="n">
        <v>99</v>
      </c>
      <c r="G62" t="n">
        <v>99</v>
      </c>
      <c r="H62" t="n">
        <v>99</v>
      </c>
      <c r="I62" t="n">
        <v>99</v>
      </c>
      <c r="J62" t="n">
        <v>99</v>
      </c>
      <c r="K62" t="n">
        <v>99</v>
      </c>
      <c r="L62" t="n">
        <v>99</v>
      </c>
      <c r="M62" t="n">
        <v>99</v>
      </c>
      <c r="N62" t="n">
        <v>99</v>
      </c>
      <c r="O62" t="n">
        <v>99</v>
      </c>
      <c r="P62" t="n">
        <v>99</v>
      </c>
      <c r="Q62" t="n">
        <v>99</v>
      </c>
      <c r="R62" t="n">
        <v>99</v>
      </c>
      <c r="S62" t="n">
        <v>99</v>
      </c>
      <c r="T62" t="n">
        <v>99</v>
      </c>
      <c r="U62" t="n">
        <v>99</v>
      </c>
      <c r="V62" t="n">
        <v>99</v>
      </c>
      <c r="W62" t="n">
        <v>99</v>
      </c>
      <c r="X62" t="n">
        <v>99</v>
      </c>
      <c r="Y62" t="n">
        <v>99</v>
      </c>
    </row>
    <row r="64">
      <c r="A64" s="134" t="inlineStr">
        <is>
          <t>EBITDA Breakeven: Month 5 (May-2026)</t>
        </is>
      </c>
    </row>
  </sheetData>
  <mergeCells count="3">
    <mergeCell ref="B4:M4"/>
    <mergeCell ref="A1:F1"/>
    <mergeCell ref="N4:Y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2026-02-19T04:32:13Z</dcterms:created>
  <dcterms:modified xmlns:dcterms="http://purl.org/dc/terms/" xmlns:xsi="http://www.w3.org/2001/XMLSchema-instance" xsi:type="dcterms:W3CDTF">2026-02-19T05:20:57Z</dcterms:modified>
</cp:coreProperties>
</file>