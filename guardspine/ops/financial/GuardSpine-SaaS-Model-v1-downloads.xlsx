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5"/>
    <sheet state="visible" name="Growth Hypotheses" sheetId="2" r:id="rId6"/>
    <sheet state="visible" name="Costs Hypotheses" sheetId="3" r:id="rId7"/>
    <sheet state="visible" name="Financial Model" sheetId="4" r:id="rId8"/>
  </sheets>
  <definedNames/>
  <calcPr/>
</workbook>
</file>

<file path=xl/sharedStrings.xml><?xml version="1.0" encoding="utf-8"?>
<sst xmlns="http://schemas.openxmlformats.org/spreadsheetml/2006/main" count="103" uniqueCount="84">
  <si>
    <t>Year 1</t>
  </si>
  <si>
    <t>Year 2</t>
  </si>
  <si>
    <t>Revenue</t>
  </si>
  <si>
    <t>ARR</t>
  </si>
  <si>
    <t>Note: To edit the numbers, first make a copy of this sheet (File &gt; Make a copy).</t>
  </si>
  <si>
    <t>Costs</t>
  </si>
  <si>
    <t>Made by Gary Gaspar</t>
  </si>
  <si>
    <t>Costs of Good Sold</t>
  </si>
  <si>
    <t>Sales &amp; Marketing</t>
  </si>
  <si>
    <t>Research &amp; Development</t>
  </si>
  <si>
    <t>General &amp; Administrative</t>
  </si>
  <si>
    <t>EBIT</t>
  </si>
  <si>
    <t>Cash needed to cover costs</t>
  </si>
  <si>
    <t>Hypotheses</t>
  </si>
  <si>
    <t>Q1</t>
  </si>
  <si>
    <t>Q2</t>
  </si>
  <si>
    <t>Q3</t>
  </si>
  <si>
    <t>Q4</t>
  </si>
  <si>
    <t>Average monthly price of subscriptions</t>
  </si>
  <si>
    <t xml:space="preserve">Monthly growth rate in number of new customer </t>
  </si>
  <si>
    <t>Monthly revenue churn rate</t>
  </si>
  <si>
    <t>Number of new customers added last month</t>
  </si>
  <si>
    <t>Cannot be ZERO</t>
  </si>
  <si>
    <t>Starting MRR</t>
  </si>
  <si>
    <t>Personnel</t>
  </si>
  <si>
    <t>Name (optional)</t>
  </si>
  <si>
    <t>Yearly Cost (tax included)</t>
  </si>
  <si>
    <t>Starting month</t>
  </si>
  <si>
    <t>Category</t>
  </si>
  <si>
    <t>CEO</t>
  </si>
  <si>
    <t>David Youssef</t>
  </si>
  <si>
    <t>Engineer</t>
  </si>
  <si>
    <t>Igor Malovitsa (CTO)</t>
  </si>
  <si>
    <t>Eng Hire #1</t>
  </si>
  <si>
    <t>Eng Hire #2</t>
  </si>
  <si>
    <t>Marketing spending</t>
  </si>
  <si>
    <t>% of MRR</t>
  </si>
  <si>
    <t>Adwords</t>
  </si>
  <si>
    <t>Social / display ads</t>
  </si>
  <si>
    <t>Cost of good sold</t>
  </si>
  <si>
    <t>Payement Processing fees</t>
  </si>
  <si>
    <t>Hosting &amp; Bandwidth</t>
  </si>
  <si>
    <t>Miscellaneous</t>
  </si>
  <si>
    <t>AI Agent APIs (3 x $1K/mo)</t>
  </si>
  <si>
    <t>Software subscriptions (CRM, monitoring)</t>
  </si>
  <si>
    <t>Legal, accountants, IP/patents</t>
  </si>
  <si>
    <t>Travel / conferences</t>
  </si>
  <si>
    <t>Remote work (no office)</t>
  </si>
  <si>
    <t>Internet, supplies</t>
  </si>
  <si>
    <t>Insurance (D&amp;O, E&amp;O)</t>
  </si>
  <si>
    <t>Content / SEO / community</t>
  </si>
  <si>
    <t>Cognitive attestation license (future)</t>
  </si>
  <si>
    <t>Month</t>
  </si>
  <si>
    <t>Month N</t>
  </si>
  <si>
    <t>REVENUE</t>
  </si>
  <si>
    <t>Revenue &amp; customer Growth</t>
  </si>
  <si>
    <t>Average revenue per new customer</t>
  </si>
  <si>
    <t>New customers</t>
  </si>
  <si>
    <t>Churn Rate</t>
  </si>
  <si>
    <t>Month Recurring Revenue</t>
  </si>
  <si>
    <t>New MRR</t>
  </si>
  <si>
    <t>Lost MRR</t>
  </si>
  <si>
    <t>MRR from last month</t>
  </si>
  <si>
    <t>Gross MRR</t>
  </si>
  <si>
    <t>MRR Growth rate</t>
  </si>
  <si>
    <t>Payment Processing</t>
  </si>
  <si>
    <t>Net MRR</t>
  </si>
  <si>
    <t>COSTS</t>
  </si>
  <si>
    <t>Total Payroll</t>
  </si>
  <si>
    <t>Marketing Spending</t>
  </si>
  <si>
    <t>Total Marketing Spending</t>
  </si>
  <si>
    <t>Hosting</t>
  </si>
  <si>
    <t>Total Hosting</t>
  </si>
  <si>
    <t>Total Miscellaneous</t>
  </si>
  <si>
    <t>PROFIT &amp; LOSS</t>
  </si>
  <si>
    <t>Costs of Good sold</t>
  </si>
  <si>
    <t>Support</t>
  </si>
  <si>
    <t>Total Costs of Good Sold</t>
  </si>
  <si>
    <t>Gross Profit</t>
  </si>
  <si>
    <t>Operating Expenses</t>
  </si>
  <si>
    <t>% of Revenues</t>
  </si>
  <si>
    <t>Margins</t>
  </si>
  <si>
    <t>Earning Before Interest &amp; Tax</t>
  </si>
  <si>
    <t>EBIT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</si>
</sst>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&quot;$&quot;"/>
    <numFmt numFmtId="165" formatCode="&quot;$&quot;#,##0.00"/>
    <numFmt numFmtId="166" formatCode="&quot;$&quot;#,##0"/>
    <numFmt numFmtId="167" formatCode="0.0%"/>
    <numFmt numFmtId="168" formatCode="mmm-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4.0"/>
      <color rgb="FF000000"/>
      <name val="Arial"/>
    </font>
    <font>
      <i/>
      <color rgb="FF999999"/>
      <name val="Arial"/>
      <scheme val="minor"/>
    </font>
    <font>
      <u/>
      <color rgb="FF0000FF"/>
    </font>
    <font>
      <sz val="10.0"/>
      <color rgb="FF000000"/>
      <name val="Arial"/>
    </font>
    <font/>
    <font>
      <i/>
      <color theme="1"/>
      <name val="Arial"/>
      <scheme val="minor"/>
    </font>
    <font>
      <color rgb="FFFFFFFF"/>
      <name val="Arial"/>
      <scheme val="minor"/>
    </font>
    <font>
      <color rgb="FF21DA27"/>
      <name val="Arial"/>
      <scheme val="minor"/>
    </font>
    <font>
      <color rgb="FFFF0000"/>
      <name val="Arial"/>
      <scheme val="minor"/>
    </font>
    <font>
      <b/>
      <i/>
      <color theme="1"/>
      <name val="Arial"/>
      <scheme val="minor"/>
    </font>
    <font>
      <i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/>
    </xf>
    <xf borderId="0" fillId="2" fontId="2" numFmtId="0" xfId="0" applyFont="1"/>
    <xf borderId="1" fillId="2" fontId="1" numFmtId="0" xfId="0" applyBorder="1" applyFont="1"/>
    <xf borderId="2" fillId="2" fontId="1" numFmtId="0" xfId="0" applyBorder="1" applyFont="1"/>
    <xf borderId="3" fillId="2" fontId="1" numFmtId="0" xfId="0" applyBorder="1" applyFont="1"/>
    <xf borderId="4" fillId="2" fontId="1" numFmtId="164" xfId="0" applyBorder="1" applyFont="1" applyNumberFormat="1"/>
    <xf borderId="0" fillId="2" fontId="3" numFmtId="0" xfId="0" applyFont="1"/>
    <xf borderId="5" fillId="2" fontId="2" numFmtId="0" xfId="0" applyBorder="1" applyFont="1"/>
    <xf borderId="6" fillId="2" fontId="1" numFmtId="0" xfId="0" applyBorder="1" applyFont="1"/>
    <xf borderId="5" fillId="2" fontId="1" numFmtId="0" xfId="0" applyBorder="1" applyFont="1"/>
    <xf borderId="5" fillId="2" fontId="4" numFmtId="10" xfId="0" applyBorder="1" applyFont="1" applyNumberFormat="1"/>
    <xf borderId="6" fillId="2" fontId="1" numFmtId="164" xfId="0" applyBorder="1" applyFont="1" applyNumberFormat="1"/>
    <xf borderId="0" fillId="2" fontId="5" numFmtId="0" xfId="0" applyFont="1"/>
    <xf borderId="6" fillId="2" fontId="1" numFmtId="165" xfId="0" applyBorder="1" applyFont="1" applyNumberFormat="1"/>
    <xf borderId="6" fillId="2" fontId="1" numFmtId="166" xfId="0" applyBorder="1" applyFont="1" applyNumberFormat="1"/>
    <xf borderId="4" fillId="2" fontId="1" numFmtId="0" xfId="0" applyBorder="1" applyFont="1"/>
    <xf borderId="7" fillId="2" fontId="1" numFmtId="0" xfId="0" applyBorder="1" applyFont="1"/>
    <xf borderId="8" fillId="2" fontId="2" numFmtId="164" xfId="0" applyBorder="1" applyFont="1" applyNumberFormat="1"/>
    <xf borderId="9" fillId="2" fontId="1" numFmtId="0" xfId="0" applyBorder="1" applyFont="1"/>
    <xf borderId="9" fillId="0" fontId="1" numFmtId="0" xfId="0" applyBorder="1" applyFont="1"/>
    <xf borderId="8" fillId="2" fontId="2" numFmtId="165" xfId="0" applyBorder="1" applyFont="1" applyNumberFormat="1"/>
    <xf borderId="0" fillId="0" fontId="6" numFmtId="0" xfId="0" applyFont="1"/>
    <xf borderId="0" fillId="0" fontId="1" numFmtId="0" xfId="0" applyAlignment="1" applyFont="1">
      <alignment shrinkToFit="0" wrapText="1"/>
    </xf>
    <xf borderId="7" fillId="0" fontId="1" numFmtId="0" xfId="0" applyAlignment="1" applyBorder="1" applyFont="1">
      <alignment horizontal="center"/>
    </xf>
    <xf borderId="9" fillId="0" fontId="7" numFmtId="0" xfId="0" applyBorder="1" applyFont="1"/>
    <xf borderId="8" fillId="0" fontId="7" numFmtId="0" xfId="0" applyBorder="1" applyFont="1"/>
    <xf borderId="0" fillId="0" fontId="2" numFmtId="0" xfId="0" applyAlignment="1" applyFont="1">
      <alignment shrinkToFit="0" wrapText="1"/>
    </xf>
    <xf borderId="9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shrinkToFit="0" wrapText="1"/>
    </xf>
    <xf borderId="9" fillId="3" fontId="1" numFmtId="164" xfId="0" applyBorder="1" applyFill="1" applyFont="1" applyNumberFormat="1"/>
    <xf borderId="9" fillId="3" fontId="1" numFmtId="9" xfId="0" applyBorder="1" applyFont="1" applyNumberFormat="1"/>
    <xf borderId="8" fillId="3" fontId="1" numFmtId="9" xfId="0" applyBorder="1" applyFont="1" applyNumberFormat="1"/>
    <xf borderId="9" fillId="3" fontId="1" numFmtId="167" xfId="0" applyBorder="1" applyFont="1" applyNumberFormat="1"/>
    <xf borderId="8" fillId="3" fontId="1" numFmtId="167" xfId="0" applyBorder="1" applyFont="1" applyNumberFormat="1"/>
    <xf borderId="0" fillId="0" fontId="1" numFmtId="167" xfId="0" applyFont="1" applyNumberFormat="1"/>
    <xf borderId="0" fillId="3" fontId="1" numFmtId="0" xfId="0" applyFont="1"/>
    <xf borderId="0" fillId="0" fontId="8" numFmtId="0" xfId="0" applyFont="1"/>
    <xf borderId="0" fillId="3" fontId="1" numFmtId="166" xfId="0" applyFont="1" applyNumberFormat="1"/>
    <xf borderId="0" fillId="0" fontId="1" numFmtId="49" xfId="0" applyFont="1" applyNumberFormat="1"/>
    <xf borderId="0" fillId="0" fontId="2" numFmtId="0" xfId="0" applyFont="1"/>
    <xf borderId="0" fillId="0" fontId="1" numFmtId="0" xfId="0" applyFont="1"/>
    <xf borderId="0" fillId="0" fontId="1" numFmtId="0" xfId="0" applyFont="1"/>
    <xf borderId="0" fillId="0" fontId="1" numFmtId="9" xfId="0" applyFont="1" applyNumberFormat="1"/>
    <xf borderId="0" fillId="3" fontId="1" numFmtId="9" xfId="0" applyFont="1" applyNumberFormat="1"/>
    <xf borderId="0" fillId="0" fontId="1" numFmtId="165" xfId="0" applyFont="1" applyNumberFormat="1"/>
    <xf borderId="0" fillId="3" fontId="1" numFmtId="165" xfId="0" applyFont="1" applyNumberFormat="1"/>
    <xf borderId="0" fillId="0" fontId="1" numFmtId="166" xfId="0" applyFont="1" applyNumberFormat="1"/>
    <xf borderId="1" fillId="0" fontId="2" numFmtId="0" xfId="0" applyAlignment="1" applyBorder="1" applyFont="1">
      <alignment horizontal="center"/>
    </xf>
    <xf borderId="10" fillId="0" fontId="7" numFmtId="0" xfId="0" applyBorder="1" applyFont="1"/>
    <xf borderId="2" fillId="0" fontId="7" numFmtId="0" xfId="0" applyBorder="1" applyFont="1"/>
    <xf borderId="5" fillId="0" fontId="1" numFmtId="168" xfId="0" applyBorder="1" applyFont="1" applyNumberFormat="1"/>
    <xf borderId="0" fillId="0" fontId="1" numFmtId="168" xfId="0" applyFont="1" applyNumberFormat="1"/>
    <xf borderId="6" fillId="0" fontId="1" numFmtId="168" xfId="0" applyBorder="1" applyFont="1" applyNumberFormat="1"/>
    <xf borderId="5" fillId="0" fontId="1" numFmtId="0" xfId="0" applyBorder="1" applyFont="1"/>
    <xf borderId="6" fillId="0" fontId="1" numFmtId="0" xfId="0" applyBorder="1" applyFont="1"/>
    <xf borderId="0" fillId="4" fontId="9" numFmtId="0" xfId="0" applyFill="1" applyFont="1"/>
    <xf borderId="5" fillId="0" fontId="1" numFmtId="164" xfId="0" applyBorder="1" applyFont="1" applyNumberFormat="1"/>
    <xf borderId="0" fillId="0" fontId="1" numFmtId="164" xfId="0" applyFont="1" applyNumberFormat="1"/>
    <xf borderId="6" fillId="0" fontId="1" numFmtId="164" xfId="0" applyBorder="1" applyFont="1" applyNumberFormat="1"/>
    <xf borderId="0" fillId="0" fontId="1" numFmtId="3" xfId="0" applyFont="1" applyNumberFormat="1"/>
    <xf borderId="5" fillId="0" fontId="1" numFmtId="3" xfId="0" applyBorder="1" applyFont="1" applyNumberFormat="1"/>
    <xf borderId="6" fillId="0" fontId="1" numFmtId="3" xfId="0" applyBorder="1" applyFont="1" applyNumberFormat="1"/>
    <xf borderId="5" fillId="0" fontId="1" numFmtId="167" xfId="0" applyBorder="1" applyFont="1" applyNumberFormat="1"/>
    <xf borderId="6" fillId="0" fontId="1" numFmtId="167" xfId="0" applyBorder="1" applyFont="1" applyNumberFormat="1"/>
    <xf borderId="5" fillId="0" fontId="10" numFmtId="0" xfId="0" applyBorder="1" applyFont="1"/>
    <xf borderId="0" fillId="0" fontId="10" numFmtId="0" xfId="0" applyFont="1"/>
    <xf borderId="6" fillId="0" fontId="10" numFmtId="0" xfId="0" applyBorder="1" applyFont="1"/>
    <xf borderId="5" fillId="0" fontId="10" numFmtId="164" xfId="0" applyBorder="1" applyFont="1" applyNumberFormat="1"/>
    <xf borderId="0" fillId="0" fontId="10" numFmtId="164" xfId="0" applyFont="1" applyNumberFormat="1"/>
    <xf borderId="6" fillId="0" fontId="10" numFmtId="164" xfId="0" applyBorder="1" applyFont="1" applyNumberFormat="1"/>
    <xf borderId="5" fillId="0" fontId="11" numFmtId="164" xfId="0" applyBorder="1" applyFont="1" applyNumberFormat="1"/>
    <xf borderId="0" fillId="0" fontId="11" numFmtId="164" xfId="0" applyFont="1" applyNumberFormat="1"/>
    <xf borderId="6" fillId="0" fontId="11" numFmtId="164" xfId="0" applyBorder="1" applyFont="1" applyNumberFormat="1"/>
    <xf borderId="0" fillId="2" fontId="12" numFmtId="164" xfId="0" applyFont="1" applyNumberFormat="1"/>
    <xf borderId="5" fillId="2" fontId="12" numFmtId="164" xfId="0" applyBorder="1" applyFont="1" applyNumberFormat="1"/>
    <xf borderId="6" fillId="2" fontId="12" numFmtId="164" xfId="0" applyBorder="1" applyFont="1" applyNumberFormat="1"/>
    <xf borderId="0" fillId="0" fontId="4" numFmtId="167" xfId="0" applyFont="1" applyNumberFormat="1"/>
    <xf borderId="5" fillId="0" fontId="4" numFmtId="167" xfId="0" applyBorder="1" applyFont="1" applyNumberFormat="1"/>
    <xf borderId="6" fillId="0" fontId="4" numFmtId="167" xfId="0" applyBorder="1" applyFont="1" applyNumberFormat="1"/>
    <xf borderId="5" fillId="0" fontId="13" numFmtId="165" xfId="0" applyBorder="1" applyFont="1" applyNumberFormat="1"/>
    <xf borderId="0" fillId="0" fontId="13" numFmtId="165" xfId="0" applyFont="1" applyNumberFormat="1"/>
    <xf borderId="6" fillId="0" fontId="13" numFmtId="165" xfId="0" applyBorder="1" applyFont="1" applyNumberFormat="1"/>
    <xf borderId="0" fillId="5" fontId="2" numFmtId="164" xfId="0" applyFill="1" applyFont="1" applyNumberFormat="1"/>
    <xf borderId="5" fillId="5" fontId="2" numFmtId="164" xfId="0" applyBorder="1" applyFont="1" applyNumberFormat="1"/>
    <xf borderId="6" fillId="5" fontId="2" numFmtId="164" xfId="0" applyBorder="1" applyFont="1" applyNumberFormat="1"/>
    <xf borderId="5" fillId="0" fontId="1" numFmtId="166" xfId="0" applyBorder="1" applyFont="1" applyNumberFormat="1"/>
    <xf borderId="6" fillId="0" fontId="1" numFmtId="166" xfId="0" applyBorder="1" applyFont="1" applyNumberFormat="1"/>
    <xf borderId="5" fillId="0" fontId="1" numFmtId="165" xfId="0" applyBorder="1" applyFont="1" applyNumberFormat="1"/>
    <xf borderId="6" fillId="0" fontId="1" numFmtId="165" xfId="0" applyBorder="1" applyFont="1" applyNumberFormat="1"/>
    <xf borderId="0" fillId="0" fontId="4" numFmtId="0" xfId="0" applyFont="1"/>
    <xf borderId="5" fillId="0" fontId="4" numFmtId="10" xfId="0" applyBorder="1" applyFont="1" applyNumberFormat="1"/>
    <xf borderId="0" fillId="0" fontId="4" numFmtId="10" xfId="0" applyFont="1" applyNumberFormat="1"/>
    <xf borderId="6" fillId="0" fontId="4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22.25"/>
    <col customWidth="1" min="3" max="6" width="12.63"/>
  </cols>
  <sheetData>
    <row r="1" ht="15.75" customHeight="1">
      <c r="A1" s="1"/>
      <c r="B1" s="1"/>
      <c r="C1" s="2" t="s">
        <v>0</v>
      </c>
      <c r="E1" s="2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2</v>
      </c>
      <c r="B2" s="1"/>
      <c r="C2" s="4"/>
      <c r="D2" s="5"/>
      <c r="E2" s="4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3</v>
      </c>
      <c r="C3" s="6"/>
      <c r="D3" s="7">
        <f>sum('Financial Model'!C66:N66)</f>
        <v>392518.5639</v>
      </c>
      <c r="E3" s="6"/>
      <c r="F3" s="7">
        <f>sum('Financial Model'!O66:Z66)</f>
        <v>1952807.071</v>
      </c>
      <c r="G3" s="1"/>
      <c r="H3" s="8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/>
      <c r="B4" s="5"/>
      <c r="C4" s="4"/>
      <c r="D4" s="5"/>
      <c r="E4" s="4"/>
      <c r="F4" s="5"/>
      <c r="G4" s="1"/>
      <c r="I4" s="1"/>
      <c r="J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9" t="s">
        <v>5</v>
      </c>
      <c r="B5" s="10"/>
      <c r="C5" s="11"/>
      <c r="D5" s="10"/>
      <c r="E5" s="11"/>
      <c r="F5" s="10"/>
      <c r="G5" s="1"/>
      <c r="H5" s="1" t="s">
        <v>6</v>
      </c>
      <c r="I5" s="1"/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1"/>
      <c r="B6" s="10" t="s">
        <v>7</v>
      </c>
      <c r="C6" s="12">
        <f t="shared" ref="C6:C9" si="1">D6/$D$3</f>
        <v>0.0758577037</v>
      </c>
      <c r="D6" s="13">
        <f>sum('Financial Model'!C71:N71)</f>
        <v>29775.55692</v>
      </c>
      <c r="E6" s="12">
        <f t="shared" ref="E6:E9" si="2">F6/$F$3</f>
        <v>0.03921750042</v>
      </c>
      <c r="F6" s="13">
        <f>sum('Financial Model'!O71:Z71)</f>
        <v>76584.21212</v>
      </c>
      <c r="G6" s="1"/>
      <c r="H6" s="14" t="str">
        <f>HYPERLINK("https://marker.io?utm_source=spreadsheet&amp;utm_medium=template&amp;utm_campaign=saas-financial-model","https://marker.io")</f>
        <v>https://marker.io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1"/>
      <c r="B7" s="10" t="s">
        <v>8</v>
      </c>
      <c r="C7" s="12">
        <f t="shared" si="1"/>
        <v>0.06057180247</v>
      </c>
      <c r="D7" s="15">
        <f>sum('Financial Model'!C77:N77)</f>
        <v>23775.55692</v>
      </c>
      <c r="E7" s="12">
        <f t="shared" si="2"/>
        <v>0.03614500028</v>
      </c>
      <c r="F7" s="15">
        <f>sum('Financial Model'!O77:Z77)</f>
        <v>70584.21212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1"/>
      <c r="B8" s="10" t="s">
        <v>9</v>
      </c>
      <c r="C8" s="12">
        <f t="shared" si="1"/>
        <v>0.7031514567</v>
      </c>
      <c r="D8" s="16">
        <f>sum('Financial Model'!C80:N80)</f>
        <v>276000</v>
      </c>
      <c r="E8" s="12">
        <f t="shared" si="2"/>
        <v>0.2027850093</v>
      </c>
      <c r="F8" s="16">
        <f>sum('Financial Model'!O80:Z80)</f>
        <v>396000</v>
      </c>
      <c r="G8" s="1"/>
      <c r="H8" s="1"/>
      <c r="I8" s="1"/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1"/>
      <c r="B9" s="10" t="s">
        <v>10</v>
      </c>
      <c r="C9" s="12">
        <f t="shared" si="1"/>
        <v>0.4239391848</v>
      </c>
      <c r="D9" s="16">
        <f>sum('Financial Model'!C83:N83)</f>
        <v>166404</v>
      </c>
      <c r="E9" s="12">
        <f t="shared" si="2"/>
        <v>0.08521271891</v>
      </c>
      <c r="F9" s="16">
        <f>sum('Financial Model'!O83:Z83)</f>
        <v>166404</v>
      </c>
      <c r="G9" s="1"/>
      <c r="H9" s="1"/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6"/>
      <c r="B10" s="17"/>
      <c r="C10" s="6"/>
      <c r="D10" s="17"/>
      <c r="E10" s="6"/>
      <c r="F10" s="17"/>
      <c r="G10" s="1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3" t="s">
        <v>11</v>
      </c>
      <c r="B11" s="1"/>
      <c r="C11" s="18"/>
      <c r="D11" s="19">
        <f>D3-sum(D6:D9)</f>
        <v>-103436.5499</v>
      </c>
      <c r="E11" s="18"/>
      <c r="F11" s="19">
        <f>F3-sum(F6:F9)</f>
        <v>1243234.646</v>
      </c>
      <c r="G11" s="1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8" t="s">
        <v>12</v>
      </c>
      <c r="B14" s="20"/>
      <c r="C14" s="21"/>
      <c r="D14" s="20"/>
      <c r="E14" s="20"/>
      <c r="F14" s="22">
        <f>sumif('Financial Model'!C87:Z87,"&lt;0")</f>
        <v>-132357.3437</v>
      </c>
      <c r="G14" s="1"/>
      <c r="H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3"/>
      <c r="B221" s="23"/>
    </row>
    <row r="222" ht="15.75" customHeight="1">
      <c r="A222" s="23"/>
      <c r="B222" s="23"/>
    </row>
    <row r="223" ht="15.75" customHeight="1">
      <c r="A223" s="23"/>
      <c r="B223" s="23"/>
    </row>
    <row r="224" ht="15.75" customHeight="1">
      <c r="A224" s="23"/>
      <c r="B224" s="23"/>
    </row>
    <row r="225" ht="15.75" customHeight="1">
      <c r="A225" s="23"/>
      <c r="B225" s="23"/>
    </row>
    <row r="226" ht="15.75" customHeight="1">
      <c r="A226" s="23"/>
      <c r="B226" s="23"/>
    </row>
    <row r="227" ht="15.75" customHeight="1">
      <c r="A227" s="23"/>
      <c r="B227" s="23"/>
    </row>
    <row r="228" ht="15.75" customHeight="1">
      <c r="A228" s="23"/>
      <c r="B228" s="23"/>
    </row>
    <row r="229" ht="15.75" customHeight="1">
      <c r="A229" s="23"/>
      <c r="B229" s="23"/>
    </row>
    <row r="230" ht="15.75" customHeight="1">
      <c r="A230" s="23"/>
      <c r="B230" s="23"/>
    </row>
    <row r="231" ht="15.75" customHeight="1">
      <c r="A231" s="23"/>
      <c r="B231" s="23"/>
    </row>
    <row r="232" ht="15.75" customHeight="1">
      <c r="A232" s="23"/>
      <c r="B232" s="23"/>
    </row>
    <row r="233" ht="15.75" customHeight="1">
      <c r="A233" s="23"/>
      <c r="B233" s="23"/>
    </row>
    <row r="234" ht="15.75" customHeight="1">
      <c r="A234" s="23"/>
      <c r="B234" s="23"/>
    </row>
    <row r="235" ht="15.75" customHeight="1">
      <c r="A235" s="23"/>
      <c r="B235" s="23"/>
    </row>
    <row r="236" ht="15.75" customHeight="1">
      <c r="A236" s="23"/>
      <c r="B236" s="23"/>
    </row>
    <row r="237" ht="15.75" customHeight="1">
      <c r="A237" s="23"/>
      <c r="B237" s="23"/>
    </row>
    <row r="238" ht="15.75" customHeight="1">
      <c r="A238" s="23"/>
      <c r="B238" s="23"/>
    </row>
    <row r="239" ht="15.75" customHeight="1">
      <c r="A239" s="23"/>
      <c r="B239" s="23"/>
    </row>
    <row r="240" ht="15.75" customHeight="1">
      <c r="A240" s="23"/>
      <c r="B240" s="23"/>
    </row>
    <row r="241" ht="15.75" customHeight="1">
      <c r="A241" s="23"/>
      <c r="B241" s="23"/>
    </row>
    <row r="242" ht="15.75" customHeight="1">
      <c r="A242" s="23"/>
      <c r="B242" s="23"/>
    </row>
    <row r="243" ht="15.75" customHeight="1">
      <c r="A243" s="23"/>
      <c r="B243" s="23"/>
    </row>
    <row r="244" ht="15.75" customHeight="1">
      <c r="A244" s="23"/>
      <c r="B244" s="23"/>
    </row>
    <row r="245" ht="15.75" customHeight="1">
      <c r="A245" s="23"/>
      <c r="B245" s="23"/>
    </row>
    <row r="246" ht="15.75" customHeight="1">
      <c r="A246" s="23"/>
      <c r="B246" s="23"/>
    </row>
    <row r="247" ht="15.75" customHeight="1">
      <c r="A247" s="23"/>
      <c r="B247" s="23"/>
    </row>
    <row r="248" ht="15.75" customHeight="1">
      <c r="A248" s="23"/>
      <c r="B248" s="23"/>
    </row>
    <row r="249" ht="15.75" customHeight="1">
      <c r="A249" s="23"/>
      <c r="B249" s="23"/>
    </row>
    <row r="250" ht="15.75" customHeight="1">
      <c r="A250" s="23"/>
      <c r="B250" s="23"/>
    </row>
    <row r="251" ht="15.75" customHeight="1">
      <c r="A251" s="23"/>
      <c r="B251" s="23"/>
    </row>
    <row r="252" ht="15.75" customHeight="1">
      <c r="A252" s="23"/>
      <c r="B252" s="23"/>
    </row>
    <row r="253" ht="15.75" customHeight="1">
      <c r="A253" s="23"/>
      <c r="B253" s="23"/>
    </row>
    <row r="254" ht="15.75" customHeight="1">
      <c r="A254" s="23"/>
      <c r="B254" s="23"/>
    </row>
    <row r="255" ht="15.75" customHeight="1">
      <c r="A255" s="23"/>
      <c r="B255" s="23"/>
    </row>
    <row r="256" ht="15.75" customHeight="1">
      <c r="A256" s="23"/>
      <c r="B256" s="23"/>
    </row>
    <row r="257" ht="15.75" customHeight="1">
      <c r="A257" s="23"/>
      <c r="B257" s="23"/>
    </row>
    <row r="258" ht="15.75" customHeight="1">
      <c r="A258" s="23"/>
      <c r="B258" s="23"/>
    </row>
    <row r="259" ht="15.75" customHeight="1">
      <c r="A259" s="23"/>
      <c r="B259" s="23"/>
    </row>
    <row r="260" ht="15.75" customHeight="1">
      <c r="A260" s="23"/>
      <c r="B260" s="23"/>
    </row>
    <row r="261" ht="15.75" customHeight="1">
      <c r="A261" s="23"/>
      <c r="B261" s="23"/>
    </row>
    <row r="262" ht="15.75" customHeight="1">
      <c r="A262" s="23"/>
      <c r="B262" s="23"/>
    </row>
    <row r="263" ht="15.75" customHeight="1">
      <c r="A263" s="23"/>
      <c r="B263" s="23"/>
    </row>
    <row r="264" ht="15.75" customHeight="1">
      <c r="A264" s="23"/>
      <c r="B264" s="23"/>
    </row>
    <row r="265" ht="15.75" customHeight="1">
      <c r="A265" s="23"/>
      <c r="B265" s="23"/>
    </row>
    <row r="266" ht="15.75" customHeight="1">
      <c r="A266" s="23"/>
      <c r="B266" s="23"/>
    </row>
    <row r="267" ht="15.75" customHeight="1">
      <c r="A267" s="23"/>
      <c r="B267" s="23"/>
    </row>
    <row r="268" ht="15.75" customHeight="1">
      <c r="A268" s="23"/>
      <c r="B268" s="23"/>
    </row>
    <row r="269" ht="15.75" customHeight="1">
      <c r="A269" s="23"/>
      <c r="B269" s="23"/>
    </row>
    <row r="270" ht="15.75" customHeight="1">
      <c r="A270" s="23"/>
      <c r="B270" s="23"/>
    </row>
    <row r="271" ht="15.75" customHeight="1">
      <c r="A271" s="23"/>
      <c r="B271" s="23"/>
    </row>
    <row r="272" ht="15.75" customHeight="1">
      <c r="A272" s="23"/>
      <c r="B272" s="23"/>
    </row>
    <row r="273" ht="15.75" customHeight="1">
      <c r="A273" s="23"/>
      <c r="B273" s="23"/>
    </row>
    <row r="274" ht="15.75" customHeight="1">
      <c r="A274" s="23"/>
      <c r="B274" s="23"/>
    </row>
    <row r="275" ht="15.75" customHeight="1">
      <c r="A275" s="23"/>
      <c r="B275" s="23"/>
    </row>
    <row r="276" ht="15.75" customHeight="1">
      <c r="A276" s="23"/>
      <c r="B276" s="23"/>
    </row>
    <row r="277" ht="15.75" customHeight="1">
      <c r="A277" s="23"/>
      <c r="B277" s="23"/>
    </row>
    <row r="278" ht="15.75" customHeight="1">
      <c r="A278" s="23"/>
      <c r="B278" s="23"/>
    </row>
    <row r="279" ht="15.75" customHeight="1">
      <c r="A279" s="23"/>
      <c r="B279" s="23"/>
    </row>
    <row r="280" ht="15.75" customHeight="1">
      <c r="A280" s="23"/>
      <c r="B280" s="23"/>
    </row>
    <row r="281" ht="15.75" customHeight="1">
      <c r="A281" s="23"/>
      <c r="B281" s="23"/>
    </row>
    <row r="282" ht="15.75" customHeight="1">
      <c r="A282" s="23"/>
      <c r="B282" s="23"/>
    </row>
    <row r="283" ht="15.75" customHeight="1">
      <c r="A283" s="23"/>
      <c r="B283" s="23"/>
    </row>
    <row r="284" ht="15.75" customHeight="1">
      <c r="A284" s="23"/>
      <c r="B284" s="23"/>
    </row>
    <row r="285" ht="15.75" customHeight="1">
      <c r="A285" s="23"/>
      <c r="B285" s="23"/>
    </row>
    <row r="286" ht="15.75" customHeight="1">
      <c r="A286" s="23"/>
      <c r="B286" s="23"/>
    </row>
    <row r="287" ht="15.75" customHeight="1">
      <c r="A287" s="23"/>
      <c r="B287" s="23"/>
    </row>
    <row r="288" ht="15.75" customHeight="1">
      <c r="A288" s="23"/>
      <c r="B288" s="23"/>
    </row>
    <row r="289" ht="15.75" customHeight="1">
      <c r="A289" s="23"/>
      <c r="B289" s="23"/>
    </row>
    <row r="290" ht="15.75" customHeight="1">
      <c r="A290" s="23"/>
      <c r="B290" s="23"/>
    </row>
    <row r="291" ht="15.75" customHeight="1">
      <c r="A291" s="23"/>
      <c r="B291" s="23"/>
    </row>
    <row r="292" ht="15.75" customHeight="1">
      <c r="A292" s="23"/>
      <c r="B292" s="23"/>
    </row>
    <row r="293" ht="15.75" customHeight="1">
      <c r="A293" s="23"/>
      <c r="B293" s="23"/>
    </row>
    <row r="294" ht="15.75" customHeight="1">
      <c r="A294" s="23"/>
      <c r="B294" s="23"/>
    </row>
    <row r="295" ht="15.75" customHeight="1">
      <c r="A295" s="23"/>
      <c r="B295" s="23"/>
    </row>
    <row r="296" ht="15.75" customHeight="1">
      <c r="A296" s="23"/>
      <c r="B296" s="23"/>
    </row>
    <row r="297" ht="15.75" customHeight="1">
      <c r="A297" s="23"/>
      <c r="B297" s="23"/>
    </row>
    <row r="298" ht="15.75" customHeight="1">
      <c r="A298" s="23"/>
      <c r="B298" s="23"/>
    </row>
    <row r="299" ht="15.75" customHeight="1">
      <c r="A299" s="23"/>
      <c r="B299" s="23"/>
    </row>
    <row r="300" ht="15.75" customHeight="1">
      <c r="A300" s="23"/>
      <c r="B300" s="23"/>
    </row>
    <row r="301" ht="15.75" customHeight="1">
      <c r="A301" s="23"/>
      <c r="B301" s="23"/>
    </row>
    <row r="302" ht="15.75" customHeight="1">
      <c r="A302" s="23"/>
      <c r="B302" s="23"/>
    </row>
    <row r="303" ht="15.75" customHeight="1">
      <c r="A303" s="23"/>
      <c r="B303" s="23"/>
    </row>
    <row r="304" ht="15.75" customHeight="1">
      <c r="A304" s="23"/>
      <c r="B304" s="23"/>
    </row>
    <row r="305" ht="15.75" customHeight="1">
      <c r="A305" s="23"/>
      <c r="B305" s="23"/>
    </row>
    <row r="306" ht="15.75" customHeight="1">
      <c r="A306" s="23"/>
      <c r="B306" s="23"/>
    </row>
    <row r="307" ht="15.75" customHeight="1">
      <c r="A307" s="23"/>
      <c r="B307" s="23"/>
    </row>
    <row r="308" ht="15.75" customHeight="1">
      <c r="A308" s="23"/>
      <c r="B308" s="23"/>
    </row>
    <row r="309" ht="15.75" customHeight="1">
      <c r="A309" s="23"/>
      <c r="B309" s="23"/>
    </row>
    <row r="310" ht="15.75" customHeight="1">
      <c r="A310" s="23"/>
      <c r="B310" s="23"/>
    </row>
    <row r="311" ht="15.75" customHeight="1">
      <c r="A311" s="23"/>
      <c r="B311" s="23"/>
    </row>
    <row r="312" ht="15.75" customHeight="1">
      <c r="A312" s="23"/>
      <c r="B312" s="23"/>
    </row>
    <row r="313" ht="15.75" customHeight="1">
      <c r="A313" s="23"/>
      <c r="B313" s="23"/>
    </row>
    <row r="314" ht="15.75" customHeight="1">
      <c r="A314" s="23"/>
      <c r="B314" s="23"/>
    </row>
    <row r="315" ht="15.75" customHeight="1">
      <c r="A315" s="23"/>
      <c r="B315" s="23"/>
    </row>
    <row r="316" ht="15.75" customHeight="1">
      <c r="A316" s="23"/>
      <c r="B316" s="23"/>
    </row>
    <row r="317" ht="15.75" customHeight="1">
      <c r="A317" s="23"/>
      <c r="B317" s="23"/>
    </row>
    <row r="318" ht="15.75" customHeight="1">
      <c r="A318" s="23"/>
      <c r="B318" s="23"/>
    </row>
    <row r="319" ht="15.75" customHeight="1">
      <c r="A319" s="23"/>
      <c r="B319" s="23"/>
    </row>
    <row r="320" ht="15.75" customHeight="1">
      <c r="A320" s="23"/>
      <c r="B320" s="23"/>
    </row>
    <row r="321" ht="15.75" customHeight="1">
      <c r="A321" s="23"/>
      <c r="B321" s="23"/>
    </row>
    <row r="322" ht="15.75" customHeight="1">
      <c r="A322" s="23"/>
      <c r="B322" s="23"/>
    </row>
    <row r="323" ht="15.75" customHeight="1">
      <c r="A323" s="23"/>
      <c r="B323" s="23"/>
    </row>
    <row r="324" ht="15.75" customHeight="1">
      <c r="A324" s="23"/>
      <c r="B324" s="23"/>
    </row>
    <row r="325" ht="15.75" customHeight="1">
      <c r="A325" s="23"/>
      <c r="B325" s="23"/>
    </row>
    <row r="326" ht="15.75" customHeight="1">
      <c r="A326" s="23"/>
      <c r="B326" s="23"/>
    </row>
    <row r="327" ht="15.75" customHeight="1">
      <c r="A327" s="23"/>
      <c r="B327" s="23"/>
    </row>
    <row r="328" ht="15.75" customHeight="1">
      <c r="A328" s="23"/>
      <c r="B328" s="23"/>
    </row>
    <row r="329" ht="15.75" customHeight="1">
      <c r="A329" s="23"/>
      <c r="B329" s="23"/>
    </row>
    <row r="330" ht="15.75" customHeight="1">
      <c r="A330" s="23"/>
      <c r="B330" s="23"/>
    </row>
    <row r="331" ht="15.75" customHeight="1">
      <c r="A331" s="23"/>
      <c r="B331" s="23"/>
    </row>
    <row r="332" ht="15.75" customHeight="1">
      <c r="A332" s="23"/>
      <c r="B332" s="23"/>
    </row>
    <row r="333" ht="15.75" customHeight="1">
      <c r="A333" s="23"/>
      <c r="B333" s="23"/>
    </row>
    <row r="334" ht="15.75" customHeight="1">
      <c r="A334" s="23"/>
      <c r="B334" s="23"/>
    </row>
    <row r="335" ht="15.75" customHeight="1">
      <c r="A335" s="23"/>
      <c r="B335" s="23"/>
    </row>
    <row r="336" ht="15.75" customHeight="1">
      <c r="A336" s="23"/>
      <c r="B336" s="23"/>
    </row>
    <row r="337" ht="15.75" customHeight="1">
      <c r="A337" s="23"/>
      <c r="B337" s="23"/>
    </row>
    <row r="338" ht="15.75" customHeight="1">
      <c r="A338" s="23"/>
      <c r="B338" s="23"/>
    </row>
    <row r="339" ht="15.75" customHeight="1">
      <c r="A339" s="23"/>
      <c r="B339" s="23"/>
    </row>
    <row r="340" ht="15.75" customHeight="1">
      <c r="A340" s="23"/>
      <c r="B340" s="23"/>
    </row>
    <row r="341" ht="15.75" customHeight="1">
      <c r="A341" s="23"/>
      <c r="B341" s="23"/>
    </row>
    <row r="342" ht="15.75" customHeight="1">
      <c r="A342" s="23"/>
      <c r="B342" s="23"/>
    </row>
    <row r="343" ht="15.75" customHeight="1">
      <c r="A343" s="23"/>
      <c r="B343" s="23"/>
    </row>
    <row r="344" ht="15.75" customHeight="1">
      <c r="A344" s="23"/>
      <c r="B344" s="23"/>
    </row>
    <row r="345" ht="15.75" customHeight="1">
      <c r="A345" s="23"/>
      <c r="B345" s="23"/>
    </row>
    <row r="346" ht="15.75" customHeight="1">
      <c r="A346" s="23"/>
      <c r="B346" s="23"/>
    </row>
    <row r="347" ht="15.75" customHeight="1">
      <c r="A347" s="23"/>
      <c r="B347" s="23"/>
    </row>
    <row r="348" ht="15.75" customHeight="1">
      <c r="A348" s="23"/>
      <c r="B348" s="23"/>
    </row>
    <row r="349" ht="15.75" customHeight="1">
      <c r="A349" s="23"/>
      <c r="B349" s="23"/>
    </row>
    <row r="350" ht="15.75" customHeight="1">
      <c r="A350" s="23"/>
      <c r="B350" s="23"/>
    </row>
    <row r="351" ht="15.75" customHeight="1">
      <c r="A351" s="23"/>
      <c r="B351" s="23"/>
    </row>
    <row r="352" ht="15.75" customHeight="1">
      <c r="A352" s="23"/>
      <c r="B352" s="23"/>
    </row>
    <row r="353" ht="15.75" customHeight="1">
      <c r="A353" s="23"/>
      <c r="B353" s="23"/>
    </row>
    <row r="354" ht="15.75" customHeight="1">
      <c r="A354" s="23"/>
      <c r="B354" s="23"/>
    </row>
    <row r="355" ht="15.75" customHeight="1">
      <c r="A355" s="23"/>
      <c r="B355" s="23"/>
    </row>
    <row r="356" ht="15.75" customHeight="1">
      <c r="A356" s="23"/>
      <c r="B356" s="23"/>
    </row>
    <row r="357" ht="15.75" customHeight="1">
      <c r="A357" s="23"/>
      <c r="B357" s="23"/>
    </row>
    <row r="358" ht="15.75" customHeight="1">
      <c r="A358" s="23"/>
      <c r="B358" s="23"/>
    </row>
    <row r="359" ht="15.75" customHeight="1">
      <c r="A359" s="23"/>
      <c r="B359" s="23"/>
    </row>
    <row r="360" ht="15.75" customHeight="1">
      <c r="A360" s="23"/>
      <c r="B360" s="23"/>
    </row>
    <row r="361" ht="15.75" customHeight="1">
      <c r="A361" s="23"/>
      <c r="B361" s="23"/>
    </row>
    <row r="362" ht="15.75" customHeight="1">
      <c r="A362" s="23"/>
      <c r="B362" s="23"/>
    </row>
    <row r="363" ht="15.75" customHeight="1">
      <c r="A363" s="23"/>
      <c r="B363" s="23"/>
    </row>
    <row r="364" ht="15.75" customHeight="1">
      <c r="A364" s="23"/>
      <c r="B364" s="23"/>
    </row>
    <row r="365" ht="15.75" customHeight="1">
      <c r="A365" s="23"/>
      <c r="B365" s="23"/>
    </row>
    <row r="366" ht="15.75" customHeight="1">
      <c r="A366" s="23"/>
      <c r="B366" s="23"/>
    </row>
    <row r="367" ht="15.75" customHeight="1">
      <c r="A367" s="23"/>
      <c r="B367" s="23"/>
    </row>
    <row r="368" ht="15.75" customHeight="1">
      <c r="A368" s="23"/>
      <c r="B368" s="23"/>
    </row>
    <row r="369" ht="15.75" customHeight="1">
      <c r="A369" s="23"/>
      <c r="B369" s="23"/>
    </row>
    <row r="370" ht="15.75" customHeight="1">
      <c r="A370" s="23"/>
      <c r="B370" s="23"/>
    </row>
    <row r="371" ht="15.75" customHeight="1">
      <c r="A371" s="23"/>
      <c r="B371" s="23"/>
    </row>
    <row r="372" ht="15.75" customHeight="1">
      <c r="A372" s="23"/>
      <c r="B372" s="23"/>
    </row>
    <row r="373" ht="15.75" customHeight="1">
      <c r="A373" s="23"/>
      <c r="B373" s="23"/>
    </row>
    <row r="374" ht="15.75" customHeight="1">
      <c r="A374" s="23"/>
      <c r="B374" s="23"/>
    </row>
    <row r="375" ht="15.75" customHeight="1">
      <c r="A375" s="23"/>
      <c r="B375" s="23"/>
    </row>
    <row r="376" ht="15.75" customHeight="1">
      <c r="A376" s="23"/>
      <c r="B376" s="23"/>
    </row>
    <row r="377" ht="15.75" customHeight="1">
      <c r="A377" s="23"/>
      <c r="B377" s="23"/>
    </row>
    <row r="378" ht="15.75" customHeight="1">
      <c r="A378" s="23"/>
      <c r="B378" s="23"/>
    </row>
    <row r="379" ht="15.75" customHeight="1">
      <c r="A379" s="23"/>
      <c r="B379" s="23"/>
    </row>
    <row r="380" ht="15.75" customHeight="1">
      <c r="A380" s="23"/>
      <c r="B380" s="23"/>
    </row>
    <row r="381" ht="15.75" customHeight="1">
      <c r="A381" s="23"/>
      <c r="B381" s="23"/>
    </row>
    <row r="382" ht="15.75" customHeight="1">
      <c r="A382" s="23"/>
      <c r="B382" s="23"/>
    </row>
    <row r="383" ht="15.75" customHeight="1">
      <c r="A383" s="23"/>
      <c r="B383" s="23"/>
    </row>
    <row r="384" ht="15.75" customHeight="1">
      <c r="A384" s="23"/>
      <c r="B384" s="23"/>
    </row>
    <row r="385" ht="15.75" customHeight="1">
      <c r="A385" s="23"/>
      <c r="B385" s="23"/>
    </row>
    <row r="386" ht="15.75" customHeight="1">
      <c r="A386" s="23"/>
      <c r="B386" s="23"/>
    </row>
    <row r="387" ht="15.75" customHeight="1">
      <c r="A387" s="23"/>
      <c r="B387" s="23"/>
    </row>
    <row r="388" ht="15.75" customHeight="1">
      <c r="A388" s="23"/>
      <c r="B388" s="23"/>
    </row>
    <row r="389" ht="15.75" customHeight="1">
      <c r="A389" s="23"/>
      <c r="B389" s="23"/>
    </row>
    <row r="390" ht="15.75" customHeight="1">
      <c r="A390" s="23"/>
      <c r="B390" s="23"/>
    </row>
    <row r="391" ht="15.75" customHeight="1">
      <c r="A391" s="23"/>
      <c r="B391" s="23"/>
    </row>
    <row r="392" ht="15.75" customHeight="1">
      <c r="A392" s="23"/>
      <c r="B392" s="23"/>
    </row>
    <row r="393" ht="15.75" customHeight="1">
      <c r="A393" s="23"/>
      <c r="B393" s="23"/>
    </row>
    <row r="394" ht="15.75" customHeight="1">
      <c r="A394" s="23"/>
      <c r="B394" s="23"/>
    </row>
    <row r="395" ht="15.75" customHeight="1">
      <c r="A395" s="23"/>
      <c r="B395" s="23"/>
    </row>
    <row r="396" ht="15.75" customHeight="1">
      <c r="A396" s="23"/>
      <c r="B396" s="23"/>
    </row>
    <row r="397" ht="15.75" customHeight="1">
      <c r="A397" s="23"/>
      <c r="B397" s="23"/>
    </row>
    <row r="398" ht="15.75" customHeight="1">
      <c r="A398" s="23"/>
      <c r="B398" s="23"/>
    </row>
    <row r="399" ht="15.75" customHeight="1">
      <c r="A399" s="23"/>
      <c r="B399" s="23"/>
    </row>
    <row r="400" ht="15.75" customHeight="1">
      <c r="A400" s="23"/>
      <c r="B400" s="23"/>
    </row>
    <row r="401" ht="15.75" customHeight="1">
      <c r="A401" s="23"/>
      <c r="B401" s="23"/>
    </row>
    <row r="402" ht="15.75" customHeight="1">
      <c r="A402" s="23"/>
      <c r="B402" s="23"/>
    </row>
    <row r="403" ht="15.75" customHeight="1">
      <c r="A403" s="23"/>
      <c r="B403" s="23"/>
    </row>
    <row r="404" ht="15.75" customHeight="1">
      <c r="A404" s="23"/>
      <c r="B404" s="23"/>
    </row>
    <row r="405" ht="15.75" customHeight="1">
      <c r="A405" s="23"/>
      <c r="B405" s="23"/>
    </row>
    <row r="406" ht="15.75" customHeight="1">
      <c r="A406" s="23"/>
      <c r="B406" s="23"/>
    </row>
    <row r="407" ht="15.75" customHeight="1">
      <c r="A407" s="23"/>
      <c r="B407" s="23"/>
    </row>
    <row r="408" ht="15.75" customHeight="1">
      <c r="A408" s="23"/>
      <c r="B408" s="23"/>
    </row>
    <row r="409" ht="15.75" customHeight="1">
      <c r="A409" s="23"/>
      <c r="B409" s="23"/>
    </row>
    <row r="410" ht="15.75" customHeight="1">
      <c r="A410" s="23"/>
      <c r="B410" s="23"/>
    </row>
    <row r="411" ht="15.75" customHeight="1">
      <c r="A411" s="23"/>
      <c r="B411" s="23"/>
    </row>
    <row r="412" ht="15.75" customHeight="1">
      <c r="A412" s="23"/>
      <c r="B412" s="23"/>
    </row>
    <row r="413" ht="15.75" customHeight="1">
      <c r="A413" s="23"/>
      <c r="B413" s="23"/>
    </row>
    <row r="414" ht="15.75" customHeight="1">
      <c r="A414" s="23"/>
      <c r="B414" s="23"/>
    </row>
    <row r="415" ht="15.75" customHeight="1">
      <c r="A415" s="23"/>
      <c r="B415" s="23"/>
    </row>
    <row r="416" ht="15.75" customHeight="1">
      <c r="A416" s="23"/>
      <c r="B416" s="23"/>
    </row>
    <row r="417" ht="15.75" customHeight="1">
      <c r="A417" s="23"/>
      <c r="B417" s="23"/>
    </row>
    <row r="418" ht="15.75" customHeight="1">
      <c r="A418" s="23"/>
      <c r="B418" s="23"/>
    </row>
    <row r="419" ht="15.75" customHeight="1">
      <c r="A419" s="23"/>
      <c r="B419" s="23"/>
    </row>
    <row r="420" ht="15.75" customHeight="1">
      <c r="A420" s="23"/>
      <c r="B420" s="23"/>
    </row>
    <row r="421" ht="15.75" customHeight="1">
      <c r="A421" s="23"/>
      <c r="B421" s="23"/>
    </row>
    <row r="422" ht="15.75" customHeight="1">
      <c r="A422" s="23"/>
      <c r="B422" s="23"/>
    </row>
    <row r="423" ht="15.75" customHeight="1">
      <c r="A423" s="23"/>
      <c r="B423" s="23"/>
    </row>
    <row r="424" ht="15.75" customHeight="1">
      <c r="A424" s="23"/>
      <c r="B424" s="23"/>
    </row>
    <row r="425" ht="15.75" customHeight="1">
      <c r="A425" s="23"/>
      <c r="B425" s="23"/>
    </row>
    <row r="426" ht="15.75" customHeight="1">
      <c r="A426" s="23"/>
      <c r="B426" s="23"/>
    </row>
    <row r="427" ht="15.75" customHeight="1">
      <c r="A427" s="23"/>
      <c r="B427" s="23"/>
    </row>
    <row r="428" ht="15.75" customHeight="1">
      <c r="A428" s="23"/>
      <c r="B428" s="23"/>
    </row>
    <row r="429" ht="15.75" customHeight="1">
      <c r="A429" s="23"/>
      <c r="B429" s="23"/>
    </row>
    <row r="430" ht="15.75" customHeight="1">
      <c r="A430" s="23"/>
      <c r="B430" s="23"/>
    </row>
    <row r="431" ht="15.75" customHeight="1">
      <c r="A431" s="23"/>
      <c r="B431" s="23"/>
    </row>
    <row r="432" ht="15.75" customHeight="1">
      <c r="A432" s="23"/>
      <c r="B432" s="23"/>
    </row>
    <row r="433" ht="15.75" customHeight="1">
      <c r="A433" s="23"/>
      <c r="B433" s="23"/>
    </row>
    <row r="434" ht="15.75" customHeight="1">
      <c r="A434" s="23"/>
      <c r="B434" s="23"/>
    </row>
    <row r="435" ht="15.75" customHeight="1">
      <c r="A435" s="23"/>
      <c r="B435" s="23"/>
    </row>
    <row r="436" ht="15.75" customHeight="1">
      <c r="A436" s="23"/>
      <c r="B436" s="23"/>
    </row>
    <row r="437" ht="15.75" customHeight="1">
      <c r="A437" s="23"/>
      <c r="B437" s="23"/>
    </row>
    <row r="438" ht="15.75" customHeight="1">
      <c r="A438" s="23"/>
      <c r="B438" s="23"/>
    </row>
    <row r="439" ht="15.75" customHeight="1">
      <c r="A439" s="23"/>
      <c r="B439" s="23"/>
    </row>
    <row r="440" ht="15.75" customHeight="1">
      <c r="A440" s="23"/>
      <c r="B440" s="23"/>
    </row>
    <row r="441" ht="15.75" customHeight="1">
      <c r="A441" s="23"/>
      <c r="B441" s="23"/>
    </row>
    <row r="442" ht="15.75" customHeight="1">
      <c r="A442" s="23"/>
      <c r="B442" s="23"/>
    </row>
    <row r="443" ht="15.75" customHeight="1">
      <c r="A443" s="23"/>
      <c r="B443" s="23"/>
    </row>
    <row r="444" ht="15.75" customHeight="1">
      <c r="A444" s="23"/>
      <c r="B444" s="23"/>
    </row>
    <row r="445" ht="15.75" customHeight="1">
      <c r="A445" s="23"/>
      <c r="B445" s="23"/>
    </row>
    <row r="446" ht="15.75" customHeight="1">
      <c r="A446" s="23"/>
      <c r="B446" s="23"/>
    </row>
    <row r="447" ht="15.75" customHeight="1">
      <c r="A447" s="23"/>
      <c r="B447" s="23"/>
    </row>
    <row r="448" ht="15.75" customHeight="1">
      <c r="A448" s="23"/>
      <c r="B448" s="23"/>
    </row>
    <row r="449" ht="15.75" customHeight="1">
      <c r="A449" s="23"/>
      <c r="B449" s="23"/>
    </row>
    <row r="450" ht="15.75" customHeight="1">
      <c r="A450" s="23"/>
      <c r="B450" s="23"/>
    </row>
    <row r="451" ht="15.75" customHeight="1">
      <c r="A451" s="23"/>
      <c r="B451" s="23"/>
    </row>
    <row r="452" ht="15.75" customHeight="1">
      <c r="A452" s="23"/>
      <c r="B452" s="23"/>
    </row>
    <row r="453" ht="15.75" customHeight="1">
      <c r="A453" s="23"/>
      <c r="B453" s="23"/>
    </row>
    <row r="454" ht="15.75" customHeight="1">
      <c r="A454" s="23"/>
      <c r="B454" s="23"/>
    </row>
    <row r="455" ht="15.75" customHeight="1">
      <c r="A455" s="23"/>
      <c r="B455" s="23"/>
    </row>
    <row r="456" ht="15.75" customHeight="1">
      <c r="A456" s="23"/>
      <c r="B456" s="23"/>
    </row>
    <row r="457" ht="15.75" customHeight="1">
      <c r="A457" s="23"/>
      <c r="B457" s="23"/>
    </row>
    <row r="458" ht="15.75" customHeight="1">
      <c r="A458" s="23"/>
      <c r="B458" s="23"/>
    </row>
    <row r="459" ht="15.75" customHeight="1">
      <c r="A459" s="23"/>
      <c r="B459" s="23"/>
    </row>
    <row r="460" ht="15.75" customHeight="1">
      <c r="A460" s="23"/>
      <c r="B460" s="23"/>
    </row>
    <row r="461" ht="15.75" customHeight="1">
      <c r="A461" s="23"/>
      <c r="B461" s="23"/>
    </row>
    <row r="462" ht="15.75" customHeight="1">
      <c r="A462" s="23"/>
      <c r="B462" s="23"/>
    </row>
    <row r="463" ht="15.75" customHeight="1">
      <c r="A463" s="23"/>
      <c r="B463" s="23"/>
    </row>
    <row r="464" ht="15.75" customHeight="1">
      <c r="A464" s="23"/>
      <c r="B464" s="23"/>
    </row>
    <row r="465" ht="15.75" customHeight="1">
      <c r="A465" s="23"/>
      <c r="B465" s="23"/>
    </row>
    <row r="466" ht="15.75" customHeight="1">
      <c r="A466" s="23"/>
      <c r="B466" s="23"/>
    </row>
    <row r="467" ht="15.75" customHeight="1">
      <c r="A467" s="23"/>
      <c r="B467" s="23"/>
    </row>
    <row r="468" ht="15.75" customHeight="1">
      <c r="A468" s="23"/>
      <c r="B468" s="23"/>
    </row>
    <row r="469" ht="15.75" customHeight="1">
      <c r="A469" s="23"/>
      <c r="B469" s="23"/>
    </row>
    <row r="470" ht="15.75" customHeight="1">
      <c r="A470" s="23"/>
      <c r="B470" s="23"/>
    </row>
    <row r="471" ht="15.75" customHeight="1">
      <c r="A471" s="23"/>
      <c r="B471" s="23"/>
    </row>
    <row r="472" ht="15.75" customHeight="1">
      <c r="A472" s="23"/>
      <c r="B472" s="23"/>
    </row>
    <row r="473" ht="15.75" customHeight="1">
      <c r="A473" s="23"/>
      <c r="B473" s="23"/>
    </row>
    <row r="474" ht="15.75" customHeight="1">
      <c r="A474" s="23"/>
      <c r="B474" s="23"/>
    </row>
    <row r="475" ht="15.75" customHeight="1">
      <c r="A475" s="23"/>
      <c r="B475" s="23"/>
    </row>
    <row r="476" ht="15.75" customHeight="1">
      <c r="A476" s="23"/>
      <c r="B476" s="23"/>
    </row>
    <row r="477" ht="15.75" customHeight="1">
      <c r="A477" s="23"/>
      <c r="B477" s="23"/>
    </row>
    <row r="478" ht="15.75" customHeight="1">
      <c r="A478" s="23"/>
      <c r="B478" s="23"/>
    </row>
    <row r="479" ht="15.75" customHeight="1">
      <c r="A479" s="23"/>
      <c r="B479" s="23"/>
    </row>
    <row r="480" ht="15.75" customHeight="1">
      <c r="A480" s="23"/>
      <c r="B480" s="23"/>
    </row>
    <row r="481" ht="15.75" customHeight="1">
      <c r="A481" s="23"/>
      <c r="B481" s="23"/>
    </row>
    <row r="482" ht="15.75" customHeight="1">
      <c r="A482" s="23"/>
      <c r="B482" s="23"/>
    </row>
    <row r="483" ht="15.75" customHeight="1">
      <c r="A483" s="23"/>
      <c r="B483" s="23"/>
    </row>
    <row r="484" ht="15.75" customHeight="1">
      <c r="A484" s="23"/>
      <c r="B484" s="23"/>
    </row>
    <row r="485" ht="15.75" customHeight="1">
      <c r="A485" s="23"/>
      <c r="B485" s="23"/>
    </row>
    <row r="486" ht="15.75" customHeight="1">
      <c r="A486" s="23"/>
      <c r="B486" s="23"/>
    </row>
    <row r="487" ht="15.75" customHeight="1">
      <c r="A487" s="23"/>
      <c r="B487" s="23"/>
    </row>
    <row r="488" ht="15.75" customHeight="1">
      <c r="A488" s="23"/>
      <c r="B488" s="23"/>
    </row>
    <row r="489" ht="15.75" customHeight="1">
      <c r="A489" s="23"/>
      <c r="B489" s="23"/>
    </row>
    <row r="490" ht="15.75" customHeight="1">
      <c r="A490" s="23"/>
      <c r="B490" s="23"/>
    </row>
    <row r="491" ht="15.75" customHeight="1">
      <c r="A491" s="23"/>
      <c r="B491" s="23"/>
    </row>
    <row r="492" ht="15.75" customHeight="1">
      <c r="A492" s="23"/>
      <c r="B492" s="23"/>
    </row>
    <row r="493" ht="15.75" customHeight="1">
      <c r="A493" s="23"/>
      <c r="B493" s="23"/>
    </row>
    <row r="494" ht="15.75" customHeight="1">
      <c r="A494" s="23"/>
      <c r="B494" s="23"/>
    </row>
    <row r="495" ht="15.75" customHeight="1">
      <c r="A495" s="23"/>
      <c r="B495" s="23"/>
    </row>
    <row r="496" ht="15.75" customHeight="1">
      <c r="A496" s="23"/>
      <c r="B496" s="23"/>
    </row>
    <row r="497" ht="15.75" customHeight="1">
      <c r="A497" s="23"/>
      <c r="B497" s="23"/>
    </row>
    <row r="498" ht="15.75" customHeight="1">
      <c r="A498" s="23"/>
      <c r="B498" s="23"/>
    </row>
    <row r="499" ht="15.75" customHeight="1">
      <c r="A499" s="23"/>
      <c r="B499" s="23"/>
    </row>
    <row r="500" ht="15.75" customHeight="1">
      <c r="A500" s="23"/>
      <c r="B500" s="23"/>
    </row>
    <row r="501" ht="15.75" customHeight="1">
      <c r="A501" s="23"/>
      <c r="B501" s="23"/>
    </row>
    <row r="502" ht="15.75" customHeight="1">
      <c r="A502" s="23"/>
      <c r="B502" s="23"/>
    </row>
    <row r="503" ht="15.75" customHeight="1">
      <c r="A503" s="23"/>
      <c r="B503" s="23"/>
    </row>
    <row r="504" ht="15.75" customHeight="1">
      <c r="A504" s="23"/>
      <c r="B504" s="23"/>
    </row>
    <row r="505" ht="15.75" customHeight="1">
      <c r="A505" s="23"/>
      <c r="B505" s="23"/>
    </row>
    <row r="506" ht="15.75" customHeight="1">
      <c r="A506" s="23"/>
      <c r="B506" s="23"/>
    </row>
    <row r="507" ht="15.75" customHeight="1">
      <c r="A507" s="23"/>
      <c r="B507" s="23"/>
    </row>
    <row r="508" ht="15.75" customHeight="1">
      <c r="A508" s="23"/>
      <c r="B508" s="23"/>
    </row>
    <row r="509" ht="15.75" customHeight="1">
      <c r="A509" s="23"/>
      <c r="B509" s="23"/>
    </row>
    <row r="510" ht="15.75" customHeight="1">
      <c r="A510" s="23"/>
      <c r="B510" s="23"/>
    </row>
    <row r="511" ht="15.75" customHeight="1">
      <c r="A511" s="23"/>
      <c r="B511" s="23"/>
    </row>
    <row r="512" ht="15.75" customHeight="1">
      <c r="A512" s="23"/>
      <c r="B512" s="23"/>
    </row>
    <row r="513" ht="15.75" customHeight="1">
      <c r="A513" s="23"/>
      <c r="B513" s="23"/>
    </row>
    <row r="514" ht="15.75" customHeight="1">
      <c r="A514" s="23"/>
      <c r="B514" s="23"/>
    </row>
    <row r="515" ht="15.75" customHeight="1">
      <c r="A515" s="23"/>
      <c r="B515" s="23"/>
    </row>
    <row r="516" ht="15.75" customHeight="1">
      <c r="A516" s="23"/>
      <c r="B516" s="23"/>
    </row>
    <row r="517" ht="15.75" customHeight="1">
      <c r="A517" s="23"/>
      <c r="B517" s="23"/>
    </row>
    <row r="518" ht="15.75" customHeight="1">
      <c r="A518" s="23"/>
      <c r="B518" s="23"/>
    </row>
    <row r="519" ht="15.75" customHeight="1">
      <c r="A519" s="23"/>
      <c r="B519" s="23"/>
    </row>
    <row r="520" ht="15.75" customHeight="1">
      <c r="A520" s="23"/>
      <c r="B520" s="23"/>
    </row>
    <row r="521" ht="15.75" customHeight="1">
      <c r="A521" s="23"/>
      <c r="B521" s="23"/>
    </row>
    <row r="522" ht="15.75" customHeight="1">
      <c r="A522" s="23"/>
      <c r="B522" s="23"/>
    </row>
    <row r="523" ht="15.75" customHeight="1">
      <c r="A523" s="23"/>
      <c r="B523" s="23"/>
    </row>
    <row r="524" ht="15.75" customHeight="1">
      <c r="A524" s="23"/>
      <c r="B524" s="23"/>
    </row>
    <row r="525" ht="15.75" customHeight="1">
      <c r="A525" s="23"/>
      <c r="B525" s="23"/>
    </row>
    <row r="526" ht="15.75" customHeight="1">
      <c r="A526" s="23"/>
      <c r="B526" s="23"/>
    </row>
    <row r="527" ht="15.75" customHeight="1">
      <c r="A527" s="23"/>
      <c r="B527" s="23"/>
    </row>
    <row r="528" ht="15.75" customHeight="1">
      <c r="A528" s="23"/>
      <c r="B528" s="23"/>
    </row>
    <row r="529" ht="15.75" customHeight="1">
      <c r="A529" s="23"/>
      <c r="B529" s="23"/>
    </row>
    <row r="530" ht="15.75" customHeight="1">
      <c r="A530" s="23"/>
      <c r="B530" s="23"/>
    </row>
    <row r="531" ht="15.75" customHeight="1">
      <c r="A531" s="23"/>
      <c r="B531" s="23"/>
    </row>
    <row r="532" ht="15.75" customHeight="1">
      <c r="A532" s="23"/>
      <c r="B532" s="23"/>
    </row>
    <row r="533" ht="15.75" customHeight="1">
      <c r="A533" s="23"/>
      <c r="B533" s="23"/>
    </row>
    <row r="534" ht="15.75" customHeight="1">
      <c r="A534" s="23"/>
      <c r="B534" s="23"/>
    </row>
    <row r="535" ht="15.75" customHeight="1">
      <c r="A535" s="23"/>
      <c r="B535" s="23"/>
    </row>
    <row r="536" ht="15.75" customHeight="1">
      <c r="A536" s="23"/>
      <c r="B536" s="23"/>
    </row>
    <row r="537" ht="15.75" customHeight="1">
      <c r="A537" s="23"/>
      <c r="B537" s="23"/>
    </row>
    <row r="538" ht="15.75" customHeight="1">
      <c r="A538" s="23"/>
      <c r="B538" s="23"/>
    </row>
    <row r="539" ht="15.75" customHeight="1">
      <c r="A539" s="23"/>
      <c r="B539" s="23"/>
    </row>
    <row r="540" ht="15.75" customHeight="1">
      <c r="A540" s="23"/>
      <c r="B540" s="23"/>
    </row>
    <row r="541" ht="15.75" customHeight="1">
      <c r="A541" s="23"/>
      <c r="B541" s="23"/>
    </row>
    <row r="542" ht="15.75" customHeight="1">
      <c r="A542" s="23"/>
      <c r="B542" s="23"/>
    </row>
    <row r="543" ht="15.75" customHeight="1">
      <c r="A543" s="23"/>
      <c r="B543" s="23"/>
    </row>
    <row r="544" ht="15.75" customHeight="1">
      <c r="A544" s="23"/>
      <c r="B544" s="23"/>
    </row>
    <row r="545" ht="15.75" customHeight="1">
      <c r="A545" s="23"/>
      <c r="B545" s="23"/>
    </row>
    <row r="546" ht="15.75" customHeight="1">
      <c r="A546" s="23"/>
      <c r="B546" s="23"/>
    </row>
    <row r="547" ht="15.75" customHeight="1">
      <c r="A547" s="23"/>
      <c r="B547" s="23"/>
    </row>
    <row r="548" ht="15.75" customHeight="1">
      <c r="A548" s="23"/>
      <c r="B548" s="23"/>
    </row>
    <row r="549" ht="15.75" customHeight="1">
      <c r="A549" s="23"/>
      <c r="B549" s="23"/>
    </row>
    <row r="550" ht="15.75" customHeight="1">
      <c r="A550" s="23"/>
      <c r="B550" s="23"/>
    </row>
    <row r="551" ht="15.75" customHeight="1">
      <c r="A551" s="23"/>
      <c r="B551" s="23"/>
    </row>
    <row r="552" ht="15.75" customHeight="1">
      <c r="A552" s="23"/>
      <c r="B552" s="23"/>
    </row>
    <row r="553" ht="15.75" customHeight="1">
      <c r="A553" s="23"/>
      <c r="B553" s="23"/>
    </row>
    <row r="554" ht="15.75" customHeight="1">
      <c r="A554" s="23"/>
      <c r="B554" s="23"/>
    </row>
    <row r="555" ht="15.75" customHeight="1">
      <c r="A555" s="23"/>
      <c r="B555" s="23"/>
    </row>
    <row r="556" ht="15.75" customHeight="1">
      <c r="A556" s="23"/>
      <c r="B556" s="23"/>
    </row>
    <row r="557" ht="15.75" customHeight="1">
      <c r="A557" s="23"/>
      <c r="B557" s="23"/>
    </row>
    <row r="558" ht="15.75" customHeight="1">
      <c r="A558" s="23"/>
      <c r="B558" s="23"/>
    </row>
    <row r="559" ht="15.75" customHeight="1">
      <c r="A559" s="23"/>
      <c r="B559" s="23"/>
    </row>
    <row r="560" ht="15.75" customHeight="1">
      <c r="A560" s="23"/>
      <c r="B560" s="23"/>
    </row>
    <row r="561" ht="15.75" customHeight="1">
      <c r="A561" s="23"/>
      <c r="B561" s="23"/>
    </row>
    <row r="562" ht="15.75" customHeight="1">
      <c r="A562" s="23"/>
      <c r="B562" s="23"/>
    </row>
    <row r="563" ht="15.75" customHeight="1">
      <c r="A563" s="23"/>
      <c r="B563" s="23"/>
    </row>
    <row r="564" ht="15.75" customHeight="1">
      <c r="A564" s="23"/>
      <c r="B564" s="23"/>
    </row>
    <row r="565" ht="15.75" customHeight="1">
      <c r="A565" s="23"/>
      <c r="B565" s="23"/>
    </row>
    <row r="566" ht="15.75" customHeight="1">
      <c r="A566" s="23"/>
      <c r="B566" s="23"/>
    </row>
    <row r="567" ht="15.75" customHeight="1">
      <c r="A567" s="23"/>
      <c r="B567" s="23"/>
    </row>
    <row r="568" ht="15.75" customHeight="1">
      <c r="A568" s="23"/>
      <c r="B568" s="23"/>
    </row>
    <row r="569" ht="15.75" customHeight="1">
      <c r="A569" s="23"/>
      <c r="B569" s="23"/>
    </row>
    <row r="570" ht="15.75" customHeight="1">
      <c r="A570" s="23"/>
      <c r="B570" s="23"/>
    </row>
    <row r="571" ht="15.75" customHeight="1">
      <c r="A571" s="23"/>
      <c r="B571" s="23"/>
    </row>
    <row r="572" ht="15.75" customHeight="1">
      <c r="A572" s="23"/>
      <c r="B572" s="23"/>
    </row>
    <row r="573" ht="15.75" customHeight="1">
      <c r="A573" s="23"/>
      <c r="B573" s="23"/>
    </row>
    <row r="574" ht="15.75" customHeight="1">
      <c r="A574" s="23"/>
      <c r="B574" s="23"/>
    </row>
    <row r="575" ht="15.75" customHeight="1">
      <c r="A575" s="23"/>
      <c r="B575" s="23"/>
    </row>
    <row r="576" ht="15.75" customHeight="1">
      <c r="A576" s="23"/>
      <c r="B576" s="23"/>
    </row>
    <row r="577" ht="15.75" customHeight="1">
      <c r="A577" s="23"/>
      <c r="B577" s="23"/>
    </row>
    <row r="578" ht="15.75" customHeight="1">
      <c r="A578" s="23"/>
      <c r="B578" s="23"/>
    </row>
    <row r="579" ht="15.75" customHeight="1">
      <c r="A579" s="23"/>
      <c r="B579" s="23"/>
    </row>
    <row r="580" ht="15.75" customHeight="1">
      <c r="A580" s="23"/>
      <c r="B580" s="23"/>
    </row>
    <row r="581" ht="15.75" customHeight="1">
      <c r="A581" s="23"/>
      <c r="B581" s="23"/>
    </row>
    <row r="582" ht="15.75" customHeight="1">
      <c r="A582" s="23"/>
      <c r="B582" s="23"/>
    </row>
    <row r="583" ht="15.75" customHeight="1">
      <c r="A583" s="23"/>
      <c r="B583" s="23"/>
    </row>
    <row r="584" ht="15.75" customHeight="1">
      <c r="A584" s="23"/>
      <c r="B584" s="23"/>
    </row>
    <row r="585" ht="15.75" customHeight="1">
      <c r="A585" s="23"/>
      <c r="B585" s="23"/>
    </row>
    <row r="586" ht="15.75" customHeight="1">
      <c r="A586" s="23"/>
      <c r="B586" s="23"/>
    </row>
    <row r="587" ht="15.75" customHeight="1">
      <c r="A587" s="23"/>
      <c r="B587" s="23"/>
    </row>
    <row r="588" ht="15.75" customHeight="1">
      <c r="A588" s="23"/>
      <c r="B588" s="23"/>
    </row>
    <row r="589" ht="15.75" customHeight="1">
      <c r="A589" s="23"/>
      <c r="B589" s="23"/>
    </row>
    <row r="590" ht="15.75" customHeight="1">
      <c r="A590" s="23"/>
      <c r="B590" s="23"/>
    </row>
    <row r="591" ht="15.75" customHeight="1">
      <c r="A591" s="23"/>
      <c r="B591" s="23"/>
    </row>
    <row r="592" ht="15.75" customHeight="1">
      <c r="A592" s="23"/>
      <c r="B592" s="23"/>
    </row>
    <row r="593" ht="15.75" customHeight="1">
      <c r="A593" s="23"/>
      <c r="B593" s="23"/>
    </row>
    <row r="594" ht="15.75" customHeight="1">
      <c r="A594" s="23"/>
      <c r="B594" s="23"/>
    </row>
    <row r="595" ht="15.75" customHeight="1">
      <c r="A595" s="23"/>
      <c r="B595" s="23"/>
    </row>
    <row r="596" ht="15.75" customHeight="1">
      <c r="A596" s="23"/>
      <c r="B596" s="23"/>
    </row>
    <row r="597" ht="15.75" customHeight="1">
      <c r="A597" s="23"/>
      <c r="B597" s="23"/>
    </row>
    <row r="598" ht="15.75" customHeight="1">
      <c r="A598" s="23"/>
      <c r="B598" s="23"/>
    </row>
    <row r="599" ht="15.75" customHeight="1">
      <c r="A599" s="23"/>
      <c r="B599" s="23"/>
    </row>
    <row r="600" ht="15.75" customHeight="1">
      <c r="A600" s="23"/>
      <c r="B600" s="23"/>
    </row>
    <row r="601" ht="15.75" customHeight="1">
      <c r="A601" s="23"/>
      <c r="B601" s="23"/>
    </row>
    <row r="602" ht="15.75" customHeight="1">
      <c r="A602" s="23"/>
      <c r="B602" s="23"/>
    </row>
    <row r="603" ht="15.75" customHeight="1">
      <c r="A603" s="23"/>
      <c r="B603" s="23"/>
    </row>
    <row r="604" ht="15.75" customHeight="1">
      <c r="A604" s="23"/>
      <c r="B604" s="23"/>
    </row>
    <row r="605" ht="15.75" customHeight="1">
      <c r="A605" s="23"/>
      <c r="B605" s="23"/>
    </row>
    <row r="606" ht="15.75" customHeight="1">
      <c r="A606" s="23"/>
      <c r="B606" s="23"/>
    </row>
    <row r="607" ht="15.75" customHeight="1">
      <c r="A607" s="23"/>
      <c r="B607" s="23"/>
    </row>
    <row r="608" ht="15.75" customHeight="1">
      <c r="A608" s="23"/>
      <c r="B608" s="23"/>
    </row>
    <row r="609" ht="15.75" customHeight="1">
      <c r="A609" s="23"/>
      <c r="B609" s="23"/>
    </row>
    <row r="610" ht="15.75" customHeight="1">
      <c r="A610" s="23"/>
      <c r="B610" s="23"/>
    </row>
    <row r="611" ht="15.75" customHeight="1">
      <c r="A611" s="23"/>
      <c r="B611" s="23"/>
    </row>
    <row r="612" ht="15.75" customHeight="1">
      <c r="A612" s="23"/>
      <c r="B612" s="23"/>
    </row>
    <row r="613" ht="15.75" customHeight="1">
      <c r="A613" s="23"/>
      <c r="B613" s="23"/>
    </row>
    <row r="614" ht="15.75" customHeight="1">
      <c r="A614" s="23"/>
      <c r="B614" s="23"/>
    </row>
    <row r="615" ht="15.75" customHeight="1">
      <c r="A615" s="23"/>
      <c r="B615" s="23"/>
    </row>
    <row r="616" ht="15.75" customHeight="1">
      <c r="A616" s="23"/>
      <c r="B616" s="23"/>
    </row>
    <row r="617" ht="15.75" customHeight="1">
      <c r="A617" s="23"/>
      <c r="B617" s="23"/>
    </row>
    <row r="618" ht="15.75" customHeight="1">
      <c r="A618" s="23"/>
      <c r="B618" s="23"/>
    </row>
    <row r="619" ht="15.75" customHeight="1">
      <c r="A619" s="23"/>
      <c r="B619" s="23"/>
    </row>
    <row r="620" ht="15.75" customHeight="1">
      <c r="A620" s="23"/>
      <c r="B620" s="23"/>
    </row>
    <row r="621" ht="15.75" customHeight="1">
      <c r="A621" s="23"/>
      <c r="B621" s="23"/>
    </row>
    <row r="622" ht="15.75" customHeight="1">
      <c r="A622" s="23"/>
      <c r="B622" s="23"/>
    </row>
    <row r="623" ht="15.75" customHeight="1">
      <c r="A623" s="23"/>
      <c r="B623" s="23"/>
    </row>
    <row r="624" ht="15.75" customHeight="1">
      <c r="A624" s="23"/>
      <c r="B624" s="23"/>
    </row>
    <row r="625" ht="15.75" customHeight="1">
      <c r="A625" s="23"/>
      <c r="B625" s="23"/>
    </row>
    <row r="626" ht="15.75" customHeight="1">
      <c r="A626" s="23"/>
      <c r="B626" s="23"/>
    </row>
    <row r="627" ht="15.75" customHeight="1">
      <c r="A627" s="23"/>
      <c r="B627" s="23"/>
    </row>
    <row r="628" ht="15.75" customHeight="1">
      <c r="A628" s="23"/>
      <c r="B628" s="23"/>
    </row>
    <row r="629" ht="15.75" customHeight="1">
      <c r="A629" s="23"/>
      <c r="B629" s="23"/>
    </row>
    <row r="630" ht="15.75" customHeight="1">
      <c r="A630" s="23"/>
      <c r="B630" s="23"/>
    </row>
    <row r="631" ht="15.75" customHeight="1">
      <c r="A631" s="23"/>
      <c r="B631" s="23"/>
    </row>
    <row r="632" ht="15.75" customHeight="1">
      <c r="A632" s="23"/>
      <c r="B632" s="23"/>
    </row>
    <row r="633" ht="15.75" customHeight="1">
      <c r="A633" s="23"/>
      <c r="B633" s="23"/>
    </row>
    <row r="634" ht="15.75" customHeight="1">
      <c r="A634" s="23"/>
      <c r="B634" s="23"/>
    </row>
    <row r="635" ht="15.75" customHeight="1">
      <c r="A635" s="23"/>
      <c r="B635" s="23"/>
    </row>
    <row r="636" ht="15.75" customHeight="1">
      <c r="A636" s="23"/>
      <c r="B636" s="23"/>
    </row>
    <row r="637" ht="15.75" customHeight="1">
      <c r="A637" s="23"/>
      <c r="B637" s="23"/>
    </row>
    <row r="638" ht="15.75" customHeight="1">
      <c r="A638" s="23"/>
      <c r="B638" s="23"/>
    </row>
    <row r="639" ht="15.75" customHeight="1">
      <c r="A639" s="23"/>
      <c r="B639" s="23"/>
    </row>
    <row r="640" ht="15.75" customHeight="1">
      <c r="A640" s="23"/>
      <c r="B640" s="23"/>
    </row>
    <row r="641" ht="15.75" customHeight="1">
      <c r="A641" s="23"/>
      <c r="B641" s="23"/>
    </row>
    <row r="642" ht="15.75" customHeight="1">
      <c r="A642" s="23"/>
      <c r="B642" s="23"/>
    </row>
    <row r="643" ht="15.75" customHeight="1">
      <c r="A643" s="23"/>
      <c r="B643" s="23"/>
    </row>
    <row r="644" ht="15.75" customHeight="1">
      <c r="A644" s="23"/>
      <c r="B644" s="23"/>
    </row>
    <row r="645" ht="15.75" customHeight="1">
      <c r="A645" s="23"/>
      <c r="B645" s="23"/>
    </row>
    <row r="646" ht="15.75" customHeight="1">
      <c r="A646" s="23"/>
      <c r="B646" s="23"/>
    </row>
    <row r="647" ht="15.75" customHeight="1">
      <c r="A647" s="23"/>
      <c r="B647" s="23"/>
    </row>
    <row r="648" ht="15.75" customHeight="1">
      <c r="A648" s="23"/>
      <c r="B648" s="23"/>
    </row>
    <row r="649" ht="15.75" customHeight="1">
      <c r="A649" s="23"/>
      <c r="B649" s="23"/>
    </row>
    <row r="650" ht="15.75" customHeight="1">
      <c r="A650" s="23"/>
      <c r="B650" s="23"/>
    </row>
    <row r="651" ht="15.75" customHeight="1">
      <c r="A651" s="23"/>
      <c r="B651" s="23"/>
    </row>
    <row r="652" ht="15.75" customHeight="1">
      <c r="A652" s="23"/>
      <c r="B652" s="23"/>
    </row>
    <row r="653" ht="15.75" customHeight="1">
      <c r="A653" s="23"/>
      <c r="B653" s="23"/>
    </row>
    <row r="654" ht="15.75" customHeight="1">
      <c r="A654" s="23"/>
      <c r="B654" s="23"/>
    </row>
    <row r="655" ht="15.75" customHeight="1">
      <c r="A655" s="23"/>
      <c r="B655" s="23"/>
    </row>
    <row r="656" ht="15.75" customHeight="1">
      <c r="A656" s="23"/>
      <c r="B656" s="23"/>
    </row>
    <row r="657" ht="15.75" customHeight="1">
      <c r="A657" s="23"/>
      <c r="B657" s="23"/>
    </row>
    <row r="658" ht="15.75" customHeight="1">
      <c r="A658" s="23"/>
      <c r="B658" s="23"/>
    </row>
    <row r="659" ht="15.75" customHeight="1">
      <c r="A659" s="23"/>
      <c r="B659" s="23"/>
    </row>
    <row r="660" ht="15.75" customHeight="1">
      <c r="A660" s="23"/>
      <c r="B660" s="23"/>
    </row>
    <row r="661" ht="15.75" customHeight="1">
      <c r="A661" s="23"/>
      <c r="B661" s="23"/>
    </row>
    <row r="662" ht="15.75" customHeight="1">
      <c r="A662" s="23"/>
      <c r="B662" s="23"/>
    </row>
    <row r="663" ht="15.75" customHeight="1">
      <c r="A663" s="23"/>
      <c r="B663" s="23"/>
    </row>
    <row r="664" ht="15.75" customHeight="1">
      <c r="A664" s="23"/>
      <c r="B664" s="23"/>
    </row>
    <row r="665" ht="15.75" customHeight="1">
      <c r="A665" s="23"/>
      <c r="B665" s="23"/>
    </row>
    <row r="666" ht="15.75" customHeight="1">
      <c r="A666" s="23"/>
      <c r="B666" s="23"/>
    </row>
    <row r="667" ht="15.75" customHeight="1">
      <c r="A667" s="23"/>
      <c r="B667" s="23"/>
    </row>
    <row r="668" ht="15.75" customHeight="1">
      <c r="A668" s="23"/>
      <c r="B668" s="23"/>
    </row>
    <row r="669" ht="15.75" customHeight="1">
      <c r="A669" s="23"/>
      <c r="B669" s="23"/>
    </row>
    <row r="670" ht="15.75" customHeight="1">
      <c r="A670" s="23"/>
      <c r="B670" s="23"/>
    </row>
    <row r="671" ht="15.75" customHeight="1">
      <c r="A671" s="23"/>
      <c r="B671" s="23"/>
    </row>
    <row r="672" ht="15.75" customHeight="1">
      <c r="A672" s="23"/>
      <c r="B672" s="23"/>
    </row>
    <row r="673" ht="15.75" customHeight="1">
      <c r="A673" s="23"/>
      <c r="B673" s="23"/>
    </row>
    <row r="674" ht="15.75" customHeight="1">
      <c r="A674" s="23"/>
      <c r="B674" s="23"/>
    </row>
    <row r="675" ht="15.75" customHeight="1">
      <c r="A675" s="23"/>
      <c r="B675" s="23"/>
    </row>
    <row r="676" ht="15.75" customHeight="1">
      <c r="A676" s="23"/>
      <c r="B676" s="23"/>
    </row>
    <row r="677" ht="15.75" customHeight="1">
      <c r="A677" s="23"/>
      <c r="B677" s="23"/>
    </row>
    <row r="678" ht="15.75" customHeight="1">
      <c r="A678" s="23"/>
      <c r="B678" s="23"/>
    </row>
    <row r="679" ht="15.75" customHeight="1">
      <c r="A679" s="23"/>
      <c r="B679" s="23"/>
    </row>
    <row r="680" ht="15.75" customHeight="1">
      <c r="A680" s="23"/>
      <c r="B680" s="23"/>
    </row>
    <row r="681" ht="15.75" customHeight="1">
      <c r="A681" s="23"/>
      <c r="B681" s="23"/>
    </row>
    <row r="682" ht="15.75" customHeight="1">
      <c r="A682" s="23"/>
      <c r="B682" s="23"/>
    </row>
    <row r="683" ht="15.75" customHeight="1">
      <c r="A683" s="23"/>
      <c r="B683" s="23"/>
    </row>
    <row r="684" ht="15.75" customHeight="1">
      <c r="A684" s="23"/>
      <c r="B684" s="23"/>
    </row>
    <row r="685" ht="15.75" customHeight="1">
      <c r="A685" s="23"/>
      <c r="B685" s="23"/>
    </row>
    <row r="686" ht="15.75" customHeight="1">
      <c r="A686" s="23"/>
      <c r="B686" s="23"/>
    </row>
    <row r="687" ht="15.75" customHeight="1">
      <c r="A687" s="23"/>
      <c r="B687" s="23"/>
    </row>
    <row r="688" ht="15.75" customHeight="1">
      <c r="A688" s="23"/>
      <c r="B688" s="23"/>
    </row>
    <row r="689" ht="15.75" customHeight="1">
      <c r="A689" s="23"/>
      <c r="B689" s="23"/>
    </row>
    <row r="690" ht="15.75" customHeight="1">
      <c r="A690" s="23"/>
      <c r="B690" s="23"/>
    </row>
    <row r="691" ht="15.75" customHeight="1">
      <c r="A691" s="23"/>
      <c r="B691" s="23"/>
    </row>
    <row r="692" ht="15.75" customHeight="1">
      <c r="A692" s="23"/>
      <c r="B692" s="23"/>
    </row>
    <row r="693" ht="15.75" customHeight="1">
      <c r="A693" s="23"/>
      <c r="B693" s="23"/>
    </row>
    <row r="694" ht="15.75" customHeight="1">
      <c r="A694" s="23"/>
      <c r="B694" s="23"/>
    </row>
    <row r="695" ht="15.75" customHeight="1">
      <c r="A695" s="23"/>
      <c r="B695" s="23"/>
    </row>
    <row r="696" ht="15.75" customHeight="1">
      <c r="A696" s="23"/>
      <c r="B696" s="23"/>
    </row>
    <row r="697" ht="15.75" customHeight="1">
      <c r="A697" s="23"/>
      <c r="B697" s="23"/>
    </row>
    <row r="698" ht="15.75" customHeight="1">
      <c r="A698" s="23"/>
      <c r="B698" s="23"/>
    </row>
    <row r="699" ht="15.75" customHeight="1">
      <c r="A699" s="23"/>
      <c r="B699" s="23"/>
    </row>
    <row r="700" ht="15.75" customHeight="1">
      <c r="A700" s="23"/>
      <c r="B700" s="23"/>
    </row>
    <row r="701" ht="15.75" customHeight="1">
      <c r="A701" s="23"/>
      <c r="B701" s="23"/>
    </row>
    <row r="702" ht="15.75" customHeight="1">
      <c r="A702" s="23"/>
      <c r="B702" s="23"/>
    </row>
    <row r="703" ht="15.75" customHeight="1">
      <c r="A703" s="23"/>
      <c r="B703" s="23"/>
    </row>
    <row r="704" ht="15.75" customHeight="1">
      <c r="A704" s="23"/>
      <c r="B704" s="23"/>
    </row>
    <row r="705" ht="15.75" customHeight="1">
      <c r="A705" s="23"/>
      <c r="B705" s="23"/>
    </row>
    <row r="706" ht="15.75" customHeight="1">
      <c r="A706" s="23"/>
      <c r="B706" s="23"/>
    </row>
    <row r="707" ht="15.75" customHeight="1">
      <c r="A707" s="23"/>
      <c r="B707" s="23"/>
    </row>
    <row r="708" ht="15.75" customHeight="1">
      <c r="A708" s="23"/>
      <c r="B708" s="23"/>
    </row>
    <row r="709" ht="15.75" customHeight="1">
      <c r="A709" s="23"/>
      <c r="B709" s="23"/>
    </row>
    <row r="710" ht="15.75" customHeight="1">
      <c r="A710" s="23"/>
      <c r="B710" s="23"/>
    </row>
    <row r="711" ht="15.75" customHeight="1">
      <c r="A711" s="23"/>
      <c r="B711" s="23"/>
    </row>
    <row r="712" ht="15.75" customHeight="1">
      <c r="A712" s="23"/>
      <c r="B712" s="23"/>
    </row>
    <row r="713" ht="15.75" customHeight="1">
      <c r="A713" s="23"/>
      <c r="B713" s="23"/>
    </row>
    <row r="714" ht="15.75" customHeight="1">
      <c r="A714" s="23"/>
      <c r="B714" s="23"/>
    </row>
    <row r="715" ht="15.75" customHeight="1">
      <c r="A715" s="23"/>
      <c r="B715" s="23"/>
    </row>
    <row r="716" ht="15.75" customHeight="1">
      <c r="A716" s="23"/>
      <c r="B716" s="23"/>
    </row>
    <row r="717" ht="15.75" customHeight="1">
      <c r="A717" s="23"/>
      <c r="B717" s="23"/>
    </row>
    <row r="718" ht="15.75" customHeight="1">
      <c r="A718" s="23"/>
      <c r="B718" s="23"/>
    </row>
    <row r="719" ht="15.75" customHeight="1">
      <c r="A719" s="23"/>
      <c r="B719" s="23"/>
    </row>
    <row r="720" ht="15.75" customHeight="1">
      <c r="A720" s="23"/>
      <c r="B720" s="23"/>
    </row>
    <row r="721" ht="15.75" customHeight="1">
      <c r="A721" s="23"/>
      <c r="B721" s="23"/>
    </row>
    <row r="722" ht="15.75" customHeight="1">
      <c r="A722" s="23"/>
      <c r="B722" s="23"/>
    </row>
    <row r="723" ht="15.75" customHeight="1">
      <c r="A723" s="23"/>
      <c r="B723" s="23"/>
    </row>
    <row r="724" ht="15.75" customHeight="1">
      <c r="A724" s="23"/>
      <c r="B724" s="23"/>
    </row>
    <row r="725" ht="15.75" customHeight="1">
      <c r="A725" s="23"/>
      <c r="B725" s="23"/>
    </row>
    <row r="726" ht="15.75" customHeight="1">
      <c r="A726" s="23"/>
      <c r="B726" s="23"/>
    </row>
    <row r="727" ht="15.75" customHeight="1">
      <c r="A727" s="23"/>
      <c r="B727" s="23"/>
    </row>
    <row r="728" ht="15.75" customHeight="1">
      <c r="A728" s="23"/>
      <c r="B728" s="23"/>
    </row>
    <row r="729" ht="15.75" customHeight="1">
      <c r="A729" s="23"/>
      <c r="B729" s="23"/>
    </row>
    <row r="730" ht="15.75" customHeight="1">
      <c r="A730" s="23"/>
      <c r="B730" s="23"/>
    </row>
    <row r="731" ht="15.75" customHeight="1">
      <c r="A731" s="23"/>
      <c r="B731" s="23"/>
    </row>
    <row r="732" ht="15.75" customHeight="1">
      <c r="A732" s="23"/>
      <c r="B732" s="23"/>
    </row>
    <row r="733" ht="15.75" customHeight="1">
      <c r="A733" s="23"/>
      <c r="B733" s="23"/>
    </row>
    <row r="734" ht="15.75" customHeight="1">
      <c r="A734" s="23"/>
      <c r="B734" s="23"/>
    </row>
    <row r="735" ht="15.75" customHeight="1">
      <c r="A735" s="23"/>
      <c r="B735" s="23"/>
    </row>
    <row r="736" ht="15.75" customHeight="1">
      <c r="A736" s="23"/>
      <c r="B736" s="23"/>
    </row>
    <row r="737" ht="15.75" customHeight="1">
      <c r="A737" s="23"/>
      <c r="B737" s="23"/>
    </row>
    <row r="738" ht="15.75" customHeight="1">
      <c r="A738" s="23"/>
      <c r="B738" s="23"/>
    </row>
    <row r="739" ht="15.75" customHeight="1">
      <c r="A739" s="23"/>
      <c r="B739" s="23"/>
    </row>
    <row r="740" ht="15.75" customHeight="1">
      <c r="A740" s="23"/>
      <c r="B740" s="23"/>
    </row>
    <row r="741" ht="15.75" customHeight="1">
      <c r="A741" s="23"/>
      <c r="B741" s="23"/>
    </row>
    <row r="742" ht="15.75" customHeight="1">
      <c r="A742" s="23"/>
      <c r="B742" s="23"/>
    </row>
    <row r="743" ht="15.75" customHeight="1">
      <c r="A743" s="23"/>
      <c r="B743" s="23"/>
    </row>
    <row r="744" ht="15.75" customHeight="1">
      <c r="A744" s="23"/>
      <c r="B744" s="23"/>
    </row>
    <row r="745" ht="15.75" customHeight="1">
      <c r="A745" s="23"/>
      <c r="B745" s="23"/>
    </row>
    <row r="746" ht="15.75" customHeight="1">
      <c r="A746" s="23"/>
      <c r="B746" s="23"/>
    </row>
    <row r="747" ht="15.75" customHeight="1">
      <c r="A747" s="23"/>
      <c r="B747" s="23"/>
    </row>
    <row r="748" ht="15.75" customHeight="1">
      <c r="A748" s="23"/>
      <c r="B748" s="23"/>
    </row>
    <row r="749" ht="15.75" customHeight="1">
      <c r="A749" s="23"/>
      <c r="B749" s="23"/>
    </row>
    <row r="750" ht="15.75" customHeight="1">
      <c r="A750" s="23"/>
      <c r="B750" s="23"/>
    </row>
    <row r="751" ht="15.75" customHeight="1">
      <c r="A751" s="23"/>
      <c r="B751" s="23"/>
    </row>
    <row r="752" ht="15.75" customHeight="1">
      <c r="A752" s="23"/>
      <c r="B752" s="23"/>
    </row>
    <row r="753" ht="15.75" customHeight="1">
      <c r="A753" s="23"/>
      <c r="B753" s="23"/>
    </row>
    <row r="754" ht="15.75" customHeight="1">
      <c r="A754" s="23"/>
      <c r="B754" s="23"/>
    </row>
    <row r="755" ht="15.75" customHeight="1">
      <c r="A755" s="23"/>
      <c r="B755" s="23"/>
    </row>
    <row r="756" ht="15.75" customHeight="1">
      <c r="A756" s="23"/>
      <c r="B756" s="23"/>
    </row>
    <row r="757" ht="15.75" customHeight="1">
      <c r="A757" s="23"/>
      <c r="B757" s="23"/>
    </row>
    <row r="758" ht="15.75" customHeight="1">
      <c r="A758" s="23"/>
      <c r="B758" s="23"/>
    </row>
    <row r="759" ht="15.75" customHeight="1">
      <c r="A759" s="23"/>
      <c r="B759" s="23"/>
    </row>
    <row r="760" ht="15.75" customHeight="1">
      <c r="A760" s="23"/>
      <c r="B760" s="23"/>
    </row>
    <row r="761" ht="15.75" customHeight="1">
      <c r="A761" s="23"/>
      <c r="B761" s="23"/>
    </row>
    <row r="762" ht="15.75" customHeight="1">
      <c r="A762" s="23"/>
      <c r="B762" s="23"/>
    </row>
    <row r="763" ht="15.75" customHeight="1">
      <c r="A763" s="23"/>
      <c r="B763" s="23"/>
    </row>
    <row r="764" ht="15.75" customHeight="1">
      <c r="A764" s="23"/>
      <c r="B764" s="23"/>
    </row>
    <row r="765" ht="15.75" customHeight="1">
      <c r="A765" s="23"/>
      <c r="B765" s="23"/>
    </row>
    <row r="766" ht="15.75" customHeight="1">
      <c r="A766" s="23"/>
      <c r="B766" s="23"/>
    </row>
    <row r="767" ht="15.75" customHeight="1">
      <c r="A767" s="23"/>
      <c r="B767" s="23"/>
    </row>
    <row r="768" ht="15.75" customHeight="1">
      <c r="A768" s="23"/>
      <c r="B768" s="23"/>
    </row>
    <row r="769" ht="15.75" customHeight="1">
      <c r="A769" s="23"/>
      <c r="B769" s="23"/>
    </row>
    <row r="770" ht="15.75" customHeight="1">
      <c r="A770" s="23"/>
      <c r="B770" s="23"/>
    </row>
    <row r="771" ht="15.75" customHeight="1">
      <c r="A771" s="23"/>
      <c r="B771" s="23"/>
    </row>
    <row r="772" ht="15.75" customHeight="1">
      <c r="A772" s="23"/>
      <c r="B772" s="23"/>
    </row>
    <row r="773" ht="15.75" customHeight="1">
      <c r="A773" s="23"/>
      <c r="B773" s="23"/>
    </row>
    <row r="774" ht="15.75" customHeight="1">
      <c r="A774" s="23"/>
      <c r="B774" s="23"/>
    </row>
    <row r="775" ht="15.75" customHeight="1">
      <c r="A775" s="23"/>
      <c r="B775" s="23"/>
    </row>
    <row r="776" ht="15.75" customHeight="1">
      <c r="A776" s="23"/>
      <c r="B776" s="23"/>
    </row>
    <row r="777" ht="15.75" customHeight="1">
      <c r="A777" s="23"/>
      <c r="B777" s="23"/>
    </row>
    <row r="778" ht="15.75" customHeight="1">
      <c r="A778" s="23"/>
      <c r="B778" s="23"/>
    </row>
    <row r="779" ht="15.75" customHeight="1">
      <c r="A779" s="23"/>
      <c r="B779" s="23"/>
    </row>
    <row r="780" ht="15.75" customHeight="1">
      <c r="A780" s="23"/>
      <c r="B780" s="23"/>
    </row>
    <row r="781" ht="15.75" customHeight="1">
      <c r="A781" s="23"/>
      <c r="B781" s="23"/>
    </row>
    <row r="782" ht="15.75" customHeight="1">
      <c r="A782" s="23"/>
      <c r="B782" s="23"/>
    </row>
    <row r="783" ht="15.75" customHeight="1">
      <c r="A783" s="23"/>
      <c r="B783" s="23"/>
    </row>
    <row r="784" ht="15.75" customHeight="1">
      <c r="A784" s="23"/>
      <c r="B784" s="23"/>
    </row>
    <row r="785" ht="15.75" customHeight="1">
      <c r="A785" s="23"/>
      <c r="B785" s="23"/>
    </row>
    <row r="786" ht="15.75" customHeight="1">
      <c r="A786" s="23"/>
      <c r="B786" s="23"/>
    </row>
    <row r="787" ht="15.75" customHeight="1">
      <c r="A787" s="23"/>
      <c r="B787" s="23"/>
    </row>
    <row r="788" ht="15.75" customHeight="1">
      <c r="A788" s="23"/>
      <c r="B788" s="23"/>
    </row>
    <row r="789" ht="15.75" customHeight="1">
      <c r="A789" s="23"/>
      <c r="B789" s="23"/>
    </row>
    <row r="790" ht="15.75" customHeight="1">
      <c r="A790" s="23"/>
      <c r="B790" s="23"/>
    </row>
    <row r="791" ht="15.75" customHeight="1">
      <c r="A791" s="23"/>
      <c r="B791" s="23"/>
    </row>
    <row r="792" ht="15.75" customHeight="1">
      <c r="A792" s="23"/>
      <c r="B792" s="23"/>
    </row>
    <row r="793" ht="15.75" customHeight="1">
      <c r="A793" s="23"/>
      <c r="B793" s="23"/>
    </row>
    <row r="794" ht="15.75" customHeight="1">
      <c r="A794" s="23"/>
      <c r="B794" s="23"/>
    </row>
    <row r="795" ht="15.75" customHeight="1">
      <c r="A795" s="23"/>
      <c r="B795" s="23"/>
    </row>
    <row r="796" ht="15.75" customHeight="1">
      <c r="A796" s="23"/>
      <c r="B796" s="23"/>
    </row>
    <row r="797" ht="15.75" customHeight="1">
      <c r="A797" s="23"/>
      <c r="B797" s="23"/>
    </row>
    <row r="798" ht="15.75" customHeight="1">
      <c r="A798" s="23"/>
      <c r="B798" s="23"/>
    </row>
    <row r="799" ht="15.75" customHeight="1">
      <c r="A799" s="23"/>
      <c r="B799" s="23"/>
    </row>
    <row r="800" ht="15.75" customHeight="1">
      <c r="A800" s="23"/>
      <c r="B800" s="23"/>
    </row>
    <row r="801" ht="15.75" customHeight="1">
      <c r="A801" s="23"/>
      <c r="B801" s="23"/>
    </row>
    <row r="802" ht="15.75" customHeight="1">
      <c r="A802" s="23"/>
      <c r="B802" s="23"/>
    </row>
    <row r="803" ht="15.75" customHeight="1">
      <c r="A803" s="23"/>
      <c r="B803" s="23"/>
    </row>
    <row r="804" ht="15.75" customHeight="1">
      <c r="A804" s="23"/>
      <c r="B804" s="23"/>
    </row>
    <row r="805" ht="15.75" customHeight="1">
      <c r="A805" s="23"/>
      <c r="B805" s="23"/>
    </row>
    <row r="806" ht="15.75" customHeight="1">
      <c r="A806" s="23"/>
      <c r="B806" s="23"/>
    </row>
    <row r="807" ht="15.75" customHeight="1">
      <c r="A807" s="23"/>
      <c r="B807" s="23"/>
    </row>
    <row r="808" ht="15.75" customHeight="1">
      <c r="A808" s="23"/>
      <c r="B808" s="23"/>
    </row>
    <row r="809" ht="15.75" customHeight="1">
      <c r="A809" s="23"/>
      <c r="B809" s="23"/>
    </row>
    <row r="810" ht="15.75" customHeight="1">
      <c r="A810" s="23"/>
      <c r="B810" s="23"/>
    </row>
    <row r="811" ht="15.75" customHeight="1">
      <c r="A811" s="23"/>
      <c r="B811" s="23"/>
    </row>
    <row r="812" ht="15.75" customHeight="1">
      <c r="A812" s="23"/>
      <c r="B812" s="23"/>
    </row>
    <row r="813" ht="15.75" customHeight="1">
      <c r="A813" s="23"/>
      <c r="B813" s="23"/>
    </row>
    <row r="814" ht="15.75" customHeight="1">
      <c r="A814" s="23"/>
      <c r="B814" s="23"/>
    </row>
    <row r="815" ht="15.75" customHeight="1">
      <c r="A815" s="23"/>
      <c r="B815" s="23"/>
    </row>
    <row r="816" ht="15.75" customHeight="1">
      <c r="A816" s="23"/>
      <c r="B816" s="23"/>
    </row>
    <row r="817" ht="15.75" customHeight="1">
      <c r="A817" s="23"/>
      <c r="B817" s="23"/>
    </row>
    <row r="818" ht="15.75" customHeight="1">
      <c r="A818" s="23"/>
      <c r="B818" s="23"/>
    </row>
    <row r="819" ht="15.75" customHeight="1">
      <c r="A819" s="23"/>
      <c r="B819" s="23"/>
    </row>
    <row r="820" ht="15.75" customHeight="1">
      <c r="A820" s="23"/>
      <c r="B820" s="23"/>
    </row>
    <row r="821" ht="15.75" customHeight="1">
      <c r="A821" s="23"/>
      <c r="B821" s="23"/>
    </row>
    <row r="822" ht="15.75" customHeight="1">
      <c r="A822" s="23"/>
      <c r="B822" s="23"/>
    </row>
    <row r="823" ht="15.75" customHeight="1">
      <c r="A823" s="23"/>
      <c r="B823" s="23"/>
    </row>
    <row r="824" ht="15.75" customHeight="1">
      <c r="A824" s="23"/>
      <c r="B824" s="23"/>
    </row>
    <row r="825" ht="15.75" customHeight="1">
      <c r="A825" s="23"/>
      <c r="B825" s="23"/>
    </row>
    <row r="826" ht="15.75" customHeight="1">
      <c r="A826" s="23"/>
      <c r="B826" s="23"/>
    </row>
    <row r="827" ht="15.75" customHeight="1">
      <c r="A827" s="23"/>
      <c r="B827" s="23"/>
    </row>
    <row r="828" ht="15.75" customHeight="1">
      <c r="A828" s="23"/>
      <c r="B828" s="23"/>
    </row>
    <row r="829" ht="15.75" customHeight="1">
      <c r="A829" s="23"/>
      <c r="B829" s="23"/>
    </row>
    <row r="830" ht="15.75" customHeight="1">
      <c r="A830" s="23"/>
      <c r="B830" s="23"/>
    </row>
    <row r="831" ht="15.75" customHeight="1">
      <c r="A831" s="23"/>
      <c r="B831" s="23"/>
    </row>
    <row r="832" ht="15.75" customHeight="1">
      <c r="A832" s="23"/>
      <c r="B832" s="23"/>
    </row>
    <row r="833" ht="15.75" customHeight="1">
      <c r="A833" s="23"/>
      <c r="B833" s="23"/>
    </row>
    <row r="834" ht="15.75" customHeight="1">
      <c r="A834" s="23"/>
      <c r="B834" s="23"/>
    </row>
    <row r="835" ht="15.75" customHeight="1">
      <c r="A835" s="23"/>
      <c r="B835" s="23"/>
    </row>
    <row r="836" ht="15.75" customHeight="1">
      <c r="A836" s="23"/>
      <c r="B836" s="23"/>
    </row>
    <row r="837" ht="15.75" customHeight="1">
      <c r="A837" s="23"/>
      <c r="B837" s="23"/>
    </row>
    <row r="838" ht="15.75" customHeight="1">
      <c r="A838" s="23"/>
      <c r="B838" s="23"/>
    </row>
    <row r="839" ht="15.75" customHeight="1">
      <c r="A839" s="23"/>
      <c r="B839" s="23"/>
    </row>
    <row r="840" ht="15.75" customHeight="1">
      <c r="A840" s="23"/>
      <c r="B840" s="23"/>
    </row>
    <row r="841" ht="15.75" customHeight="1">
      <c r="A841" s="23"/>
      <c r="B841" s="23"/>
    </row>
    <row r="842" ht="15.75" customHeight="1">
      <c r="A842" s="23"/>
      <c r="B842" s="23"/>
    </row>
    <row r="843" ht="15.75" customHeight="1">
      <c r="A843" s="23"/>
      <c r="B843" s="23"/>
    </row>
    <row r="844" ht="15.75" customHeight="1">
      <c r="A844" s="23"/>
      <c r="B844" s="23"/>
    </row>
    <row r="845" ht="15.75" customHeight="1">
      <c r="A845" s="23"/>
      <c r="B845" s="23"/>
    </row>
    <row r="846" ht="15.75" customHeight="1">
      <c r="A846" s="23"/>
      <c r="B846" s="23"/>
    </row>
    <row r="847" ht="15.75" customHeight="1">
      <c r="A847" s="23"/>
      <c r="B847" s="23"/>
    </row>
    <row r="848" ht="15.75" customHeight="1">
      <c r="A848" s="23"/>
      <c r="B848" s="23"/>
    </row>
    <row r="849" ht="15.75" customHeight="1">
      <c r="A849" s="23"/>
      <c r="B849" s="23"/>
    </row>
    <row r="850" ht="15.75" customHeight="1">
      <c r="A850" s="23"/>
      <c r="B850" s="23"/>
    </row>
    <row r="851" ht="15.75" customHeight="1">
      <c r="A851" s="23"/>
      <c r="B851" s="23"/>
    </row>
    <row r="852" ht="15.75" customHeight="1">
      <c r="A852" s="23"/>
      <c r="B852" s="23"/>
    </row>
    <row r="853" ht="15.75" customHeight="1">
      <c r="A853" s="23"/>
      <c r="B853" s="23"/>
    </row>
    <row r="854" ht="15.75" customHeight="1">
      <c r="A854" s="23"/>
      <c r="B854" s="23"/>
    </row>
    <row r="855" ht="15.75" customHeight="1">
      <c r="A855" s="23"/>
      <c r="B855" s="23"/>
    </row>
    <row r="856" ht="15.75" customHeight="1">
      <c r="A856" s="23"/>
      <c r="B856" s="23"/>
    </row>
    <row r="857" ht="15.75" customHeight="1">
      <c r="A857" s="23"/>
      <c r="B857" s="23"/>
    </row>
    <row r="858" ht="15.75" customHeight="1">
      <c r="A858" s="23"/>
      <c r="B858" s="23"/>
    </row>
    <row r="859" ht="15.75" customHeight="1">
      <c r="A859" s="23"/>
      <c r="B859" s="23"/>
    </row>
    <row r="860" ht="15.75" customHeight="1">
      <c r="A860" s="23"/>
      <c r="B860" s="23"/>
    </row>
    <row r="861" ht="15.75" customHeight="1">
      <c r="A861" s="23"/>
      <c r="B861" s="23"/>
    </row>
    <row r="862" ht="15.75" customHeight="1">
      <c r="A862" s="23"/>
      <c r="B862" s="23"/>
    </row>
    <row r="863" ht="15.75" customHeight="1">
      <c r="A863" s="23"/>
      <c r="B863" s="23"/>
    </row>
    <row r="864" ht="15.75" customHeight="1">
      <c r="A864" s="23"/>
      <c r="B864" s="23"/>
    </row>
    <row r="865" ht="15.75" customHeight="1">
      <c r="A865" s="23"/>
      <c r="B865" s="23"/>
    </row>
    <row r="866" ht="15.75" customHeight="1">
      <c r="A866" s="23"/>
      <c r="B866" s="23"/>
    </row>
    <row r="867" ht="15.75" customHeight="1">
      <c r="A867" s="23"/>
      <c r="B867" s="23"/>
    </row>
    <row r="868" ht="15.75" customHeight="1">
      <c r="A868" s="23"/>
      <c r="B868" s="23"/>
    </row>
    <row r="869" ht="15.75" customHeight="1">
      <c r="A869" s="23"/>
      <c r="B869" s="23"/>
    </row>
    <row r="870" ht="15.75" customHeight="1">
      <c r="A870" s="23"/>
      <c r="B870" s="23"/>
    </row>
    <row r="871" ht="15.75" customHeight="1">
      <c r="A871" s="23"/>
      <c r="B871" s="23"/>
    </row>
    <row r="872" ht="15.75" customHeight="1">
      <c r="A872" s="23"/>
      <c r="B872" s="23"/>
    </row>
    <row r="873" ht="15.75" customHeight="1">
      <c r="A873" s="23"/>
      <c r="B873" s="23"/>
    </row>
    <row r="874" ht="15.75" customHeight="1">
      <c r="A874" s="23"/>
      <c r="B874" s="23"/>
    </row>
    <row r="875" ht="15.75" customHeight="1">
      <c r="A875" s="23"/>
      <c r="B875" s="23"/>
    </row>
    <row r="876" ht="15.75" customHeight="1">
      <c r="A876" s="23"/>
      <c r="B876" s="23"/>
    </row>
    <row r="877" ht="15.75" customHeight="1">
      <c r="A877" s="23"/>
      <c r="B877" s="23"/>
    </row>
    <row r="878" ht="15.75" customHeight="1">
      <c r="A878" s="23"/>
      <c r="B878" s="23"/>
    </row>
    <row r="879" ht="15.75" customHeight="1">
      <c r="A879" s="23"/>
      <c r="B879" s="23"/>
    </row>
    <row r="880" ht="15.75" customHeight="1">
      <c r="A880" s="23"/>
      <c r="B880" s="23"/>
    </row>
    <row r="881" ht="15.75" customHeight="1">
      <c r="A881" s="23"/>
      <c r="B881" s="23"/>
    </row>
    <row r="882" ht="15.75" customHeight="1">
      <c r="A882" s="23"/>
      <c r="B882" s="23"/>
    </row>
    <row r="883" ht="15.75" customHeight="1">
      <c r="A883" s="23"/>
      <c r="B883" s="23"/>
    </row>
    <row r="884" ht="15.75" customHeight="1">
      <c r="A884" s="23"/>
      <c r="B884" s="23"/>
    </row>
    <row r="885" ht="15.75" customHeight="1">
      <c r="A885" s="23"/>
      <c r="B885" s="23"/>
    </row>
    <row r="886" ht="15.75" customHeight="1">
      <c r="A886" s="23"/>
      <c r="B886" s="23"/>
    </row>
    <row r="887" ht="15.75" customHeight="1">
      <c r="A887" s="23"/>
      <c r="B887" s="23"/>
    </row>
    <row r="888" ht="15.75" customHeight="1">
      <c r="A888" s="23"/>
      <c r="B888" s="23"/>
    </row>
    <row r="889" ht="15.75" customHeight="1">
      <c r="A889" s="23"/>
      <c r="B889" s="23"/>
    </row>
    <row r="890" ht="15.75" customHeight="1">
      <c r="A890" s="23"/>
      <c r="B890" s="23"/>
    </row>
    <row r="891" ht="15.75" customHeight="1">
      <c r="A891" s="23"/>
      <c r="B891" s="23"/>
    </row>
    <row r="892" ht="15.75" customHeight="1">
      <c r="A892" s="23"/>
      <c r="B892" s="23"/>
    </row>
    <row r="893" ht="15.75" customHeight="1">
      <c r="A893" s="23"/>
      <c r="B893" s="23"/>
    </row>
    <row r="894" ht="15.75" customHeight="1">
      <c r="A894" s="23"/>
      <c r="B894" s="23"/>
    </row>
    <row r="895" ht="15.75" customHeight="1">
      <c r="A895" s="23"/>
      <c r="B895" s="23"/>
    </row>
    <row r="896" ht="15.75" customHeight="1">
      <c r="A896" s="23"/>
      <c r="B896" s="23"/>
    </row>
    <row r="897" ht="15.75" customHeight="1">
      <c r="A897" s="23"/>
      <c r="B897" s="23"/>
    </row>
    <row r="898" ht="15.75" customHeight="1">
      <c r="A898" s="23"/>
      <c r="B898" s="23"/>
    </row>
    <row r="899" ht="15.75" customHeight="1">
      <c r="A899" s="23"/>
      <c r="B899" s="23"/>
    </row>
    <row r="900" ht="15.75" customHeight="1">
      <c r="A900" s="23"/>
      <c r="B900" s="23"/>
    </row>
    <row r="901" ht="15.75" customHeight="1">
      <c r="A901" s="23"/>
      <c r="B901" s="23"/>
    </row>
    <row r="902" ht="15.75" customHeight="1">
      <c r="A902" s="23"/>
      <c r="B902" s="23"/>
    </row>
    <row r="903" ht="15.75" customHeight="1">
      <c r="A903" s="23"/>
      <c r="B903" s="23"/>
    </row>
    <row r="904" ht="15.75" customHeight="1">
      <c r="A904" s="23"/>
      <c r="B904" s="23"/>
    </row>
    <row r="905" ht="15.75" customHeight="1">
      <c r="A905" s="23"/>
      <c r="B905" s="23"/>
    </row>
    <row r="906" ht="15.75" customHeight="1">
      <c r="A906" s="23"/>
      <c r="B906" s="23"/>
    </row>
    <row r="907" ht="15.75" customHeight="1">
      <c r="A907" s="23"/>
      <c r="B907" s="23"/>
    </row>
    <row r="908" ht="15.75" customHeight="1">
      <c r="A908" s="23"/>
      <c r="B908" s="23"/>
    </row>
    <row r="909" ht="15.75" customHeight="1">
      <c r="A909" s="23"/>
      <c r="B909" s="23"/>
    </row>
    <row r="910" ht="15.75" customHeight="1">
      <c r="A910" s="23"/>
      <c r="B910" s="23"/>
    </row>
    <row r="911" ht="15.75" customHeight="1">
      <c r="A911" s="23"/>
      <c r="B911" s="23"/>
    </row>
    <row r="912" ht="15.75" customHeight="1">
      <c r="A912" s="23"/>
      <c r="B912" s="23"/>
    </row>
    <row r="913" ht="15.75" customHeight="1">
      <c r="A913" s="23"/>
      <c r="B913" s="23"/>
    </row>
    <row r="914" ht="15.75" customHeight="1">
      <c r="A914" s="23"/>
      <c r="B914" s="23"/>
    </row>
    <row r="915" ht="15.75" customHeight="1">
      <c r="A915" s="23"/>
      <c r="B915" s="23"/>
    </row>
    <row r="916" ht="15.75" customHeight="1">
      <c r="A916" s="23"/>
      <c r="B916" s="23"/>
    </row>
    <row r="917" ht="15.75" customHeight="1">
      <c r="A917" s="23"/>
      <c r="B917" s="23"/>
    </row>
    <row r="918" ht="15.75" customHeight="1">
      <c r="A918" s="23"/>
      <c r="B918" s="23"/>
    </row>
    <row r="919" ht="15.75" customHeight="1">
      <c r="A919" s="23"/>
      <c r="B919" s="23"/>
    </row>
    <row r="920" ht="15.75" customHeight="1">
      <c r="A920" s="23"/>
      <c r="B920" s="23"/>
    </row>
    <row r="921" ht="15.75" customHeight="1">
      <c r="A921" s="23"/>
      <c r="B921" s="23"/>
    </row>
    <row r="922" ht="15.75" customHeight="1">
      <c r="A922" s="23"/>
      <c r="B922" s="23"/>
    </row>
    <row r="923" ht="15.75" customHeight="1">
      <c r="A923" s="23"/>
      <c r="B923" s="23"/>
    </row>
    <row r="924" ht="15.75" customHeight="1">
      <c r="A924" s="23"/>
      <c r="B924" s="23"/>
    </row>
    <row r="925" ht="15.75" customHeight="1">
      <c r="A925" s="23"/>
      <c r="B925" s="23"/>
    </row>
    <row r="926" ht="15.75" customHeight="1">
      <c r="A926" s="23"/>
      <c r="B926" s="23"/>
    </row>
    <row r="927" ht="15.75" customHeight="1">
      <c r="A927" s="23"/>
      <c r="B927" s="23"/>
    </row>
    <row r="928" ht="15.75" customHeight="1">
      <c r="A928" s="23"/>
      <c r="B928" s="23"/>
    </row>
    <row r="929" ht="15.75" customHeight="1">
      <c r="A929" s="23"/>
      <c r="B929" s="23"/>
    </row>
    <row r="930" ht="15.75" customHeight="1">
      <c r="A930" s="23"/>
      <c r="B930" s="23"/>
    </row>
    <row r="931" ht="15.75" customHeight="1">
      <c r="A931" s="23"/>
      <c r="B931" s="23"/>
    </row>
    <row r="932" ht="15.75" customHeight="1">
      <c r="A932" s="23"/>
      <c r="B932" s="23"/>
    </row>
    <row r="933" ht="15.75" customHeight="1">
      <c r="A933" s="23"/>
      <c r="B933" s="23"/>
    </row>
    <row r="934" ht="15.75" customHeight="1">
      <c r="A934" s="23"/>
      <c r="B934" s="23"/>
    </row>
    <row r="935" ht="15.75" customHeight="1">
      <c r="A935" s="23"/>
      <c r="B935" s="23"/>
    </row>
    <row r="936" ht="15.75" customHeight="1">
      <c r="A936" s="23"/>
      <c r="B936" s="23"/>
    </row>
    <row r="937" ht="15.75" customHeight="1">
      <c r="A937" s="23"/>
      <c r="B937" s="23"/>
    </row>
    <row r="938" ht="15.75" customHeight="1">
      <c r="A938" s="23"/>
      <c r="B938" s="23"/>
    </row>
    <row r="939" ht="15.75" customHeight="1">
      <c r="A939" s="23"/>
      <c r="B939" s="23"/>
    </row>
    <row r="940" ht="15.75" customHeight="1">
      <c r="A940" s="23"/>
      <c r="B940" s="23"/>
    </row>
    <row r="941" ht="15.75" customHeight="1">
      <c r="A941" s="23"/>
      <c r="B941" s="23"/>
    </row>
    <row r="942" ht="15.75" customHeight="1">
      <c r="A942" s="23"/>
      <c r="B942" s="23"/>
    </row>
    <row r="943" ht="15.75" customHeight="1">
      <c r="A943" s="23"/>
      <c r="B943" s="23"/>
    </row>
    <row r="944" ht="15.75" customHeight="1">
      <c r="A944" s="23"/>
      <c r="B944" s="23"/>
    </row>
    <row r="945" ht="15.75" customHeight="1">
      <c r="A945" s="23"/>
      <c r="B945" s="23"/>
    </row>
    <row r="946" ht="15.75" customHeight="1">
      <c r="A946" s="23"/>
      <c r="B946" s="23"/>
    </row>
    <row r="947" ht="15.75" customHeight="1">
      <c r="A947" s="23"/>
      <c r="B947" s="23"/>
    </row>
    <row r="948" ht="15.75" customHeight="1">
      <c r="A948" s="23"/>
      <c r="B948" s="23"/>
    </row>
    <row r="949" ht="15.75" customHeight="1">
      <c r="A949" s="23"/>
      <c r="B949" s="23"/>
    </row>
    <row r="950" ht="15.75" customHeight="1">
      <c r="A950" s="23"/>
      <c r="B950" s="23"/>
    </row>
    <row r="951" ht="15.75" customHeight="1">
      <c r="A951" s="23"/>
      <c r="B951" s="23"/>
    </row>
    <row r="952" ht="15.75" customHeight="1">
      <c r="A952" s="23"/>
      <c r="B952" s="23"/>
    </row>
    <row r="953" ht="15.75" customHeight="1">
      <c r="A953" s="23"/>
      <c r="B953" s="23"/>
    </row>
    <row r="954" ht="15.75" customHeight="1">
      <c r="A954" s="23"/>
      <c r="B954" s="23"/>
    </row>
    <row r="955" ht="15.75" customHeight="1">
      <c r="A955" s="23"/>
      <c r="B955" s="23"/>
    </row>
    <row r="956" ht="15.75" customHeight="1">
      <c r="A956" s="23"/>
      <c r="B956" s="23"/>
    </row>
    <row r="957" ht="15.75" customHeight="1">
      <c r="A957" s="23"/>
      <c r="B957" s="23"/>
    </row>
    <row r="958" ht="15.75" customHeight="1">
      <c r="A958" s="23"/>
      <c r="B958" s="23"/>
    </row>
    <row r="959" ht="15.75" customHeight="1">
      <c r="A959" s="23"/>
      <c r="B959" s="23"/>
    </row>
    <row r="960" ht="15.75" customHeight="1">
      <c r="A960" s="23"/>
      <c r="B960" s="23"/>
    </row>
    <row r="961" ht="15.75" customHeight="1">
      <c r="A961" s="23"/>
      <c r="B961" s="23"/>
    </row>
    <row r="962" ht="15.75" customHeight="1">
      <c r="A962" s="23"/>
      <c r="B962" s="23"/>
    </row>
    <row r="963" ht="15.75" customHeight="1">
      <c r="A963" s="23"/>
      <c r="B963" s="23"/>
    </row>
    <row r="964" ht="15.75" customHeight="1">
      <c r="A964" s="23"/>
      <c r="B964" s="23"/>
    </row>
    <row r="965" ht="15.75" customHeight="1">
      <c r="A965" s="23"/>
      <c r="B965" s="23"/>
    </row>
    <row r="966" ht="15.75" customHeight="1">
      <c r="A966" s="23"/>
      <c r="B966" s="23"/>
    </row>
    <row r="967" ht="15.75" customHeight="1">
      <c r="A967" s="23"/>
      <c r="B967" s="23"/>
    </row>
    <row r="968" ht="15.75" customHeight="1">
      <c r="A968" s="23"/>
      <c r="B968" s="23"/>
    </row>
    <row r="969" ht="15.75" customHeight="1">
      <c r="A969" s="23"/>
      <c r="B969" s="23"/>
    </row>
    <row r="970" ht="15.75" customHeight="1">
      <c r="A970" s="23"/>
      <c r="B970" s="23"/>
    </row>
    <row r="971" ht="15.75" customHeight="1">
      <c r="A971" s="23"/>
      <c r="B971" s="23"/>
    </row>
    <row r="972" ht="15.75" customHeight="1">
      <c r="A972" s="23"/>
      <c r="B972" s="23"/>
    </row>
    <row r="973" ht="15.75" customHeight="1">
      <c r="A973" s="23"/>
      <c r="B973" s="23"/>
    </row>
    <row r="974" ht="15.75" customHeight="1">
      <c r="A974" s="23"/>
      <c r="B974" s="23"/>
    </row>
    <row r="975" ht="15.75" customHeight="1">
      <c r="A975" s="23"/>
      <c r="B975" s="23"/>
    </row>
    <row r="976" ht="15.75" customHeight="1">
      <c r="A976" s="23"/>
      <c r="B976" s="23"/>
    </row>
    <row r="977" ht="15.75" customHeight="1">
      <c r="A977" s="23"/>
      <c r="B977" s="23"/>
    </row>
    <row r="978" ht="15.75" customHeight="1">
      <c r="A978" s="23"/>
      <c r="B978" s="23"/>
    </row>
    <row r="979" ht="15.75" customHeight="1">
      <c r="A979" s="23"/>
      <c r="B979" s="23"/>
    </row>
    <row r="980" ht="15.75" customHeight="1">
      <c r="A980" s="23"/>
      <c r="B980" s="23"/>
    </row>
    <row r="981" ht="15.75" customHeight="1">
      <c r="A981" s="23"/>
      <c r="B981" s="23"/>
    </row>
    <row r="982" ht="15.75" customHeight="1">
      <c r="A982" s="23"/>
      <c r="B982" s="23"/>
    </row>
    <row r="983" ht="15.75" customHeight="1">
      <c r="A983" s="23"/>
      <c r="B983" s="23"/>
    </row>
    <row r="984" ht="15.75" customHeight="1">
      <c r="A984" s="23"/>
      <c r="B984" s="23"/>
    </row>
    <row r="985" ht="15.75" customHeight="1">
      <c r="A985" s="23"/>
      <c r="B985" s="23"/>
    </row>
    <row r="986" ht="15.75" customHeight="1">
      <c r="A986" s="23"/>
      <c r="B986" s="23"/>
    </row>
    <row r="987" ht="15.75" customHeight="1">
      <c r="A987" s="23"/>
      <c r="B987" s="23"/>
    </row>
    <row r="988" ht="15.75" customHeight="1">
      <c r="A988" s="23"/>
      <c r="B988" s="23"/>
    </row>
    <row r="989" ht="15.75" customHeight="1">
      <c r="A989" s="23"/>
      <c r="B989" s="23"/>
    </row>
    <row r="990" ht="15.75" customHeight="1">
      <c r="A990" s="23"/>
      <c r="B990" s="23"/>
    </row>
    <row r="991" ht="15.75" customHeight="1">
      <c r="A991" s="23"/>
      <c r="B991" s="23"/>
    </row>
    <row r="992" ht="15.75" customHeight="1">
      <c r="A992" s="23"/>
      <c r="B992" s="23"/>
    </row>
    <row r="993" ht="15.75" customHeight="1">
      <c r="A993" s="23"/>
      <c r="B993" s="23"/>
    </row>
    <row r="994" ht="15.75" customHeight="1">
      <c r="A994" s="23"/>
      <c r="B994" s="23"/>
    </row>
    <row r="995" ht="15.75" customHeight="1">
      <c r="A995" s="23"/>
      <c r="B995" s="23"/>
    </row>
    <row r="996" ht="15.75" customHeight="1">
      <c r="A996" s="23"/>
      <c r="B996" s="23"/>
    </row>
    <row r="997" ht="15.75" customHeight="1">
      <c r="A997" s="23"/>
      <c r="B997" s="23"/>
    </row>
    <row r="998" ht="15.75" customHeight="1">
      <c r="A998" s="23"/>
      <c r="B998" s="23"/>
    </row>
    <row r="999" ht="15.75" customHeight="1">
      <c r="A999" s="23"/>
      <c r="B999" s="23"/>
    </row>
    <row r="1000" ht="15.75" customHeight="1">
      <c r="A1000" s="23"/>
      <c r="B1000" s="23"/>
    </row>
  </sheetData>
  <mergeCells count="2">
    <mergeCell ref="C1:D1"/>
    <mergeCell ref="E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4.13"/>
    <col customWidth="1" min="2" max="9" width="8.25"/>
  </cols>
  <sheetData>
    <row r="1" ht="15.75" customHeight="1">
      <c r="A1" s="24"/>
      <c r="B1" s="25" t="s">
        <v>0</v>
      </c>
      <c r="C1" s="26"/>
      <c r="D1" s="26"/>
      <c r="E1" s="27"/>
      <c r="F1" s="25" t="s">
        <v>1</v>
      </c>
      <c r="G1" s="26"/>
      <c r="H1" s="26"/>
      <c r="I1" s="27"/>
    </row>
    <row r="2" ht="15.75" customHeight="1">
      <c r="A2" s="28" t="s">
        <v>13</v>
      </c>
      <c r="B2" s="25" t="s">
        <v>14</v>
      </c>
      <c r="C2" s="29" t="s">
        <v>15</v>
      </c>
      <c r="D2" s="29" t="s">
        <v>16</v>
      </c>
      <c r="E2" s="30" t="s">
        <v>17</v>
      </c>
      <c r="F2" s="25" t="s">
        <v>14</v>
      </c>
      <c r="G2" s="29" t="s">
        <v>15</v>
      </c>
      <c r="H2" s="29" t="s">
        <v>16</v>
      </c>
      <c r="I2" s="30" t="s">
        <v>17</v>
      </c>
    </row>
    <row r="3" ht="15.75" customHeight="1">
      <c r="A3" s="31" t="s">
        <v>18</v>
      </c>
      <c r="B3" s="32">
        <v>2500.0</v>
      </c>
      <c r="C3" s="32">
        <v>2500.0</v>
      </c>
      <c r="D3" s="32">
        <v>2500.0</v>
      </c>
      <c r="E3" s="32">
        <v>2500.0</v>
      </c>
      <c r="F3" s="32">
        <v>2900.0</v>
      </c>
      <c r="G3" s="32">
        <v>2900.0</v>
      </c>
      <c r="H3" s="32">
        <v>2900.0</v>
      </c>
      <c r="I3" s="32">
        <v>2900.0</v>
      </c>
    </row>
    <row r="4" ht="15.75" customHeight="1">
      <c r="A4" s="31" t="s">
        <v>19</v>
      </c>
      <c r="B4" s="33">
        <v>0.15</v>
      </c>
      <c r="C4" s="33">
        <v>0.12</v>
      </c>
      <c r="D4" s="33">
        <v>0.1</v>
      </c>
      <c r="E4" s="33">
        <v>0.08</v>
      </c>
      <c r="F4" s="33">
        <v>0.08</v>
      </c>
      <c r="G4" s="33">
        <v>0.07</v>
      </c>
      <c r="H4" s="33">
        <v>0.06</v>
      </c>
      <c r="I4" s="34">
        <v>0.05</v>
      </c>
    </row>
    <row r="5" ht="15.75" customHeight="1">
      <c r="A5" s="31" t="s">
        <v>20</v>
      </c>
      <c r="B5" s="35">
        <v>0.003</v>
      </c>
      <c r="C5" s="35">
        <v>0.003</v>
      </c>
      <c r="D5" s="35">
        <v>0.004</v>
      </c>
      <c r="E5" s="35">
        <v>0.004</v>
      </c>
      <c r="F5" s="35">
        <v>0.004</v>
      </c>
      <c r="G5" s="35">
        <v>0.004</v>
      </c>
      <c r="H5" s="35">
        <v>0.004</v>
      </c>
      <c r="I5" s="36">
        <v>0.004</v>
      </c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</row>
    <row r="7" ht="15.75" customHeight="1">
      <c r="A7" s="23"/>
      <c r="B7" s="37"/>
      <c r="C7" s="23"/>
      <c r="D7" s="23"/>
      <c r="E7" s="23"/>
      <c r="F7" s="23"/>
      <c r="G7" s="23"/>
      <c r="H7" s="23"/>
      <c r="I7" s="23"/>
    </row>
    <row r="8" ht="15.75" customHeight="1">
      <c r="A8" s="24" t="s">
        <v>21</v>
      </c>
      <c r="B8" s="38">
        <v>1.0</v>
      </c>
      <c r="C8" s="39" t="s">
        <v>22</v>
      </c>
      <c r="D8" s="23"/>
      <c r="E8" s="23"/>
      <c r="F8" s="23"/>
      <c r="G8" s="23"/>
      <c r="H8" s="23"/>
      <c r="I8" s="23"/>
    </row>
    <row r="9" ht="15.75" customHeight="1">
      <c r="A9" s="24" t="s">
        <v>23</v>
      </c>
      <c r="B9" s="40">
        <v>2500.0</v>
      </c>
      <c r="C9" s="23"/>
      <c r="D9" s="23"/>
      <c r="E9" s="23"/>
      <c r="F9" s="23"/>
      <c r="G9" s="23"/>
      <c r="H9" s="23"/>
      <c r="I9" s="23"/>
    </row>
    <row r="10" ht="15.75" customHeight="1">
      <c r="A10" s="23"/>
      <c r="B10" s="37"/>
      <c r="C10" s="23"/>
      <c r="D10" s="23"/>
      <c r="E10" s="23"/>
      <c r="F10" s="23"/>
      <c r="G10" s="23"/>
      <c r="H10" s="23"/>
      <c r="I10" s="23"/>
    </row>
    <row r="11" ht="15.75" customHeight="1">
      <c r="A11" s="23"/>
      <c r="B11" s="41"/>
      <c r="C11" s="23"/>
      <c r="D11" s="23"/>
      <c r="E11" s="23"/>
      <c r="F11" s="23"/>
      <c r="G11" s="23"/>
      <c r="H11" s="23"/>
      <c r="I11" s="23"/>
    </row>
    <row r="12" ht="15.75" customHeight="1">
      <c r="A12" s="23"/>
      <c r="B12" s="37"/>
      <c r="C12" s="23"/>
      <c r="D12" s="23"/>
      <c r="E12" s="23"/>
      <c r="F12" s="23"/>
      <c r="G12" s="23"/>
      <c r="H12" s="23"/>
      <c r="I12" s="23"/>
    </row>
    <row r="13" ht="15.75" customHeight="1">
      <c r="A13" s="23"/>
      <c r="B13" s="37"/>
      <c r="C13" s="23"/>
      <c r="D13" s="23"/>
      <c r="E13" s="23"/>
      <c r="F13" s="23"/>
      <c r="G13" s="23"/>
      <c r="H13" s="23"/>
      <c r="I13" s="23"/>
    </row>
    <row r="14" ht="15.75" customHeight="1">
      <c r="A14" s="23"/>
      <c r="B14" s="37"/>
      <c r="C14" s="23"/>
      <c r="D14" s="23"/>
      <c r="E14" s="23"/>
      <c r="F14" s="23"/>
      <c r="G14" s="23"/>
      <c r="H14" s="23"/>
      <c r="I14" s="23"/>
    </row>
    <row r="15" ht="15.75" customHeight="1">
      <c r="A15" s="23"/>
      <c r="B15" s="37"/>
      <c r="C15" s="23"/>
      <c r="D15" s="23"/>
      <c r="E15" s="23"/>
      <c r="F15" s="23"/>
      <c r="G15" s="23"/>
      <c r="H15" s="23"/>
      <c r="I15" s="23"/>
    </row>
    <row r="16" ht="15.75" customHeight="1">
      <c r="A16" s="23"/>
      <c r="B16" s="37"/>
      <c r="C16" s="23"/>
      <c r="D16" s="23"/>
      <c r="E16" s="23"/>
      <c r="F16" s="23"/>
      <c r="G16" s="23"/>
      <c r="H16" s="23"/>
      <c r="I16" s="23"/>
    </row>
    <row r="17" ht="15.75" customHeight="1">
      <c r="A17" s="23"/>
      <c r="B17" s="37"/>
      <c r="C17" s="23"/>
      <c r="D17" s="23"/>
      <c r="E17" s="23"/>
      <c r="F17" s="23"/>
      <c r="G17" s="23"/>
      <c r="H17" s="23"/>
      <c r="I17" s="23"/>
    </row>
    <row r="18" ht="15.75" customHeight="1">
      <c r="A18" s="23"/>
      <c r="B18" s="37"/>
      <c r="C18" s="23"/>
      <c r="D18" s="23"/>
      <c r="E18" s="23"/>
      <c r="F18" s="23"/>
      <c r="G18" s="23"/>
      <c r="H18" s="23"/>
      <c r="I18" s="23"/>
    </row>
    <row r="19" ht="15.75" customHeight="1">
      <c r="A19" s="23"/>
      <c r="B19" s="37"/>
      <c r="C19" s="23"/>
      <c r="D19" s="23"/>
      <c r="E19" s="23"/>
      <c r="F19" s="23"/>
      <c r="G19" s="23"/>
      <c r="H19" s="23"/>
      <c r="I19" s="23"/>
    </row>
    <row r="20" ht="15.75" customHeight="1">
      <c r="A20" s="23"/>
      <c r="B20" s="37"/>
      <c r="C20" s="23"/>
      <c r="D20" s="23"/>
      <c r="E20" s="23"/>
      <c r="F20" s="23"/>
      <c r="G20" s="23"/>
      <c r="H20" s="23"/>
      <c r="I20" s="23"/>
    </row>
    <row r="21" ht="15.75" customHeight="1">
      <c r="A21" s="23"/>
      <c r="B21" s="37"/>
      <c r="C21" s="23"/>
      <c r="D21" s="23"/>
      <c r="E21" s="23"/>
      <c r="F21" s="23"/>
      <c r="G21" s="23"/>
      <c r="H21" s="23"/>
      <c r="I21" s="23"/>
    </row>
    <row r="22" ht="15.75" customHeight="1">
      <c r="A22" s="23"/>
      <c r="B22" s="37"/>
      <c r="C22" s="23"/>
      <c r="D22" s="23"/>
      <c r="E22" s="23"/>
      <c r="F22" s="23"/>
      <c r="G22" s="23"/>
      <c r="H22" s="23"/>
      <c r="I22" s="23"/>
    </row>
    <row r="23" ht="15.75" customHeight="1">
      <c r="A23" s="23"/>
      <c r="B23" s="37"/>
      <c r="C23" s="23"/>
      <c r="D23" s="23"/>
      <c r="E23" s="23"/>
      <c r="F23" s="23"/>
      <c r="G23" s="23"/>
      <c r="H23" s="23"/>
      <c r="I23" s="23"/>
    </row>
    <row r="24" ht="15.75" customHeight="1">
      <c r="A24" s="23"/>
      <c r="B24" s="37"/>
      <c r="C24" s="23"/>
      <c r="D24" s="23"/>
      <c r="E24" s="23"/>
      <c r="F24" s="23"/>
      <c r="G24" s="23"/>
      <c r="H24" s="23"/>
      <c r="I24" s="23"/>
    </row>
    <row r="25" ht="15.75" customHeight="1">
      <c r="A25" s="23"/>
      <c r="B25" s="37"/>
      <c r="C25" s="23"/>
      <c r="D25" s="23"/>
      <c r="E25" s="23"/>
      <c r="F25" s="23"/>
      <c r="G25" s="23"/>
      <c r="H25" s="23"/>
      <c r="I25" s="23"/>
    </row>
    <row r="26" ht="15.75" customHeight="1">
      <c r="A26" s="23"/>
      <c r="B26" s="37"/>
      <c r="C26" s="23"/>
      <c r="D26" s="23"/>
      <c r="E26" s="23"/>
      <c r="F26" s="23"/>
      <c r="G26" s="23"/>
      <c r="H26" s="23"/>
      <c r="I26" s="23"/>
    </row>
    <row r="27" ht="15.75" customHeight="1">
      <c r="A27" s="23"/>
      <c r="B27" s="37"/>
      <c r="C27" s="23"/>
      <c r="D27" s="23"/>
      <c r="E27" s="23"/>
      <c r="F27" s="23"/>
      <c r="G27" s="23"/>
      <c r="H27" s="23"/>
      <c r="I27" s="23"/>
    </row>
    <row r="28" ht="15.75" customHeight="1">
      <c r="A28" s="23"/>
      <c r="B28" s="37"/>
      <c r="C28" s="23"/>
      <c r="D28" s="23"/>
      <c r="E28" s="23"/>
      <c r="F28" s="23"/>
      <c r="G28" s="23"/>
      <c r="H28" s="23"/>
      <c r="I28" s="23"/>
    </row>
    <row r="29" ht="15.75" customHeight="1">
      <c r="A29" s="23"/>
      <c r="B29" s="37"/>
      <c r="C29" s="23"/>
      <c r="D29" s="23"/>
      <c r="E29" s="23"/>
      <c r="F29" s="23"/>
      <c r="G29" s="23"/>
      <c r="H29" s="23"/>
      <c r="I29" s="23"/>
    </row>
    <row r="30" ht="15.75" customHeight="1">
      <c r="A30" s="23"/>
      <c r="B30" s="37"/>
      <c r="C30" s="23"/>
      <c r="D30" s="23"/>
      <c r="E30" s="23"/>
      <c r="F30" s="23"/>
      <c r="G30" s="23"/>
      <c r="H30" s="23"/>
      <c r="I30" s="23"/>
    </row>
    <row r="31" ht="15.75" customHeight="1">
      <c r="A31" s="23"/>
      <c r="B31" s="37"/>
      <c r="C31" s="23"/>
      <c r="D31" s="23"/>
      <c r="E31" s="23"/>
      <c r="F31" s="23"/>
      <c r="G31" s="23"/>
      <c r="H31" s="23"/>
      <c r="I31" s="23"/>
    </row>
    <row r="32" ht="15.75" customHeight="1">
      <c r="A32" s="23"/>
      <c r="B32" s="37"/>
      <c r="C32" s="23"/>
      <c r="D32" s="23"/>
      <c r="E32" s="23"/>
      <c r="F32" s="23"/>
      <c r="G32" s="23"/>
      <c r="H32" s="23"/>
      <c r="I32" s="23"/>
    </row>
    <row r="33" ht="15.75" customHeight="1">
      <c r="A33" s="23"/>
      <c r="B33" s="37"/>
      <c r="C33" s="23"/>
      <c r="D33" s="23"/>
      <c r="E33" s="23"/>
      <c r="F33" s="23"/>
      <c r="G33" s="23"/>
      <c r="H33" s="23"/>
      <c r="I33" s="23"/>
    </row>
    <row r="34" ht="15.75" customHeight="1">
      <c r="A34" s="23"/>
      <c r="B34" s="37"/>
      <c r="C34" s="23"/>
      <c r="D34" s="23"/>
      <c r="E34" s="23"/>
      <c r="F34" s="23"/>
      <c r="G34" s="23"/>
      <c r="H34" s="23"/>
      <c r="I34" s="23"/>
    </row>
    <row r="35" ht="15.75" customHeight="1">
      <c r="A35" s="23"/>
      <c r="B35" s="37"/>
      <c r="C35" s="23"/>
      <c r="D35" s="23"/>
      <c r="E35" s="23"/>
      <c r="F35" s="23"/>
      <c r="G35" s="23"/>
      <c r="H35" s="23"/>
      <c r="I35" s="23"/>
    </row>
    <row r="36" ht="15.75" customHeight="1">
      <c r="A36" s="23"/>
      <c r="B36" s="37"/>
      <c r="C36" s="23"/>
      <c r="D36" s="23"/>
      <c r="E36" s="23"/>
      <c r="F36" s="23"/>
      <c r="G36" s="23"/>
      <c r="H36" s="23"/>
      <c r="I36" s="23"/>
    </row>
    <row r="37" ht="15.75" customHeight="1">
      <c r="A37" s="23"/>
      <c r="B37" s="37"/>
      <c r="C37" s="23"/>
      <c r="D37" s="23"/>
      <c r="E37" s="23"/>
      <c r="F37" s="23"/>
      <c r="G37" s="23"/>
      <c r="H37" s="23"/>
      <c r="I37" s="23"/>
    </row>
    <row r="38" ht="15.75" customHeight="1">
      <c r="A38" s="23"/>
      <c r="B38" s="37"/>
      <c r="C38" s="23"/>
      <c r="D38" s="23"/>
      <c r="E38" s="23"/>
      <c r="F38" s="23"/>
      <c r="G38" s="23"/>
      <c r="H38" s="23"/>
      <c r="I38" s="23"/>
    </row>
    <row r="39" ht="15.75" customHeight="1">
      <c r="A39" s="23"/>
      <c r="B39" s="37"/>
      <c r="C39" s="23"/>
      <c r="D39" s="23"/>
      <c r="E39" s="23"/>
      <c r="F39" s="23"/>
      <c r="G39" s="23"/>
      <c r="H39" s="23"/>
      <c r="I39" s="23"/>
    </row>
    <row r="40" ht="15.75" customHeight="1">
      <c r="A40" s="23"/>
      <c r="B40" s="37"/>
      <c r="C40" s="23"/>
      <c r="D40" s="23"/>
      <c r="E40" s="23"/>
      <c r="F40" s="23"/>
      <c r="G40" s="23"/>
      <c r="H40" s="23"/>
      <c r="I40" s="23"/>
    </row>
    <row r="41" ht="15.75" customHeight="1">
      <c r="A41" s="23"/>
      <c r="B41" s="37"/>
      <c r="C41" s="23"/>
      <c r="D41" s="23"/>
      <c r="E41" s="23"/>
      <c r="F41" s="23"/>
      <c r="G41" s="23"/>
      <c r="H41" s="23"/>
      <c r="I41" s="23"/>
    </row>
    <row r="42" ht="15.75" customHeight="1">
      <c r="A42" s="23"/>
      <c r="B42" s="37"/>
      <c r="C42" s="23"/>
      <c r="D42" s="23"/>
      <c r="E42" s="23"/>
      <c r="F42" s="23"/>
      <c r="G42" s="23"/>
      <c r="H42" s="23"/>
      <c r="I42" s="23"/>
    </row>
    <row r="43" ht="15.75" customHeight="1">
      <c r="A43" s="23"/>
      <c r="B43" s="37"/>
      <c r="C43" s="23"/>
      <c r="D43" s="23"/>
      <c r="E43" s="23"/>
      <c r="F43" s="23"/>
      <c r="G43" s="23"/>
      <c r="H43" s="23"/>
      <c r="I43" s="23"/>
    </row>
    <row r="44" ht="15.75" customHeight="1">
      <c r="A44" s="23"/>
      <c r="B44" s="37"/>
      <c r="C44" s="23"/>
      <c r="D44" s="23"/>
      <c r="E44" s="23"/>
      <c r="F44" s="23"/>
      <c r="G44" s="23"/>
      <c r="H44" s="23"/>
      <c r="I44" s="23"/>
    </row>
    <row r="45" ht="15.75" customHeight="1">
      <c r="A45" s="23"/>
      <c r="B45" s="37"/>
      <c r="C45" s="23"/>
      <c r="D45" s="23"/>
      <c r="E45" s="23"/>
      <c r="F45" s="23"/>
      <c r="G45" s="23"/>
      <c r="H45" s="23"/>
      <c r="I45" s="23"/>
    </row>
    <row r="46" ht="15.75" customHeight="1">
      <c r="A46" s="23"/>
      <c r="B46" s="37"/>
      <c r="C46" s="23"/>
      <c r="D46" s="23"/>
      <c r="E46" s="23"/>
      <c r="F46" s="23"/>
      <c r="G46" s="23"/>
      <c r="H46" s="23"/>
      <c r="I46" s="23"/>
    </row>
    <row r="47" ht="15.75" customHeight="1">
      <c r="A47" s="23"/>
      <c r="B47" s="37"/>
      <c r="C47" s="23"/>
      <c r="D47" s="23"/>
      <c r="E47" s="23"/>
      <c r="F47" s="23"/>
      <c r="G47" s="23"/>
      <c r="H47" s="23"/>
      <c r="I47" s="23"/>
    </row>
    <row r="48" ht="15.75" customHeight="1">
      <c r="A48" s="23"/>
      <c r="B48" s="37"/>
      <c r="C48" s="23"/>
      <c r="D48" s="23"/>
      <c r="E48" s="23"/>
      <c r="F48" s="23"/>
      <c r="G48" s="23"/>
      <c r="H48" s="23"/>
      <c r="I48" s="23"/>
    </row>
    <row r="49" ht="15.75" customHeight="1">
      <c r="A49" s="23"/>
      <c r="B49" s="37"/>
      <c r="C49" s="23"/>
      <c r="D49" s="23"/>
      <c r="E49" s="23"/>
      <c r="F49" s="23"/>
      <c r="G49" s="23"/>
      <c r="H49" s="23"/>
      <c r="I49" s="23"/>
    </row>
    <row r="50" ht="15.75" customHeight="1">
      <c r="A50" s="23"/>
      <c r="B50" s="37"/>
      <c r="C50" s="23"/>
      <c r="D50" s="23"/>
      <c r="E50" s="23"/>
      <c r="F50" s="23"/>
      <c r="G50" s="23"/>
      <c r="H50" s="23"/>
      <c r="I50" s="23"/>
    </row>
    <row r="51" ht="15.75" customHeight="1">
      <c r="A51" s="23"/>
      <c r="B51" s="37"/>
      <c r="C51" s="23"/>
      <c r="D51" s="23"/>
      <c r="E51" s="23"/>
      <c r="F51" s="23"/>
      <c r="G51" s="23"/>
      <c r="H51" s="23"/>
      <c r="I51" s="23"/>
    </row>
    <row r="52" ht="15.75" customHeight="1">
      <c r="A52" s="23"/>
      <c r="B52" s="37"/>
      <c r="C52" s="23"/>
      <c r="D52" s="23"/>
      <c r="E52" s="23"/>
      <c r="F52" s="23"/>
      <c r="G52" s="23"/>
      <c r="H52" s="23"/>
      <c r="I52" s="23"/>
    </row>
    <row r="53" ht="15.75" customHeight="1">
      <c r="A53" s="23"/>
      <c r="B53" s="37"/>
      <c r="C53" s="23"/>
      <c r="D53" s="23"/>
      <c r="E53" s="23"/>
      <c r="F53" s="23"/>
      <c r="G53" s="23"/>
      <c r="H53" s="23"/>
      <c r="I53" s="23"/>
    </row>
    <row r="54" ht="15.75" customHeight="1">
      <c r="A54" s="23"/>
      <c r="B54" s="37"/>
      <c r="C54" s="23"/>
      <c r="D54" s="23"/>
      <c r="E54" s="23"/>
      <c r="F54" s="23"/>
      <c r="G54" s="23"/>
      <c r="H54" s="23"/>
      <c r="I54" s="23"/>
    </row>
    <row r="55" ht="15.75" customHeight="1">
      <c r="A55" s="23"/>
      <c r="B55" s="37"/>
      <c r="C55" s="23"/>
      <c r="D55" s="23"/>
      <c r="E55" s="23"/>
      <c r="F55" s="23"/>
      <c r="G55" s="23"/>
      <c r="H55" s="23"/>
      <c r="I55" s="23"/>
    </row>
    <row r="56" ht="15.75" customHeight="1">
      <c r="A56" s="23"/>
      <c r="B56" s="37"/>
      <c r="C56" s="23"/>
      <c r="D56" s="23"/>
      <c r="E56" s="23"/>
      <c r="F56" s="23"/>
      <c r="G56" s="23"/>
      <c r="H56" s="23"/>
      <c r="I56" s="23"/>
    </row>
    <row r="57" ht="15.75" customHeight="1">
      <c r="A57" s="23"/>
      <c r="B57" s="37"/>
      <c r="C57" s="23"/>
      <c r="D57" s="23"/>
      <c r="E57" s="23"/>
      <c r="F57" s="23"/>
      <c r="G57" s="23"/>
      <c r="H57" s="23"/>
      <c r="I57" s="23"/>
    </row>
    <row r="58" ht="15.75" customHeight="1">
      <c r="A58" s="23"/>
      <c r="B58" s="37"/>
      <c r="C58" s="23"/>
      <c r="D58" s="23"/>
      <c r="E58" s="23"/>
      <c r="F58" s="23"/>
      <c r="G58" s="23"/>
      <c r="H58" s="23"/>
      <c r="I58" s="23"/>
    </row>
    <row r="59" ht="15.75" customHeight="1">
      <c r="A59" s="23"/>
      <c r="B59" s="37"/>
      <c r="C59" s="23"/>
      <c r="D59" s="23"/>
      <c r="E59" s="23"/>
      <c r="F59" s="23"/>
      <c r="G59" s="23"/>
      <c r="H59" s="23"/>
      <c r="I59" s="23"/>
    </row>
    <row r="60" ht="15.75" customHeight="1">
      <c r="A60" s="23"/>
      <c r="B60" s="37"/>
      <c r="C60" s="23"/>
      <c r="D60" s="23"/>
      <c r="E60" s="23"/>
      <c r="F60" s="23"/>
      <c r="G60" s="23"/>
      <c r="H60" s="23"/>
      <c r="I60" s="23"/>
    </row>
    <row r="61" ht="15.75" customHeight="1">
      <c r="A61" s="23"/>
      <c r="B61" s="37"/>
      <c r="C61" s="23"/>
      <c r="D61" s="23"/>
      <c r="E61" s="23"/>
      <c r="F61" s="23"/>
      <c r="G61" s="23"/>
      <c r="H61" s="23"/>
      <c r="I61" s="23"/>
    </row>
    <row r="62" ht="15.75" customHeight="1">
      <c r="A62" s="23"/>
      <c r="B62" s="37"/>
      <c r="C62" s="23"/>
      <c r="D62" s="23"/>
      <c r="E62" s="23"/>
      <c r="F62" s="23"/>
      <c r="G62" s="23"/>
      <c r="H62" s="23"/>
      <c r="I62" s="23"/>
    </row>
    <row r="63" ht="15.75" customHeight="1">
      <c r="A63" s="23"/>
      <c r="B63" s="37"/>
      <c r="C63" s="23"/>
      <c r="D63" s="23"/>
      <c r="E63" s="23"/>
      <c r="F63" s="23"/>
      <c r="G63" s="23"/>
      <c r="H63" s="23"/>
      <c r="I63" s="23"/>
    </row>
    <row r="64" ht="15.75" customHeight="1">
      <c r="A64" s="23"/>
      <c r="B64" s="37"/>
      <c r="C64" s="23"/>
      <c r="D64" s="23"/>
      <c r="E64" s="23"/>
      <c r="F64" s="23"/>
      <c r="G64" s="23"/>
      <c r="H64" s="23"/>
      <c r="I64" s="23"/>
    </row>
    <row r="65" ht="15.75" customHeight="1">
      <c r="A65" s="23"/>
      <c r="B65" s="37"/>
      <c r="C65" s="23"/>
      <c r="D65" s="23"/>
      <c r="E65" s="23"/>
      <c r="F65" s="23"/>
      <c r="G65" s="23"/>
      <c r="H65" s="23"/>
      <c r="I65" s="23"/>
    </row>
    <row r="66" ht="15.75" customHeight="1">
      <c r="A66" s="23"/>
      <c r="B66" s="37"/>
      <c r="C66" s="23"/>
      <c r="D66" s="23"/>
      <c r="E66" s="23"/>
      <c r="F66" s="23"/>
      <c r="G66" s="23"/>
      <c r="H66" s="23"/>
      <c r="I66" s="23"/>
    </row>
    <row r="67" ht="15.75" customHeight="1">
      <c r="A67" s="23"/>
      <c r="B67" s="37"/>
      <c r="C67" s="23"/>
      <c r="D67" s="23"/>
      <c r="E67" s="23"/>
      <c r="F67" s="23"/>
      <c r="G67" s="23"/>
      <c r="H67" s="23"/>
      <c r="I67" s="23"/>
    </row>
    <row r="68" ht="15.75" customHeight="1">
      <c r="A68" s="23"/>
      <c r="B68" s="37"/>
      <c r="C68" s="23"/>
      <c r="D68" s="23"/>
      <c r="E68" s="23"/>
      <c r="F68" s="23"/>
      <c r="G68" s="23"/>
      <c r="H68" s="23"/>
      <c r="I68" s="23"/>
    </row>
    <row r="69" ht="15.75" customHeight="1">
      <c r="A69" s="23"/>
      <c r="B69" s="37"/>
      <c r="C69" s="23"/>
      <c r="D69" s="23"/>
      <c r="E69" s="23"/>
      <c r="F69" s="23"/>
      <c r="G69" s="23"/>
      <c r="H69" s="23"/>
      <c r="I69" s="23"/>
    </row>
    <row r="70" ht="15.75" customHeight="1">
      <c r="A70" s="23"/>
      <c r="B70" s="37"/>
      <c r="C70" s="23"/>
      <c r="D70" s="23"/>
      <c r="E70" s="23"/>
      <c r="F70" s="23"/>
      <c r="G70" s="23"/>
      <c r="H70" s="23"/>
      <c r="I70" s="23"/>
    </row>
    <row r="71" ht="15.75" customHeight="1">
      <c r="A71" s="23"/>
      <c r="B71" s="37"/>
      <c r="C71" s="23"/>
      <c r="D71" s="23"/>
      <c r="E71" s="23"/>
      <c r="F71" s="23"/>
      <c r="G71" s="23"/>
      <c r="H71" s="23"/>
      <c r="I71" s="23"/>
    </row>
    <row r="72" ht="15.75" customHeight="1">
      <c r="A72" s="23"/>
      <c r="B72" s="37"/>
      <c r="C72" s="23"/>
      <c r="D72" s="23"/>
      <c r="E72" s="23"/>
      <c r="F72" s="23"/>
      <c r="G72" s="23"/>
      <c r="H72" s="23"/>
      <c r="I72" s="23"/>
    </row>
    <row r="73" ht="15.75" customHeight="1">
      <c r="A73" s="23"/>
      <c r="B73" s="37"/>
      <c r="C73" s="23"/>
      <c r="D73" s="23"/>
      <c r="E73" s="23"/>
      <c r="F73" s="23"/>
      <c r="G73" s="23"/>
      <c r="H73" s="23"/>
      <c r="I73" s="23"/>
    </row>
    <row r="74" ht="15.75" customHeight="1">
      <c r="A74" s="23"/>
      <c r="B74" s="37"/>
      <c r="C74" s="23"/>
      <c r="D74" s="23"/>
      <c r="E74" s="23"/>
      <c r="F74" s="23"/>
      <c r="G74" s="23"/>
      <c r="H74" s="23"/>
      <c r="I74" s="23"/>
    </row>
    <row r="75" ht="15.75" customHeight="1">
      <c r="A75" s="23"/>
      <c r="B75" s="37"/>
      <c r="C75" s="23"/>
      <c r="D75" s="23"/>
      <c r="E75" s="23"/>
      <c r="F75" s="23"/>
      <c r="G75" s="23"/>
      <c r="H75" s="23"/>
      <c r="I75" s="23"/>
    </row>
    <row r="76" ht="15.75" customHeight="1">
      <c r="A76" s="23"/>
      <c r="B76" s="37"/>
      <c r="C76" s="23"/>
      <c r="D76" s="23"/>
      <c r="E76" s="23"/>
      <c r="F76" s="23"/>
      <c r="G76" s="23"/>
      <c r="H76" s="23"/>
      <c r="I76" s="23"/>
    </row>
    <row r="77" ht="15.75" customHeight="1">
      <c r="A77" s="23"/>
      <c r="B77" s="37"/>
      <c r="C77" s="23"/>
      <c r="D77" s="23"/>
      <c r="E77" s="23"/>
      <c r="F77" s="23"/>
      <c r="G77" s="23"/>
      <c r="H77" s="23"/>
      <c r="I77" s="23"/>
    </row>
    <row r="78" ht="15.75" customHeight="1">
      <c r="A78" s="23"/>
      <c r="B78" s="37"/>
      <c r="C78" s="23"/>
      <c r="D78" s="23"/>
      <c r="E78" s="23"/>
      <c r="F78" s="23"/>
      <c r="G78" s="23"/>
      <c r="H78" s="23"/>
      <c r="I78" s="23"/>
    </row>
    <row r="79" ht="15.75" customHeight="1">
      <c r="A79" s="23"/>
      <c r="B79" s="37"/>
      <c r="C79" s="23"/>
      <c r="D79" s="23"/>
      <c r="E79" s="23"/>
      <c r="F79" s="23"/>
      <c r="G79" s="23"/>
      <c r="H79" s="23"/>
      <c r="I79" s="23"/>
    </row>
    <row r="80" ht="15.75" customHeight="1">
      <c r="A80" s="23"/>
      <c r="B80" s="37"/>
      <c r="C80" s="23"/>
      <c r="D80" s="23"/>
      <c r="E80" s="23"/>
      <c r="F80" s="23"/>
      <c r="G80" s="23"/>
      <c r="H80" s="23"/>
      <c r="I80" s="23"/>
    </row>
    <row r="81" ht="15.75" customHeight="1">
      <c r="A81" s="23"/>
      <c r="B81" s="37"/>
      <c r="C81" s="23"/>
      <c r="D81" s="23"/>
      <c r="E81" s="23"/>
      <c r="F81" s="23"/>
      <c r="G81" s="23"/>
      <c r="H81" s="23"/>
      <c r="I81" s="23"/>
    </row>
    <row r="82" ht="15.75" customHeight="1">
      <c r="A82" s="23"/>
      <c r="B82" s="37"/>
      <c r="C82" s="23"/>
      <c r="D82" s="23"/>
      <c r="E82" s="23"/>
      <c r="F82" s="23"/>
      <c r="G82" s="23"/>
      <c r="H82" s="23"/>
      <c r="I82" s="23"/>
    </row>
    <row r="83" ht="15.75" customHeight="1">
      <c r="A83" s="23"/>
      <c r="B83" s="37"/>
      <c r="C83" s="23"/>
      <c r="D83" s="23"/>
      <c r="E83" s="23"/>
      <c r="F83" s="23"/>
      <c r="G83" s="23"/>
      <c r="H83" s="23"/>
      <c r="I83" s="23"/>
    </row>
    <row r="84" ht="15.75" customHeight="1">
      <c r="A84" s="23"/>
      <c r="B84" s="37"/>
      <c r="C84" s="23"/>
      <c r="D84" s="23"/>
      <c r="E84" s="23"/>
      <c r="F84" s="23"/>
      <c r="G84" s="23"/>
      <c r="H84" s="23"/>
      <c r="I84" s="23"/>
    </row>
    <row r="85" ht="15.75" customHeight="1">
      <c r="A85" s="23"/>
      <c r="B85" s="37"/>
      <c r="C85" s="23"/>
      <c r="D85" s="23"/>
      <c r="E85" s="23"/>
      <c r="F85" s="23"/>
      <c r="G85" s="23"/>
      <c r="H85" s="23"/>
      <c r="I85" s="23"/>
    </row>
    <row r="86" ht="15.75" customHeight="1">
      <c r="A86" s="23"/>
      <c r="B86" s="37"/>
      <c r="C86" s="23"/>
      <c r="D86" s="23"/>
      <c r="E86" s="23"/>
      <c r="F86" s="23"/>
      <c r="G86" s="23"/>
      <c r="H86" s="23"/>
      <c r="I86" s="23"/>
    </row>
    <row r="87" ht="15.75" customHeight="1">
      <c r="A87" s="23"/>
      <c r="B87" s="37"/>
      <c r="C87" s="23"/>
      <c r="D87" s="23"/>
      <c r="E87" s="23"/>
      <c r="F87" s="23"/>
      <c r="G87" s="23"/>
      <c r="H87" s="23"/>
      <c r="I87" s="23"/>
    </row>
    <row r="88" ht="15.75" customHeight="1">
      <c r="A88" s="23"/>
      <c r="B88" s="37"/>
      <c r="C88" s="23"/>
      <c r="D88" s="23"/>
      <c r="E88" s="23"/>
      <c r="F88" s="23"/>
      <c r="G88" s="23"/>
      <c r="H88" s="23"/>
      <c r="I88" s="23"/>
    </row>
    <row r="89" ht="15.75" customHeight="1">
      <c r="A89" s="23"/>
      <c r="B89" s="37"/>
      <c r="C89" s="23"/>
      <c r="D89" s="23"/>
      <c r="E89" s="23"/>
      <c r="F89" s="23"/>
      <c r="G89" s="23"/>
      <c r="H89" s="23"/>
      <c r="I89" s="23"/>
    </row>
    <row r="90" ht="15.75" customHeight="1">
      <c r="A90" s="23"/>
      <c r="B90" s="37"/>
      <c r="C90" s="23"/>
      <c r="D90" s="23"/>
      <c r="E90" s="23"/>
      <c r="F90" s="23"/>
      <c r="G90" s="23"/>
      <c r="H90" s="23"/>
      <c r="I90" s="23"/>
    </row>
    <row r="91" ht="15.75" customHeight="1">
      <c r="A91" s="23"/>
      <c r="B91" s="37"/>
      <c r="C91" s="23"/>
      <c r="D91" s="23"/>
      <c r="E91" s="23"/>
      <c r="F91" s="23"/>
      <c r="G91" s="23"/>
      <c r="H91" s="23"/>
      <c r="I91" s="23"/>
    </row>
    <row r="92" ht="15.75" customHeight="1">
      <c r="A92" s="23"/>
      <c r="B92" s="37"/>
      <c r="C92" s="23"/>
      <c r="D92" s="23"/>
      <c r="E92" s="23"/>
      <c r="F92" s="23"/>
      <c r="G92" s="23"/>
      <c r="H92" s="23"/>
      <c r="I92" s="23"/>
    </row>
    <row r="93" ht="15.75" customHeight="1">
      <c r="A93" s="23"/>
      <c r="B93" s="37"/>
      <c r="C93" s="23"/>
      <c r="D93" s="23"/>
      <c r="E93" s="23"/>
      <c r="F93" s="23"/>
      <c r="G93" s="23"/>
      <c r="H93" s="23"/>
      <c r="I93" s="23"/>
    </row>
    <row r="94" ht="15.75" customHeight="1">
      <c r="A94" s="23"/>
      <c r="B94" s="37"/>
      <c r="C94" s="23"/>
      <c r="D94" s="23"/>
      <c r="E94" s="23"/>
      <c r="F94" s="23"/>
      <c r="G94" s="23"/>
      <c r="H94" s="23"/>
      <c r="I94" s="23"/>
    </row>
    <row r="95" ht="15.75" customHeight="1">
      <c r="A95" s="23"/>
      <c r="B95" s="37"/>
      <c r="C95" s="23"/>
      <c r="D95" s="23"/>
      <c r="E95" s="23"/>
      <c r="F95" s="23"/>
      <c r="G95" s="23"/>
      <c r="H95" s="23"/>
      <c r="I95" s="23"/>
    </row>
    <row r="96" ht="15.75" customHeight="1">
      <c r="A96" s="23"/>
      <c r="B96" s="37"/>
      <c r="C96" s="23"/>
      <c r="D96" s="23"/>
      <c r="E96" s="23"/>
      <c r="F96" s="23"/>
      <c r="G96" s="23"/>
      <c r="H96" s="23"/>
      <c r="I96" s="23"/>
    </row>
    <row r="97" ht="15.75" customHeight="1">
      <c r="A97" s="23"/>
      <c r="B97" s="37"/>
      <c r="C97" s="23"/>
      <c r="D97" s="23"/>
      <c r="E97" s="23"/>
      <c r="F97" s="23"/>
      <c r="G97" s="23"/>
      <c r="H97" s="23"/>
      <c r="I97" s="23"/>
    </row>
    <row r="98" ht="15.75" customHeight="1">
      <c r="A98" s="23"/>
      <c r="B98" s="37"/>
      <c r="C98" s="23"/>
      <c r="D98" s="23"/>
      <c r="E98" s="23"/>
      <c r="F98" s="23"/>
      <c r="G98" s="23"/>
      <c r="H98" s="23"/>
      <c r="I98" s="23"/>
    </row>
    <row r="99" ht="15.75" customHeight="1">
      <c r="A99" s="23"/>
      <c r="B99" s="37"/>
      <c r="C99" s="23"/>
      <c r="D99" s="23"/>
      <c r="E99" s="23"/>
      <c r="F99" s="23"/>
      <c r="G99" s="23"/>
      <c r="H99" s="23"/>
      <c r="I99" s="23"/>
    </row>
    <row r="100" ht="15.75" customHeight="1">
      <c r="A100" s="23"/>
      <c r="B100" s="37"/>
      <c r="C100" s="23"/>
      <c r="D100" s="23"/>
      <c r="E100" s="23"/>
      <c r="F100" s="23"/>
      <c r="G100" s="23"/>
      <c r="H100" s="23"/>
      <c r="I100" s="23"/>
    </row>
    <row r="101" ht="15.75" customHeight="1">
      <c r="A101" s="23"/>
      <c r="B101" s="37"/>
      <c r="C101" s="23"/>
      <c r="D101" s="23"/>
      <c r="E101" s="23"/>
      <c r="F101" s="23"/>
      <c r="G101" s="23"/>
      <c r="H101" s="23"/>
      <c r="I101" s="23"/>
    </row>
    <row r="102" ht="15.75" customHeight="1">
      <c r="A102" s="23"/>
      <c r="B102" s="37"/>
      <c r="C102" s="23"/>
      <c r="D102" s="23"/>
      <c r="E102" s="23"/>
      <c r="F102" s="23"/>
      <c r="G102" s="23"/>
      <c r="H102" s="23"/>
      <c r="I102" s="23"/>
    </row>
    <row r="103" ht="15.75" customHeight="1">
      <c r="A103" s="23"/>
      <c r="B103" s="37"/>
      <c r="C103" s="23"/>
      <c r="D103" s="23"/>
      <c r="E103" s="23"/>
      <c r="F103" s="23"/>
      <c r="G103" s="23"/>
      <c r="H103" s="23"/>
      <c r="I103" s="23"/>
    </row>
    <row r="104" ht="15.75" customHeight="1">
      <c r="A104" s="23"/>
      <c r="B104" s="37"/>
      <c r="C104" s="23"/>
      <c r="D104" s="23"/>
      <c r="E104" s="23"/>
      <c r="F104" s="23"/>
      <c r="G104" s="23"/>
      <c r="H104" s="23"/>
      <c r="I104" s="23"/>
    </row>
    <row r="105" ht="15.75" customHeight="1">
      <c r="A105" s="23"/>
      <c r="B105" s="37"/>
      <c r="C105" s="23"/>
      <c r="D105" s="23"/>
      <c r="E105" s="23"/>
      <c r="F105" s="23"/>
      <c r="G105" s="23"/>
      <c r="H105" s="23"/>
      <c r="I105" s="23"/>
    </row>
    <row r="106" ht="15.75" customHeight="1">
      <c r="A106" s="23"/>
      <c r="B106" s="37"/>
      <c r="C106" s="23"/>
      <c r="D106" s="23"/>
      <c r="E106" s="23"/>
      <c r="F106" s="23"/>
      <c r="G106" s="23"/>
      <c r="H106" s="23"/>
      <c r="I106" s="23"/>
    </row>
    <row r="107" ht="15.75" customHeight="1">
      <c r="A107" s="23"/>
      <c r="B107" s="37"/>
      <c r="C107" s="23"/>
      <c r="D107" s="23"/>
      <c r="E107" s="23"/>
      <c r="F107" s="23"/>
      <c r="G107" s="23"/>
      <c r="H107" s="23"/>
      <c r="I107" s="23"/>
    </row>
    <row r="108" ht="15.75" customHeight="1">
      <c r="A108" s="23"/>
      <c r="B108" s="37"/>
      <c r="C108" s="23"/>
      <c r="D108" s="23"/>
      <c r="E108" s="23"/>
      <c r="F108" s="23"/>
      <c r="G108" s="23"/>
      <c r="H108" s="23"/>
      <c r="I108" s="23"/>
    </row>
    <row r="109" ht="15.75" customHeight="1">
      <c r="A109" s="23"/>
      <c r="B109" s="37"/>
      <c r="C109" s="23"/>
      <c r="D109" s="23"/>
      <c r="E109" s="23"/>
      <c r="F109" s="23"/>
      <c r="G109" s="23"/>
      <c r="H109" s="23"/>
      <c r="I109" s="23"/>
    </row>
    <row r="110" ht="15.75" customHeight="1">
      <c r="A110" s="23"/>
      <c r="B110" s="37"/>
      <c r="C110" s="23"/>
      <c r="D110" s="23"/>
      <c r="E110" s="23"/>
      <c r="F110" s="23"/>
      <c r="G110" s="23"/>
      <c r="H110" s="23"/>
      <c r="I110" s="23"/>
    </row>
    <row r="111" ht="15.75" customHeight="1">
      <c r="A111" s="23"/>
      <c r="B111" s="37"/>
      <c r="C111" s="23"/>
      <c r="D111" s="23"/>
      <c r="E111" s="23"/>
      <c r="F111" s="23"/>
      <c r="G111" s="23"/>
      <c r="H111" s="23"/>
      <c r="I111" s="23"/>
    </row>
    <row r="112" ht="15.75" customHeight="1">
      <c r="A112" s="23"/>
      <c r="B112" s="37"/>
      <c r="C112" s="23"/>
      <c r="D112" s="23"/>
      <c r="E112" s="23"/>
      <c r="F112" s="23"/>
      <c r="G112" s="23"/>
      <c r="H112" s="23"/>
      <c r="I112" s="23"/>
    </row>
    <row r="113" ht="15.75" customHeight="1">
      <c r="A113" s="23"/>
      <c r="B113" s="37"/>
      <c r="C113" s="23"/>
      <c r="D113" s="23"/>
      <c r="E113" s="23"/>
      <c r="F113" s="23"/>
      <c r="G113" s="23"/>
      <c r="H113" s="23"/>
      <c r="I113" s="23"/>
    </row>
    <row r="114" ht="15.75" customHeight="1">
      <c r="A114" s="23"/>
      <c r="B114" s="37"/>
      <c r="C114" s="23"/>
      <c r="D114" s="23"/>
      <c r="E114" s="23"/>
      <c r="F114" s="23"/>
      <c r="G114" s="23"/>
      <c r="H114" s="23"/>
      <c r="I114" s="23"/>
    </row>
    <row r="115" ht="15.75" customHeight="1">
      <c r="A115" s="23"/>
      <c r="B115" s="37"/>
      <c r="C115" s="23"/>
      <c r="D115" s="23"/>
      <c r="E115" s="23"/>
      <c r="F115" s="23"/>
      <c r="G115" s="23"/>
      <c r="H115" s="23"/>
      <c r="I115" s="23"/>
    </row>
    <row r="116" ht="15.75" customHeight="1">
      <c r="A116" s="23"/>
      <c r="B116" s="37"/>
      <c r="C116" s="23"/>
      <c r="D116" s="23"/>
      <c r="E116" s="23"/>
      <c r="F116" s="23"/>
      <c r="G116" s="23"/>
      <c r="H116" s="23"/>
      <c r="I116" s="23"/>
    </row>
    <row r="117" ht="15.75" customHeight="1">
      <c r="A117" s="23"/>
      <c r="B117" s="37"/>
      <c r="C117" s="23"/>
      <c r="D117" s="23"/>
      <c r="E117" s="23"/>
      <c r="F117" s="23"/>
      <c r="G117" s="23"/>
      <c r="H117" s="23"/>
      <c r="I117" s="23"/>
    </row>
    <row r="118" ht="15.75" customHeight="1">
      <c r="A118" s="23"/>
      <c r="B118" s="37"/>
      <c r="C118" s="23"/>
      <c r="D118" s="23"/>
      <c r="E118" s="23"/>
      <c r="F118" s="23"/>
      <c r="G118" s="23"/>
      <c r="H118" s="23"/>
      <c r="I118" s="23"/>
    </row>
    <row r="119" ht="15.75" customHeight="1">
      <c r="A119" s="23"/>
      <c r="B119" s="37"/>
      <c r="C119" s="23"/>
      <c r="D119" s="23"/>
      <c r="E119" s="23"/>
      <c r="F119" s="23"/>
      <c r="G119" s="23"/>
      <c r="H119" s="23"/>
      <c r="I119" s="23"/>
    </row>
    <row r="120" ht="15.75" customHeight="1">
      <c r="A120" s="23"/>
      <c r="B120" s="37"/>
      <c r="C120" s="23"/>
      <c r="D120" s="23"/>
      <c r="E120" s="23"/>
      <c r="F120" s="23"/>
      <c r="G120" s="23"/>
      <c r="H120" s="23"/>
      <c r="I120" s="23"/>
    </row>
    <row r="121" ht="15.75" customHeight="1">
      <c r="A121" s="23"/>
      <c r="B121" s="37"/>
      <c r="C121" s="23"/>
      <c r="D121" s="23"/>
      <c r="E121" s="23"/>
      <c r="F121" s="23"/>
      <c r="G121" s="23"/>
      <c r="H121" s="23"/>
      <c r="I121" s="23"/>
    </row>
    <row r="122" ht="15.75" customHeight="1">
      <c r="A122" s="23"/>
      <c r="B122" s="37"/>
      <c r="C122" s="23"/>
      <c r="D122" s="23"/>
      <c r="E122" s="23"/>
      <c r="F122" s="23"/>
      <c r="G122" s="23"/>
      <c r="H122" s="23"/>
      <c r="I122" s="23"/>
    </row>
    <row r="123" ht="15.75" customHeight="1">
      <c r="A123" s="23"/>
      <c r="B123" s="37"/>
      <c r="C123" s="23"/>
      <c r="D123" s="23"/>
      <c r="E123" s="23"/>
      <c r="F123" s="23"/>
      <c r="G123" s="23"/>
      <c r="H123" s="23"/>
      <c r="I123" s="23"/>
    </row>
    <row r="124" ht="15.75" customHeight="1">
      <c r="A124" s="23"/>
      <c r="B124" s="37"/>
      <c r="C124" s="23"/>
      <c r="D124" s="23"/>
      <c r="E124" s="23"/>
      <c r="F124" s="23"/>
      <c r="G124" s="23"/>
      <c r="H124" s="23"/>
      <c r="I124" s="23"/>
    </row>
    <row r="125" ht="15.75" customHeight="1">
      <c r="A125" s="23"/>
      <c r="B125" s="37"/>
      <c r="C125" s="23"/>
      <c r="D125" s="23"/>
      <c r="E125" s="23"/>
      <c r="F125" s="23"/>
      <c r="G125" s="23"/>
      <c r="H125" s="23"/>
      <c r="I125" s="23"/>
    </row>
    <row r="126" ht="15.75" customHeight="1">
      <c r="A126" s="23"/>
      <c r="B126" s="37"/>
      <c r="C126" s="23"/>
      <c r="D126" s="23"/>
      <c r="E126" s="23"/>
      <c r="F126" s="23"/>
      <c r="G126" s="23"/>
      <c r="H126" s="23"/>
      <c r="I126" s="23"/>
    </row>
    <row r="127" ht="15.75" customHeight="1">
      <c r="A127" s="23"/>
      <c r="B127" s="37"/>
      <c r="C127" s="23"/>
      <c r="D127" s="23"/>
      <c r="E127" s="23"/>
      <c r="F127" s="23"/>
      <c r="G127" s="23"/>
      <c r="H127" s="23"/>
      <c r="I127" s="23"/>
    </row>
    <row r="128" ht="15.75" customHeight="1">
      <c r="A128" s="23"/>
      <c r="B128" s="37"/>
      <c r="C128" s="23"/>
      <c r="D128" s="23"/>
      <c r="E128" s="23"/>
      <c r="F128" s="23"/>
      <c r="G128" s="23"/>
      <c r="H128" s="23"/>
      <c r="I128" s="23"/>
    </row>
    <row r="129" ht="15.75" customHeight="1">
      <c r="A129" s="23"/>
      <c r="B129" s="37"/>
      <c r="C129" s="23"/>
      <c r="D129" s="23"/>
      <c r="E129" s="23"/>
      <c r="F129" s="23"/>
      <c r="G129" s="23"/>
      <c r="H129" s="23"/>
      <c r="I129" s="23"/>
    </row>
    <row r="130" ht="15.75" customHeight="1">
      <c r="A130" s="23"/>
      <c r="B130" s="37"/>
      <c r="C130" s="23"/>
      <c r="D130" s="23"/>
      <c r="E130" s="23"/>
      <c r="F130" s="23"/>
      <c r="G130" s="23"/>
      <c r="H130" s="23"/>
      <c r="I130" s="23"/>
    </row>
    <row r="131" ht="15.75" customHeight="1">
      <c r="A131" s="23"/>
      <c r="B131" s="37"/>
      <c r="C131" s="23"/>
      <c r="D131" s="23"/>
      <c r="E131" s="23"/>
      <c r="F131" s="23"/>
      <c r="G131" s="23"/>
      <c r="H131" s="23"/>
      <c r="I131" s="23"/>
    </row>
    <row r="132" ht="15.75" customHeight="1">
      <c r="A132" s="23"/>
      <c r="B132" s="37"/>
      <c r="C132" s="23"/>
      <c r="D132" s="23"/>
      <c r="E132" s="23"/>
      <c r="F132" s="23"/>
      <c r="G132" s="23"/>
      <c r="H132" s="23"/>
      <c r="I132" s="23"/>
    </row>
    <row r="133" ht="15.75" customHeight="1">
      <c r="A133" s="23"/>
      <c r="B133" s="37"/>
      <c r="C133" s="23"/>
      <c r="D133" s="23"/>
      <c r="E133" s="23"/>
      <c r="F133" s="23"/>
      <c r="G133" s="23"/>
      <c r="H133" s="23"/>
      <c r="I133" s="23"/>
    </row>
    <row r="134" ht="15.75" customHeight="1">
      <c r="A134" s="23"/>
      <c r="B134" s="37"/>
      <c r="C134" s="23"/>
      <c r="D134" s="23"/>
      <c r="E134" s="23"/>
      <c r="F134" s="23"/>
      <c r="G134" s="23"/>
      <c r="H134" s="23"/>
      <c r="I134" s="23"/>
    </row>
    <row r="135" ht="15.75" customHeight="1">
      <c r="A135" s="23"/>
      <c r="B135" s="37"/>
      <c r="C135" s="23"/>
      <c r="D135" s="23"/>
      <c r="E135" s="23"/>
      <c r="F135" s="23"/>
      <c r="G135" s="23"/>
      <c r="H135" s="23"/>
      <c r="I135" s="23"/>
    </row>
    <row r="136" ht="15.75" customHeight="1">
      <c r="A136" s="23"/>
      <c r="B136" s="37"/>
      <c r="C136" s="23"/>
      <c r="D136" s="23"/>
      <c r="E136" s="23"/>
      <c r="F136" s="23"/>
      <c r="G136" s="23"/>
      <c r="H136" s="23"/>
      <c r="I136" s="23"/>
    </row>
    <row r="137" ht="15.75" customHeight="1">
      <c r="A137" s="23"/>
      <c r="B137" s="37"/>
      <c r="C137" s="23"/>
      <c r="D137" s="23"/>
      <c r="E137" s="23"/>
      <c r="F137" s="23"/>
      <c r="G137" s="23"/>
      <c r="H137" s="23"/>
      <c r="I137" s="23"/>
    </row>
    <row r="138" ht="15.75" customHeight="1">
      <c r="A138" s="23"/>
      <c r="B138" s="37"/>
      <c r="C138" s="23"/>
      <c r="D138" s="23"/>
      <c r="E138" s="23"/>
      <c r="F138" s="23"/>
      <c r="G138" s="23"/>
      <c r="H138" s="23"/>
      <c r="I138" s="23"/>
    </row>
    <row r="139" ht="15.75" customHeight="1">
      <c r="A139" s="23"/>
      <c r="B139" s="37"/>
      <c r="C139" s="23"/>
      <c r="D139" s="23"/>
      <c r="E139" s="23"/>
      <c r="F139" s="23"/>
      <c r="G139" s="23"/>
      <c r="H139" s="23"/>
      <c r="I139" s="23"/>
    </row>
    <row r="140" ht="15.75" customHeight="1">
      <c r="A140" s="23"/>
      <c r="B140" s="37"/>
      <c r="C140" s="23"/>
      <c r="D140" s="23"/>
      <c r="E140" s="23"/>
      <c r="F140" s="23"/>
      <c r="G140" s="23"/>
      <c r="H140" s="23"/>
      <c r="I140" s="23"/>
    </row>
    <row r="141" ht="15.75" customHeight="1">
      <c r="A141" s="23"/>
      <c r="B141" s="37"/>
      <c r="C141" s="23"/>
      <c r="D141" s="23"/>
      <c r="E141" s="23"/>
      <c r="F141" s="23"/>
      <c r="G141" s="23"/>
      <c r="H141" s="23"/>
      <c r="I141" s="23"/>
    </row>
    <row r="142" ht="15.75" customHeight="1">
      <c r="A142" s="23"/>
      <c r="B142" s="37"/>
      <c r="C142" s="23"/>
      <c r="D142" s="23"/>
      <c r="E142" s="23"/>
      <c r="F142" s="23"/>
      <c r="G142" s="23"/>
      <c r="H142" s="23"/>
      <c r="I142" s="23"/>
    </row>
    <row r="143" ht="15.75" customHeight="1">
      <c r="A143" s="23"/>
      <c r="B143" s="37"/>
      <c r="C143" s="23"/>
      <c r="D143" s="23"/>
      <c r="E143" s="23"/>
      <c r="F143" s="23"/>
      <c r="G143" s="23"/>
      <c r="H143" s="23"/>
      <c r="I143" s="23"/>
    </row>
    <row r="144" ht="15.75" customHeight="1">
      <c r="A144" s="23"/>
      <c r="B144" s="37"/>
      <c r="C144" s="23"/>
      <c r="D144" s="23"/>
      <c r="E144" s="23"/>
      <c r="F144" s="23"/>
      <c r="G144" s="23"/>
      <c r="H144" s="23"/>
      <c r="I144" s="23"/>
    </row>
    <row r="145" ht="15.75" customHeight="1">
      <c r="A145" s="23"/>
      <c r="B145" s="37"/>
      <c r="C145" s="23"/>
      <c r="D145" s="23"/>
      <c r="E145" s="23"/>
      <c r="F145" s="23"/>
      <c r="G145" s="23"/>
      <c r="H145" s="23"/>
      <c r="I145" s="23"/>
    </row>
    <row r="146" ht="15.75" customHeight="1">
      <c r="A146" s="23"/>
      <c r="B146" s="37"/>
      <c r="C146" s="23"/>
      <c r="D146" s="23"/>
      <c r="E146" s="23"/>
      <c r="F146" s="23"/>
      <c r="G146" s="23"/>
      <c r="H146" s="23"/>
      <c r="I146" s="23"/>
    </row>
    <row r="147" ht="15.75" customHeight="1">
      <c r="A147" s="23"/>
      <c r="B147" s="37"/>
      <c r="C147" s="23"/>
      <c r="D147" s="23"/>
      <c r="E147" s="23"/>
      <c r="F147" s="23"/>
      <c r="G147" s="23"/>
      <c r="H147" s="23"/>
      <c r="I147" s="23"/>
    </row>
    <row r="148" ht="15.75" customHeight="1">
      <c r="A148" s="23"/>
      <c r="B148" s="37"/>
      <c r="C148" s="23"/>
      <c r="D148" s="23"/>
      <c r="E148" s="23"/>
      <c r="F148" s="23"/>
      <c r="G148" s="23"/>
      <c r="H148" s="23"/>
      <c r="I148" s="23"/>
    </row>
    <row r="149" ht="15.75" customHeight="1">
      <c r="A149" s="23"/>
      <c r="B149" s="37"/>
      <c r="C149" s="23"/>
      <c r="D149" s="23"/>
      <c r="E149" s="23"/>
      <c r="F149" s="23"/>
      <c r="G149" s="23"/>
      <c r="H149" s="23"/>
      <c r="I149" s="23"/>
    </row>
    <row r="150" ht="15.75" customHeight="1">
      <c r="A150" s="23"/>
      <c r="B150" s="37"/>
      <c r="C150" s="23"/>
      <c r="D150" s="23"/>
      <c r="E150" s="23"/>
      <c r="F150" s="23"/>
      <c r="G150" s="23"/>
      <c r="H150" s="23"/>
      <c r="I150" s="23"/>
    </row>
    <row r="151" ht="15.75" customHeight="1">
      <c r="A151" s="23"/>
      <c r="B151" s="37"/>
      <c r="C151" s="23"/>
      <c r="D151" s="23"/>
      <c r="E151" s="23"/>
      <c r="F151" s="23"/>
      <c r="G151" s="23"/>
      <c r="H151" s="23"/>
      <c r="I151" s="23"/>
    </row>
    <row r="152" ht="15.75" customHeight="1">
      <c r="A152" s="23"/>
      <c r="B152" s="37"/>
      <c r="C152" s="23"/>
      <c r="D152" s="23"/>
      <c r="E152" s="23"/>
      <c r="F152" s="23"/>
      <c r="G152" s="23"/>
      <c r="H152" s="23"/>
      <c r="I152" s="23"/>
    </row>
    <row r="153" ht="15.75" customHeight="1">
      <c r="A153" s="23"/>
      <c r="B153" s="37"/>
      <c r="C153" s="23"/>
      <c r="D153" s="23"/>
      <c r="E153" s="23"/>
      <c r="F153" s="23"/>
      <c r="G153" s="23"/>
      <c r="H153" s="23"/>
      <c r="I153" s="23"/>
    </row>
    <row r="154" ht="15.75" customHeight="1">
      <c r="A154" s="23"/>
      <c r="B154" s="37"/>
      <c r="C154" s="23"/>
      <c r="D154" s="23"/>
      <c r="E154" s="23"/>
      <c r="F154" s="23"/>
      <c r="G154" s="23"/>
      <c r="H154" s="23"/>
      <c r="I154" s="23"/>
    </row>
    <row r="155" ht="15.75" customHeight="1">
      <c r="A155" s="23"/>
      <c r="B155" s="37"/>
      <c r="C155" s="23"/>
      <c r="D155" s="23"/>
      <c r="E155" s="23"/>
      <c r="F155" s="23"/>
      <c r="G155" s="23"/>
      <c r="H155" s="23"/>
      <c r="I155" s="23"/>
    </row>
    <row r="156" ht="15.75" customHeight="1">
      <c r="A156" s="23"/>
      <c r="B156" s="37"/>
      <c r="C156" s="23"/>
      <c r="D156" s="23"/>
      <c r="E156" s="23"/>
      <c r="F156" s="23"/>
      <c r="G156" s="23"/>
      <c r="H156" s="23"/>
      <c r="I156" s="23"/>
    </row>
    <row r="157" ht="15.75" customHeight="1">
      <c r="A157" s="23"/>
      <c r="B157" s="37"/>
      <c r="C157" s="23"/>
      <c r="D157" s="23"/>
      <c r="E157" s="23"/>
      <c r="F157" s="23"/>
      <c r="G157" s="23"/>
      <c r="H157" s="23"/>
      <c r="I157" s="23"/>
    </row>
    <row r="158" ht="15.75" customHeight="1">
      <c r="A158" s="23"/>
      <c r="B158" s="37"/>
      <c r="C158" s="23"/>
      <c r="D158" s="23"/>
      <c r="E158" s="23"/>
      <c r="F158" s="23"/>
      <c r="G158" s="23"/>
      <c r="H158" s="23"/>
      <c r="I158" s="23"/>
    </row>
    <row r="159" ht="15.75" customHeight="1">
      <c r="A159" s="23"/>
      <c r="B159" s="37"/>
      <c r="C159" s="23"/>
      <c r="D159" s="23"/>
      <c r="E159" s="23"/>
      <c r="F159" s="23"/>
      <c r="G159" s="23"/>
      <c r="H159" s="23"/>
      <c r="I159" s="23"/>
    </row>
    <row r="160" ht="15.75" customHeight="1">
      <c r="A160" s="23"/>
      <c r="B160" s="37"/>
      <c r="C160" s="23"/>
      <c r="D160" s="23"/>
      <c r="E160" s="23"/>
      <c r="F160" s="23"/>
      <c r="G160" s="23"/>
      <c r="H160" s="23"/>
      <c r="I160" s="23"/>
    </row>
    <row r="161" ht="15.75" customHeight="1">
      <c r="A161" s="23"/>
      <c r="B161" s="37"/>
      <c r="C161" s="23"/>
      <c r="D161" s="23"/>
      <c r="E161" s="23"/>
      <c r="F161" s="23"/>
      <c r="G161" s="23"/>
      <c r="H161" s="23"/>
      <c r="I161" s="23"/>
    </row>
    <row r="162" ht="15.75" customHeight="1">
      <c r="A162" s="23"/>
      <c r="B162" s="37"/>
      <c r="C162" s="23"/>
      <c r="D162" s="23"/>
      <c r="E162" s="23"/>
      <c r="F162" s="23"/>
      <c r="G162" s="23"/>
      <c r="H162" s="23"/>
      <c r="I162" s="23"/>
    </row>
    <row r="163" ht="15.75" customHeight="1">
      <c r="A163" s="23"/>
      <c r="B163" s="37"/>
      <c r="C163" s="23"/>
      <c r="D163" s="23"/>
      <c r="E163" s="23"/>
      <c r="F163" s="23"/>
      <c r="G163" s="23"/>
      <c r="H163" s="23"/>
      <c r="I163" s="23"/>
    </row>
    <row r="164" ht="15.75" customHeight="1">
      <c r="A164" s="23"/>
      <c r="B164" s="37"/>
      <c r="C164" s="23"/>
      <c r="D164" s="23"/>
      <c r="E164" s="23"/>
      <c r="F164" s="23"/>
      <c r="G164" s="23"/>
      <c r="H164" s="23"/>
      <c r="I164" s="23"/>
    </row>
    <row r="165" ht="15.75" customHeight="1">
      <c r="A165" s="23"/>
      <c r="B165" s="37"/>
      <c r="C165" s="23"/>
      <c r="D165" s="23"/>
      <c r="E165" s="23"/>
      <c r="F165" s="23"/>
      <c r="G165" s="23"/>
      <c r="H165" s="23"/>
      <c r="I165" s="23"/>
    </row>
    <row r="166" ht="15.75" customHeight="1">
      <c r="A166" s="23"/>
      <c r="B166" s="37"/>
      <c r="C166" s="23"/>
      <c r="D166" s="23"/>
      <c r="E166" s="23"/>
      <c r="F166" s="23"/>
      <c r="G166" s="23"/>
      <c r="H166" s="23"/>
      <c r="I166" s="23"/>
    </row>
    <row r="167" ht="15.75" customHeight="1">
      <c r="A167" s="23"/>
      <c r="B167" s="37"/>
      <c r="C167" s="23"/>
      <c r="D167" s="23"/>
      <c r="E167" s="23"/>
      <c r="F167" s="23"/>
      <c r="G167" s="23"/>
      <c r="H167" s="23"/>
      <c r="I167" s="23"/>
    </row>
    <row r="168" ht="15.75" customHeight="1">
      <c r="A168" s="23"/>
      <c r="B168" s="37"/>
      <c r="C168" s="23"/>
      <c r="D168" s="23"/>
      <c r="E168" s="23"/>
      <c r="F168" s="23"/>
      <c r="G168" s="23"/>
      <c r="H168" s="23"/>
      <c r="I168" s="23"/>
    </row>
    <row r="169" ht="15.75" customHeight="1">
      <c r="A169" s="23"/>
      <c r="B169" s="37"/>
      <c r="C169" s="23"/>
      <c r="D169" s="23"/>
      <c r="E169" s="23"/>
      <c r="F169" s="23"/>
      <c r="G169" s="23"/>
      <c r="H169" s="23"/>
      <c r="I169" s="23"/>
    </row>
    <row r="170" ht="15.75" customHeight="1">
      <c r="A170" s="23"/>
      <c r="B170" s="37"/>
      <c r="C170" s="23"/>
      <c r="D170" s="23"/>
      <c r="E170" s="23"/>
      <c r="F170" s="23"/>
      <c r="G170" s="23"/>
      <c r="H170" s="23"/>
      <c r="I170" s="23"/>
    </row>
    <row r="171" ht="15.75" customHeight="1">
      <c r="A171" s="23"/>
      <c r="B171" s="37"/>
      <c r="C171" s="23"/>
      <c r="D171" s="23"/>
      <c r="E171" s="23"/>
      <c r="F171" s="23"/>
      <c r="G171" s="23"/>
      <c r="H171" s="23"/>
      <c r="I171" s="23"/>
    </row>
    <row r="172" ht="15.75" customHeight="1">
      <c r="A172" s="23"/>
      <c r="B172" s="37"/>
      <c r="C172" s="23"/>
      <c r="D172" s="23"/>
      <c r="E172" s="23"/>
      <c r="F172" s="23"/>
      <c r="G172" s="23"/>
      <c r="H172" s="23"/>
      <c r="I172" s="23"/>
    </row>
    <row r="173" ht="15.75" customHeight="1">
      <c r="A173" s="23"/>
      <c r="B173" s="37"/>
      <c r="C173" s="23"/>
      <c r="D173" s="23"/>
      <c r="E173" s="23"/>
      <c r="F173" s="23"/>
      <c r="G173" s="23"/>
      <c r="H173" s="23"/>
      <c r="I173" s="23"/>
    </row>
    <row r="174" ht="15.75" customHeight="1">
      <c r="A174" s="23"/>
      <c r="B174" s="37"/>
      <c r="C174" s="23"/>
      <c r="D174" s="23"/>
      <c r="E174" s="23"/>
      <c r="F174" s="23"/>
      <c r="G174" s="23"/>
      <c r="H174" s="23"/>
      <c r="I174" s="23"/>
    </row>
    <row r="175" ht="15.75" customHeight="1">
      <c r="A175" s="23"/>
      <c r="B175" s="37"/>
      <c r="C175" s="23"/>
      <c r="D175" s="23"/>
      <c r="E175" s="23"/>
      <c r="F175" s="23"/>
      <c r="G175" s="23"/>
      <c r="H175" s="23"/>
      <c r="I175" s="23"/>
    </row>
    <row r="176" ht="15.75" customHeight="1">
      <c r="A176" s="23"/>
      <c r="B176" s="37"/>
      <c r="C176" s="23"/>
      <c r="D176" s="23"/>
      <c r="E176" s="23"/>
      <c r="F176" s="23"/>
      <c r="G176" s="23"/>
      <c r="H176" s="23"/>
      <c r="I176" s="23"/>
    </row>
    <row r="177" ht="15.75" customHeight="1">
      <c r="A177" s="23"/>
      <c r="B177" s="37"/>
      <c r="C177" s="23"/>
      <c r="D177" s="23"/>
      <c r="E177" s="23"/>
      <c r="F177" s="23"/>
      <c r="G177" s="23"/>
      <c r="H177" s="23"/>
      <c r="I177" s="23"/>
    </row>
    <row r="178" ht="15.75" customHeight="1">
      <c r="A178" s="23"/>
      <c r="B178" s="37"/>
      <c r="C178" s="23"/>
      <c r="D178" s="23"/>
      <c r="E178" s="23"/>
      <c r="F178" s="23"/>
      <c r="G178" s="23"/>
      <c r="H178" s="23"/>
      <c r="I178" s="23"/>
    </row>
    <row r="179" ht="15.75" customHeight="1">
      <c r="A179" s="23"/>
      <c r="B179" s="37"/>
      <c r="C179" s="23"/>
      <c r="D179" s="23"/>
      <c r="E179" s="23"/>
      <c r="F179" s="23"/>
      <c r="G179" s="23"/>
      <c r="H179" s="23"/>
      <c r="I179" s="23"/>
    </row>
    <row r="180" ht="15.75" customHeight="1">
      <c r="A180" s="23"/>
      <c r="B180" s="37"/>
      <c r="C180" s="23"/>
      <c r="D180" s="23"/>
      <c r="E180" s="23"/>
      <c r="F180" s="23"/>
      <c r="G180" s="23"/>
      <c r="H180" s="23"/>
      <c r="I180" s="23"/>
    </row>
    <row r="181" ht="15.75" customHeight="1">
      <c r="A181" s="23"/>
      <c r="B181" s="37"/>
      <c r="C181" s="23"/>
      <c r="D181" s="23"/>
      <c r="E181" s="23"/>
      <c r="F181" s="23"/>
      <c r="G181" s="23"/>
      <c r="H181" s="23"/>
      <c r="I181" s="23"/>
    </row>
    <row r="182" ht="15.75" customHeight="1">
      <c r="A182" s="23"/>
      <c r="B182" s="37"/>
      <c r="C182" s="23"/>
      <c r="D182" s="23"/>
      <c r="E182" s="23"/>
      <c r="F182" s="23"/>
      <c r="G182" s="23"/>
      <c r="H182" s="23"/>
      <c r="I182" s="23"/>
    </row>
    <row r="183" ht="15.75" customHeight="1">
      <c r="A183" s="23"/>
      <c r="B183" s="37"/>
      <c r="C183" s="23"/>
      <c r="D183" s="23"/>
      <c r="E183" s="23"/>
      <c r="F183" s="23"/>
      <c r="G183" s="23"/>
      <c r="H183" s="23"/>
      <c r="I183" s="23"/>
    </row>
    <row r="184" ht="15.75" customHeight="1">
      <c r="A184" s="23"/>
      <c r="B184" s="37"/>
      <c r="C184" s="23"/>
      <c r="D184" s="23"/>
      <c r="E184" s="23"/>
      <c r="F184" s="23"/>
      <c r="G184" s="23"/>
      <c r="H184" s="23"/>
      <c r="I184" s="23"/>
    </row>
    <row r="185" ht="15.75" customHeight="1">
      <c r="A185" s="23"/>
      <c r="B185" s="37"/>
      <c r="C185" s="23"/>
      <c r="D185" s="23"/>
      <c r="E185" s="23"/>
      <c r="F185" s="23"/>
      <c r="G185" s="23"/>
      <c r="H185" s="23"/>
      <c r="I185" s="23"/>
    </row>
    <row r="186" ht="15.75" customHeight="1">
      <c r="A186" s="23"/>
      <c r="B186" s="37"/>
      <c r="C186" s="23"/>
      <c r="D186" s="23"/>
      <c r="E186" s="23"/>
      <c r="F186" s="23"/>
      <c r="G186" s="23"/>
      <c r="H186" s="23"/>
      <c r="I186" s="23"/>
    </row>
    <row r="187" ht="15.75" customHeight="1">
      <c r="A187" s="23"/>
      <c r="B187" s="37"/>
      <c r="C187" s="23"/>
      <c r="D187" s="23"/>
      <c r="E187" s="23"/>
      <c r="F187" s="23"/>
      <c r="G187" s="23"/>
      <c r="H187" s="23"/>
      <c r="I187" s="23"/>
    </row>
    <row r="188" ht="15.75" customHeight="1">
      <c r="A188" s="23"/>
      <c r="B188" s="37"/>
      <c r="C188" s="23"/>
      <c r="D188" s="23"/>
      <c r="E188" s="23"/>
      <c r="F188" s="23"/>
      <c r="G188" s="23"/>
      <c r="H188" s="23"/>
      <c r="I188" s="23"/>
    </row>
    <row r="189" ht="15.75" customHeight="1">
      <c r="A189" s="23"/>
      <c r="B189" s="37"/>
      <c r="C189" s="23"/>
      <c r="D189" s="23"/>
      <c r="E189" s="23"/>
      <c r="F189" s="23"/>
      <c r="G189" s="23"/>
      <c r="H189" s="23"/>
      <c r="I189" s="23"/>
    </row>
    <row r="190" ht="15.75" customHeight="1">
      <c r="A190" s="23"/>
      <c r="B190" s="37"/>
      <c r="C190" s="23"/>
      <c r="D190" s="23"/>
      <c r="E190" s="23"/>
      <c r="F190" s="23"/>
      <c r="G190" s="23"/>
      <c r="H190" s="23"/>
      <c r="I190" s="23"/>
    </row>
    <row r="191" ht="15.75" customHeight="1">
      <c r="A191" s="23"/>
      <c r="B191" s="37"/>
      <c r="C191" s="23"/>
      <c r="D191" s="23"/>
      <c r="E191" s="23"/>
      <c r="F191" s="23"/>
      <c r="G191" s="23"/>
      <c r="H191" s="23"/>
      <c r="I191" s="23"/>
    </row>
    <row r="192" ht="15.75" customHeight="1">
      <c r="A192" s="23"/>
      <c r="B192" s="37"/>
      <c r="C192" s="23"/>
      <c r="D192" s="23"/>
      <c r="E192" s="23"/>
      <c r="F192" s="23"/>
      <c r="G192" s="23"/>
      <c r="H192" s="23"/>
      <c r="I192" s="23"/>
    </row>
    <row r="193" ht="15.75" customHeight="1">
      <c r="A193" s="23"/>
      <c r="B193" s="37"/>
      <c r="C193" s="23"/>
      <c r="D193" s="23"/>
      <c r="E193" s="23"/>
      <c r="F193" s="23"/>
      <c r="G193" s="23"/>
      <c r="H193" s="23"/>
      <c r="I193" s="23"/>
    </row>
    <row r="194" ht="15.75" customHeight="1">
      <c r="A194" s="23"/>
      <c r="B194" s="37"/>
      <c r="C194" s="23"/>
      <c r="D194" s="23"/>
      <c r="E194" s="23"/>
      <c r="F194" s="23"/>
      <c r="G194" s="23"/>
      <c r="H194" s="23"/>
      <c r="I194" s="23"/>
    </row>
    <row r="195" ht="15.75" customHeight="1">
      <c r="A195" s="23"/>
      <c r="B195" s="37"/>
      <c r="C195" s="23"/>
      <c r="D195" s="23"/>
      <c r="E195" s="23"/>
      <c r="F195" s="23"/>
      <c r="G195" s="23"/>
      <c r="H195" s="23"/>
      <c r="I195" s="23"/>
    </row>
    <row r="196" ht="15.75" customHeight="1">
      <c r="A196" s="23"/>
      <c r="B196" s="37"/>
      <c r="C196" s="23"/>
      <c r="D196" s="23"/>
      <c r="E196" s="23"/>
      <c r="F196" s="23"/>
      <c r="G196" s="23"/>
      <c r="H196" s="23"/>
      <c r="I196" s="23"/>
    </row>
    <row r="197" ht="15.75" customHeight="1">
      <c r="A197" s="23"/>
      <c r="B197" s="37"/>
      <c r="C197" s="23"/>
      <c r="D197" s="23"/>
      <c r="E197" s="23"/>
      <c r="F197" s="23"/>
      <c r="G197" s="23"/>
      <c r="H197" s="23"/>
      <c r="I197" s="23"/>
    </row>
    <row r="198" ht="15.75" customHeight="1">
      <c r="A198" s="23"/>
      <c r="B198" s="37"/>
      <c r="C198" s="23"/>
      <c r="D198" s="23"/>
      <c r="E198" s="23"/>
      <c r="F198" s="23"/>
      <c r="G198" s="23"/>
      <c r="H198" s="23"/>
      <c r="I198" s="23"/>
    </row>
    <row r="199" ht="15.75" customHeight="1">
      <c r="A199" s="23"/>
      <c r="B199" s="37"/>
      <c r="C199" s="23"/>
      <c r="D199" s="23"/>
      <c r="E199" s="23"/>
      <c r="F199" s="23"/>
      <c r="G199" s="23"/>
      <c r="H199" s="23"/>
      <c r="I199" s="23"/>
    </row>
    <row r="200" ht="15.75" customHeight="1">
      <c r="A200" s="23"/>
      <c r="B200" s="37"/>
      <c r="C200" s="23"/>
      <c r="D200" s="23"/>
      <c r="E200" s="23"/>
      <c r="F200" s="23"/>
      <c r="G200" s="23"/>
      <c r="H200" s="23"/>
      <c r="I200" s="23"/>
    </row>
    <row r="201" ht="15.75" customHeight="1">
      <c r="A201" s="23"/>
      <c r="B201" s="37"/>
      <c r="C201" s="23"/>
      <c r="D201" s="23"/>
      <c r="E201" s="23"/>
      <c r="F201" s="23"/>
      <c r="G201" s="23"/>
      <c r="H201" s="23"/>
      <c r="I201" s="23"/>
    </row>
    <row r="202" ht="15.75" customHeight="1">
      <c r="A202" s="23"/>
      <c r="B202" s="37"/>
      <c r="C202" s="23"/>
      <c r="D202" s="23"/>
      <c r="E202" s="23"/>
      <c r="F202" s="23"/>
      <c r="G202" s="23"/>
      <c r="H202" s="23"/>
      <c r="I202" s="23"/>
    </row>
    <row r="203" ht="15.75" customHeight="1">
      <c r="A203" s="23"/>
      <c r="B203" s="37"/>
      <c r="C203" s="23"/>
      <c r="D203" s="23"/>
      <c r="E203" s="23"/>
      <c r="F203" s="23"/>
      <c r="G203" s="23"/>
      <c r="H203" s="23"/>
      <c r="I203" s="23"/>
    </row>
    <row r="204" ht="15.75" customHeight="1">
      <c r="A204" s="23"/>
      <c r="B204" s="37"/>
      <c r="C204" s="23"/>
      <c r="D204" s="23"/>
      <c r="E204" s="23"/>
      <c r="F204" s="23"/>
      <c r="G204" s="23"/>
      <c r="H204" s="23"/>
      <c r="I204" s="23"/>
    </row>
    <row r="205" ht="15.75" customHeight="1">
      <c r="A205" s="23"/>
      <c r="B205" s="37"/>
      <c r="C205" s="23"/>
      <c r="D205" s="23"/>
      <c r="E205" s="23"/>
      <c r="F205" s="23"/>
      <c r="G205" s="23"/>
      <c r="H205" s="23"/>
      <c r="I205" s="23"/>
    </row>
    <row r="206" ht="15.75" customHeight="1">
      <c r="A206" s="23"/>
      <c r="B206" s="37"/>
      <c r="C206" s="23"/>
      <c r="D206" s="23"/>
      <c r="E206" s="23"/>
      <c r="F206" s="23"/>
      <c r="G206" s="23"/>
      <c r="H206" s="23"/>
      <c r="I206" s="23"/>
    </row>
    <row r="207" ht="15.75" customHeight="1">
      <c r="A207" s="23"/>
      <c r="B207" s="37"/>
      <c r="C207" s="23"/>
      <c r="D207" s="23"/>
      <c r="E207" s="23"/>
      <c r="F207" s="23"/>
      <c r="G207" s="23"/>
      <c r="H207" s="23"/>
      <c r="I207" s="23"/>
    </row>
    <row r="208" ht="15.75" customHeight="1">
      <c r="A208" s="23"/>
      <c r="B208" s="37"/>
      <c r="C208" s="23"/>
      <c r="D208" s="23"/>
      <c r="E208" s="23"/>
      <c r="F208" s="23"/>
      <c r="G208" s="23"/>
      <c r="H208" s="23"/>
      <c r="I208" s="23"/>
    </row>
    <row r="209" ht="15.75" customHeight="1">
      <c r="A209" s="23"/>
      <c r="B209" s="37"/>
      <c r="C209" s="23"/>
      <c r="D209" s="23"/>
      <c r="E209" s="23"/>
      <c r="F209" s="23"/>
      <c r="G209" s="23"/>
      <c r="H209" s="23"/>
      <c r="I209" s="23"/>
    </row>
    <row r="210" ht="15.75" customHeight="1">
      <c r="A210" s="23"/>
      <c r="B210" s="37"/>
      <c r="C210" s="23"/>
      <c r="D210" s="23"/>
      <c r="E210" s="23"/>
      <c r="F210" s="23"/>
      <c r="G210" s="23"/>
      <c r="H210" s="23"/>
      <c r="I210" s="23"/>
    </row>
    <row r="211" ht="15.75" customHeight="1">
      <c r="A211" s="23"/>
      <c r="B211" s="37"/>
      <c r="C211" s="23"/>
      <c r="D211" s="23"/>
      <c r="E211" s="23"/>
      <c r="F211" s="23"/>
      <c r="G211" s="23"/>
      <c r="H211" s="23"/>
      <c r="I211" s="23"/>
    </row>
    <row r="212" ht="15.75" customHeight="1">
      <c r="A212" s="23"/>
      <c r="B212" s="37"/>
      <c r="C212" s="23"/>
      <c r="D212" s="23"/>
      <c r="E212" s="23"/>
      <c r="F212" s="23"/>
      <c r="G212" s="23"/>
      <c r="H212" s="23"/>
      <c r="I212" s="23"/>
    </row>
    <row r="213" ht="15.75" customHeight="1">
      <c r="A213" s="23"/>
      <c r="B213" s="37"/>
      <c r="C213" s="23"/>
      <c r="D213" s="23"/>
      <c r="E213" s="23"/>
      <c r="F213" s="23"/>
      <c r="G213" s="23"/>
      <c r="H213" s="23"/>
      <c r="I213" s="23"/>
    </row>
    <row r="214" ht="15.75" customHeight="1">
      <c r="A214" s="23"/>
      <c r="B214" s="37"/>
      <c r="C214" s="23"/>
      <c r="D214" s="23"/>
      <c r="E214" s="23"/>
      <c r="F214" s="23"/>
      <c r="G214" s="23"/>
      <c r="H214" s="23"/>
      <c r="I214" s="23"/>
    </row>
    <row r="215" ht="15.75" customHeight="1">
      <c r="A215" s="23"/>
      <c r="B215" s="37"/>
      <c r="C215" s="23"/>
      <c r="D215" s="23"/>
      <c r="E215" s="23"/>
      <c r="F215" s="23"/>
      <c r="G215" s="23"/>
      <c r="H215" s="23"/>
      <c r="I215" s="23"/>
    </row>
    <row r="216" ht="15.75" customHeight="1">
      <c r="A216" s="23"/>
      <c r="B216" s="37"/>
      <c r="C216" s="23"/>
      <c r="D216" s="23"/>
      <c r="E216" s="23"/>
      <c r="F216" s="23"/>
      <c r="G216" s="23"/>
      <c r="H216" s="23"/>
      <c r="I216" s="23"/>
    </row>
    <row r="217" ht="15.75" customHeight="1">
      <c r="A217" s="23"/>
      <c r="B217" s="37"/>
      <c r="C217" s="23"/>
      <c r="D217" s="23"/>
      <c r="E217" s="23"/>
      <c r="F217" s="23"/>
      <c r="G217" s="23"/>
      <c r="H217" s="23"/>
      <c r="I217" s="23"/>
    </row>
    <row r="218" ht="15.75" customHeight="1">
      <c r="A218" s="23"/>
      <c r="B218" s="37"/>
      <c r="C218" s="23"/>
      <c r="D218" s="23"/>
      <c r="E218" s="23"/>
      <c r="F218" s="23"/>
      <c r="G218" s="23"/>
      <c r="H218" s="23"/>
      <c r="I218" s="23"/>
    </row>
    <row r="219" ht="15.75" customHeight="1">
      <c r="A219" s="23"/>
      <c r="B219" s="37"/>
      <c r="C219" s="23"/>
      <c r="D219" s="23"/>
      <c r="E219" s="23"/>
      <c r="F219" s="23"/>
      <c r="G219" s="23"/>
      <c r="H219" s="23"/>
      <c r="I219" s="23"/>
    </row>
    <row r="220" ht="15.75" customHeight="1">
      <c r="A220" s="23"/>
      <c r="B220" s="37"/>
      <c r="C220" s="23"/>
      <c r="D220" s="23"/>
      <c r="E220" s="23"/>
      <c r="F220" s="23"/>
      <c r="G220" s="23"/>
      <c r="H220" s="23"/>
      <c r="I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</row>
  </sheetData>
  <mergeCells count="2">
    <mergeCell ref="B1:E1"/>
    <mergeCell ref="F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20.88"/>
    <col customWidth="1" min="3" max="3" width="13.75"/>
    <col customWidth="1" min="4" max="5" width="12.63"/>
    <col customWidth="1" hidden="1" min="6" max="6" width="19.25"/>
  </cols>
  <sheetData>
    <row r="1" ht="15.75" customHeight="1">
      <c r="A1" s="42" t="s">
        <v>24</v>
      </c>
      <c r="B1" s="42"/>
      <c r="C1" s="24"/>
      <c r="D1" s="24"/>
      <c r="E1" s="43"/>
      <c r="F1" s="23"/>
    </row>
    <row r="2" ht="15.75" customHeight="1">
      <c r="A2" s="23"/>
      <c r="B2" s="23"/>
      <c r="C2" s="24" t="s">
        <v>25</v>
      </c>
      <c r="D2" s="24" t="s">
        <v>26</v>
      </c>
      <c r="E2" s="43" t="s">
        <v>27</v>
      </c>
      <c r="F2" s="43" t="s">
        <v>28</v>
      </c>
    </row>
    <row r="3" ht="15.75" customHeight="1">
      <c r="A3" s="43"/>
      <c r="B3" s="38" t="s">
        <v>29</v>
      </c>
      <c r="C3" s="40" t="s">
        <v>30</v>
      </c>
      <c r="D3" s="40">
        <v>120000.0</v>
      </c>
      <c r="E3" s="38">
        <v>1.0</v>
      </c>
      <c r="F3" s="44" t="str">
        <f t="shared" ref="F3:F22" si="1">if(or(B3="CEO",B3="CTO"),"General &amp; Administrative",if(B3="Engineer","Research &amp; Development",if(or(B3="Customer Success",B3="Sales",B3="Marketing"),"Sales &amp; Marketing",if(B3="Support","Support","N/A"))))</f>
        <v>General &amp; Administrative</v>
      </c>
    </row>
    <row r="4" ht="15.75" customHeight="1">
      <c r="A4" s="43"/>
      <c r="B4" s="38" t="s">
        <v>31</v>
      </c>
      <c r="C4" s="40" t="s">
        <v>32</v>
      </c>
      <c r="D4" s="40">
        <v>120000.0</v>
      </c>
      <c r="E4" s="38">
        <v>1.0</v>
      </c>
      <c r="F4" s="44" t="str">
        <f t="shared" si="1"/>
        <v>Research &amp; Development</v>
      </c>
    </row>
    <row r="5" ht="15.75" customHeight="1">
      <c r="A5" s="43"/>
      <c r="B5" s="38" t="s">
        <v>31</v>
      </c>
      <c r="C5" s="40" t="s">
        <v>33</v>
      </c>
      <c r="D5" s="40">
        <v>120000.0</v>
      </c>
      <c r="E5" s="38">
        <v>4.0</v>
      </c>
      <c r="F5" s="44" t="str">
        <f t="shared" si="1"/>
        <v>Research &amp; Development</v>
      </c>
    </row>
    <row r="6" ht="15.75" customHeight="1">
      <c r="A6" s="43"/>
      <c r="B6" s="38" t="s">
        <v>31</v>
      </c>
      <c r="C6" s="40" t="s">
        <v>34</v>
      </c>
      <c r="D6" s="40">
        <v>120000.0</v>
      </c>
      <c r="E6" s="38">
        <v>10.0</v>
      </c>
      <c r="F6" s="44" t="str">
        <f t="shared" si="1"/>
        <v>Research &amp; Development</v>
      </c>
    </row>
    <row r="7" ht="15.75" customHeight="1">
      <c r="A7" s="43"/>
      <c r="B7" s="38"/>
      <c r="C7" s="40"/>
      <c r="D7" s="40"/>
      <c r="E7" s="38"/>
      <c r="F7" s="44" t="str">
        <f t="shared" si="1"/>
        <v>N/A</v>
      </c>
    </row>
    <row r="8" ht="15.75" customHeight="1">
      <c r="A8" s="43"/>
      <c r="B8" s="38"/>
      <c r="C8" s="40"/>
      <c r="D8" s="40"/>
      <c r="E8" s="38"/>
      <c r="F8" s="44" t="str">
        <f t="shared" si="1"/>
        <v>N/A</v>
      </c>
    </row>
    <row r="9" ht="15.75" customHeight="1">
      <c r="A9" s="43"/>
      <c r="B9" s="38"/>
      <c r="C9" s="40"/>
      <c r="D9" s="40"/>
      <c r="E9" s="38"/>
      <c r="F9" s="44" t="str">
        <f t="shared" si="1"/>
        <v>N/A</v>
      </c>
    </row>
    <row r="10" ht="15.75" customHeight="1">
      <c r="A10" s="43"/>
      <c r="B10" s="38"/>
      <c r="C10" s="40"/>
      <c r="D10" s="40"/>
      <c r="E10" s="38"/>
      <c r="F10" s="44" t="str">
        <f t="shared" si="1"/>
        <v>N/A</v>
      </c>
    </row>
    <row r="11" ht="15.75" customHeight="1">
      <c r="A11" s="43"/>
      <c r="B11" s="38"/>
      <c r="C11" s="40"/>
      <c r="D11" s="40"/>
      <c r="E11" s="38"/>
      <c r="F11" s="44" t="str">
        <f t="shared" si="1"/>
        <v>N/A</v>
      </c>
    </row>
    <row r="12" ht="15.75" customHeight="1">
      <c r="A12" s="43"/>
      <c r="B12" s="38"/>
      <c r="C12" s="40"/>
      <c r="D12" s="40"/>
      <c r="E12" s="38"/>
      <c r="F12" s="44" t="str">
        <f t="shared" si="1"/>
        <v>N/A</v>
      </c>
    </row>
    <row r="13" ht="15.75" customHeight="1">
      <c r="A13" s="43"/>
      <c r="B13" s="38"/>
      <c r="C13" s="40"/>
      <c r="D13" s="40"/>
      <c r="E13" s="38"/>
      <c r="F13" s="44" t="str">
        <f t="shared" si="1"/>
        <v>N/A</v>
      </c>
    </row>
    <row r="14" ht="15.75" customHeight="1">
      <c r="A14" s="43"/>
      <c r="B14" s="38"/>
      <c r="C14" s="40"/>
      <c r="D14" s="40"/>
      <c r="E14" s="38"/>
      <c r="F14" s="44" t="str">
        <f t="shared" si="1"/>
        <v>N/A</v>
      </c>
    </row>
    <row r="15" ht="15.75" customHeight="1">
      <c r="A15" s="43"/>
      <c r="B15" s="38"/>
      <c r="C15" s="40"/>
      <c r="D15" s="40"/>
      <c r="E15" s="38"/>
      <c r="F15" s="44" t="str">
        <f t="shared" si="1"/>
        <v>N/A</v>
      </c>
    </row>
    <row r="16" ht="15.75" customHeight="1">
      <c r="A16" s="43"/>
      <c r="B16" s="38"/>
      <c r="C16" s="40"/>
      <c r="D16" s="40"/>
      <c r="E16" s="38"/>
      <c r="F16" s="44" t="str">
        <f t="shared" si="1"/>
        <v>N/A</v>
      </c>
    </row>
    <row r="17" ht="15.75" customHeight="1">
      <c r="A17" s="43"/>
      <c r="B17" s="38"/>
      <c r="C17" s="40"/>
      <c r="D17" s="40"/>
      <c r="E17" s="38"/>
      <c r="F17" s="44" t="str">
        <f t="shared" si="1"/>
        <v>N/A</v>
      </c>
    </row>
    <row r="18" ht="15.75" customHeight="1">
      <c r="A18" s="43"/>
      <c r="B18" s="38"/>
      <c r="C18" s="40"/>
      <c r="D18" s="40"/>
      <c r="E18" s="38"/>
      <c r="F18" s="44" t="str">
        <f t="shared" si="1"/>
        <v>N/A</v>
      </c>
    </row>
    <row r="19" ht="15.75" customHeight="1">
      <c r="A19" s="43"/>
      <c r="B19" s="38"/>
      <c r="C19" s="40"/>
      <c r="D19" s="40"/>
      <c r="E19" s="38"/>
      <c r="F19" s="44" t="str">
        <f t="shared" si="1"/>
        <v>N/A</v>
      </c>
    </row>
    <row r="20" ht="15.75" customHeight="1">
      <c r="A20" s="43"/>
      <c r="B20" s="38"/>
      <c r="C20" s="40"/>
      <c r="D20" s="40"/>
      <c r="E20" s="38"/>
      <c r="F20" s="44" t="str">
        <f t="shared" si="1"/>
        <v>N/A</v>
      </c>
    </row>
    <row r="21" ht="15.75" customHeight="1">
      <c r="A21" s="43"/>
      <c r="B21" s="38"/>
      <c r="C21" s="40"/>
      <c r="D21" s="40"/>
      <c r="E21" s="38"/>
      <c r="F21" s="44" t="str">
        <f t="shared" si="1"/>
        <v>N/A</v>
      </c>
    </row>
    <row r="22" ht="15.75" customHeight="1">
      <c r="A22" s="43"/>
      <c r="B22" s="38"/>
      <c r="C22" s="40"/>
      <c r="D22" s="40"/>
      <c r="E22" s="38"/>
      <c r="F22" s="44" t="str">
        <f t="shared" si="1"/>
        <v>N/A</v>
      </c>
    </row>
    <row r="23" ht="15.75" customHeight="1">
      <c r="A23" s="23"/>
      <c r="B23" s="23"/>
      <c r="C23" s="23"/>
      <c r="F23" s="23"/>
    </row>
    <row r="24" ht="15.75" customHeight="1">
      <c r="A24" s="42" t="s">
        <v>35</v>
      </c>
      <c r="B24" s="23"/>
      <c r="C24" s="23"/>
      <c r="F24" s="23"/>
    </row>
    <row r="25" ht="15.75" customHeight="1">
      <c r="A25" s="23"/>
      <c r="B25" s="43"/>
      <c r="C25" s="43"/>
      <c r="D25" s="43" t="s">
        <v>36</v>
      </c>
      <c r="F25" s="23"/>
    </row>
    <row r="26" ht="15.75" customHeight="1">
      <c r="A26" s="23"/>
      <c r="B26" s="43" t="s">
        <v>37</v>
      </c>
      <c r="C26" s="45"/>
      <c r="D26" s="46">
        <v>0.02</v>
      </c>
      <c r="F26" s="23"/>
    </row>
    <row r="27" ht="15.75" customHeight="1">
      <c r="A27" s="23"/>
      <c r="B27" s="43" t="s">
        <v>38</v>
      </c>
      <c r="C27" s="45"/>
      <c r="D27" s="46">
        <v>0.01</v>
      </c>
      <c r="F27" s="23"/>
    </row>
    <row r="28" ht="15.75" customHeight="1">
      <c r="A28" s="23"/>
      <c r="B28" s="23"/>
      <c r="C28" s="23"/>
      <c r="F28" s="23"/>
    </row>
    <row r="29" ht="15.75" customHeight="1">
      <c r="A29" s="42" t="s">
        <v>39</v>
      </c>
      <c r="B29" s="23"/>
      <c r="C29" s="23"/>
      <c r="F29" s="23"/>
    </row>
    <row r="30" ht="15.75" customHeight="1">
      <c r="A30" s="23"/>
      <c r="B30" s="43" t="s">
        <v>40</v>
      </c>
      <c r="C30" s="45"/>
      <c r="D30" s="46">
        <v>0.03</v>
      </c>
      <c r="F30" s="23"/>
    </row>
    <row r="31" ht="15.75" customHeight="1">
      <c r="A31" s="23"/>
      <c r="B31" s="43" t="s">
        <v>41</v>
      </c>
      <c r="C31" s="47"/>
      <c r="D31" s="48">
        <v>1500.0</v>
      </c>
      <c r="F31" s="23"/>
    </row>
    <row r="32" ht="15.75" customHeight="1">
      <c r="A32" s="23"/>
      <c r="B32" s="23"/>
      <c r="C32" s="23"/>
      <c r="F32" s="23"/>
    </row>
    <row r="33" ht="15.75" customHeight="1">
      <c r="A33" s="42" t="s">
        <v>42</v>
      </c>
      <c r="B33" s="23"/>
      <c r="C33" s="23"/>
      <c r="F33" s="23"/>
    </row>
    <row r="34" ht="15.75" customHeight="1">
      <c r="A34" s="23"/>
      <c r="B34" s="43" t="s">
        <v>43</v>
      </c>
      <c r="C34" s="49"/>
      <c r="D34" s="40">
        <v>3000.0</v>
      </c>
      <c r="F34" s="23"/>
    </row>
    <row r="35" ht="15.75" customHeight="1">
      <c r="A35" s="23"/>
      <c r="B35" s="43" t="s">
        <v>44</v>
      </c>
      <c r="C35" s="49"/>
      <c r="D35" s="40">
        <v>1000.0</v>
      </c>
      <c r="F35" s="23"/>
    </row>
    <row r="36" ht="15.75" customHeight="1">
      <c r="A36" s="23"/>
      <c r="B36" s="43" t="s">
        <v>45</v>
      </c>
      <c r="C36" s="49"/>
      <c r="D36" s="40">
        <v>2000.0</v>
      </c>
      <c r="F36" s="23"/>
    </row>
    <row r="37" ht="15.75" customHeight="1">
      <c r="A37" s="23"/>
      <c r="B37" s="43" t="s">
        <v>46</v>
      </c>
      <c r="C37" s="49"/>
      <c r="D37" s="40">
        <v>500.0</v>
      </c>
      <c r="F37" s="23"/>
    </row>
    <row r="38" ht="15.75" customHeight="1">
      <c r="A38" s="23"/>
      <c r="B38" s="43" t="s">
        <v>47</v>
      </c>
      <c r="C38" s="49"/>
      <c r="D38" s="40">
        <v>0.0</v>
      </c>
      <c r="F38" s="23"/>
    </row>
    <row r="39" ht="15.75" customHeight="1">
      <c r="A39" s="23"/>
      <c r="B39" s="43" t="s">
        <v>48</v>
      </c>
      <c r="C39" s="49"/>
      <c r="D39" s="40">
        <v>200.0</v>
      </c>
      <c r="F39" s="23"/>
    </row>
    <row r="40" ht="15.75" customHeight="1">
      <c r="A40" s="23"/>
      <c r="B40" s="43" t="s">
        <v>49</v>
      </c>
      <c r="C40" s="49"/>
      <c r="D40" s="40">
        <v>667.0</v>
      </c>
      <c r="F40" s="23"/>
    </row>
    <row r="41" ht="15.75" customHeight="1">
      <c r="A41" s="23"/>
      <c r="B41" s="43" t="s">
        <v>50</v>
      </c>
      <c r="C41" s="49"/>
      <c r="D41" s="40">
        <v>500.0</v>
      </c>
      <c r="F41" s="23"/>
    </row>
    <row r="42" ht="15.75" customHeight="1">
      <c r="A42" s="23"/>
      <c r="B42" s="43" t="s">
        <v>51</v>
      </c>
      <c r="C42" s="49"/>
      <c r="D42" s="40">
        <v>0.0</v>
      </c>
      <c r="F42" s="23"/>
    </row>
    <row r="43" ht="15.75" customHeight="1">
      <c r="A43" s="23"/>
      <c r="B43" s="23"/>
      <c r="C43" s="23"/>
      <c r="F43" s="23"/>
    </row>
    <row r="44" ht="15.75" customHeight="1">
      <c r="A44" s="23"/>
      <c r="B44" s="23"/>
      <c r="C44" s="23"/>
      <c r="F44" s="23"/>
    </row>
    <row r="45" ht="15.75" customHeight="1">
      <c r="A45" s="23"/>
      <c r="B45" s="23"/>
      <c r="C45" s="23"/>
      <c r="F45" s="23"/>
    </row>
    <row r="46" ht="15.75" customHeight="1">
      <c r="A46" s="23"/>
      <c r="B46" s="23"/>
      <c r="C46" s="23"/>
      <c r="F46" s="23"/>
    </row>
    <row r="47" ht="15.75" customHeight="1">
      <c r="A47" s="23"/>
      <c r="B47" s="23"/>
      <c r="C47" s="23"/>
      <c r="F47" s="23"/>
    </row>
    <row r="48" ht="15.75" customHeight="1">
      <c r="A48" s="23"/>
      <c r="B48" s="23"/>
      <c r="C48" s="23"/>
      <c r="F48" s="23"/>
    </row>
    <row r="49" ht="15.75" customHeight="1">
      <c r="A49" s="23"/>
      <c r="B49" s="23"/>
      <c r="C49" s="23"/>
      <c r="F49" s="23"/>
    </row>
    <row r="50" ht="15.75" customHeight="1">
      <c r="A50" s="23"/>
      <c r="B50" s="23"/>
      <c r="C50" s="23"/>
      <c r="F50" s="23"/>
    </row>
    <row r="51" ht="15.75" customHeight="1">
      <c r="A51" s="23"/>
      <c r="B51" s="23"/>
      <c r="C51" s="23"/>
      <c r="F51" s="23"/>
    </row>
    <row r="52" ht="15.75" customHeight="1">
      <c r="A52" s="23"/>
      <c r="B52" s="23"/>
      <c r="C52" s="23"/>
      <c r="F52" s="23"/>
    </row>
    <row r="53" ht="15.75" customHeight="1">
      <c r="A53" s="23"/>
      <c r="B53" s="23"/>
      <c r="C53" s="23"/>
      <c r="F53" s="23"/>
    </row>
    <row r="54" ht="15.75" customHeight="1">
      <c r="A54" s="23"/>
      <c r="B54" s="23"/>
      <c r="C54" s="23"/>
      <c r="F54" s="23"/>
    </row>
    <row r="55" ht="15.75" customHeight="1">
      <c r="A55" s="23"/>
      <c r="B55" s="23"/>
      <c r="C55" s="23"/>
      <c r="F55" s="23"/>
    </row>
    <row r="56" ht="15.75" customHeight="1">
      <c r="A56" s="23"/>
      <c r="B56" s="23"/>
      <c r="C56" s="23"/>
      <c r="F56" s="23"/>
    </row>
    <row r="57" ht="15.75" customHeight="1">
      <c r="A57" s="23"/>
      <c r="B57" s="23"/>
      <c r="C57" s="23"/>
      <c r="F57" s="23"/>
    </row>
    <row r="58" ht="15.75" customHeight="1">
      <c r="A58" s="23"/>
      <c r="B58" s="23"/>
      <c r="C58" s="23"/>
      <c r="F58" s="23"/>
    </row>
    <row r="59" ht="15.75" customHeight="1">
      <c r="A59" s="23"/>
      <c r="B59" s="23"/>
      <c r="C59" s="23"/>
      <c r="F59" s="23"/>
    </row>
    <row r="60" ht="15.75" customHeight="1">
      <c r="A60" s="23"/>
      <c r="B60" s="23"/>
      <c r="C60" s="23"/>
      <c r="F60" s="23"/>
    </row>
    <row r="61" ht="15.75" customHeight="1">
      <c r="A61" s="23"/>
      <c r="B61" s="23"/>
      <c r="C61" s="23"/>
      <c r="F61" s="23"/>
    </row>
    <row r="62" ht="15.75" customHeight="1">
      <c r="A62" s="23"/>
      <c r="B62" s="23"/>
      <c r="C62" s="23"/>
      <c r="F62" s="23"/>
    </row>
    <row r="63" ht="15.75" customHeight="1">
      <c r="A63" s="23"/>
      <c r="B63" s="23"/>
      <c r="C63" s="23"/>
      <c r="F63" s="23"/>
    </row>
    <row r="64" ht="15.75" customHeight="1">
      <c r="A64" s="23"/>
      <c r="B64" s="23"/>
      <c r="C64" s="23"/>
      <c r="F64" s="23"/>
    </row>
    <row r="65" ht="15.75" customHeight="1">
      <c r="A65" s="23"/>
      <c r="B65" s="23"/>
      <c r="C65" s="23"/>
      <c r="F65" s="23"/>
    </row>
    <row r="66" ht="15.75" customHeight="1">
      <c r="A66" s="23"/>
      <c r="B66" s="23"/>
      <c r="C66" s="23"/>
      <c r="F66" s="23"/>
    </row>
    <row r="67" ht="15.75" customHeight="1">
      <c r="A67" s="23"/>
      <c r="B67" s="23"/>
      <c r="C67" s="23"/>
      <c r="F67" s="23"/>
    </row>
    <row r="68" ht="15.75" customHeight="1">
      <c r="A68" s="23"/>
      <c r="B68" s="23"/>
      <c r="C68" s="23"/>
      <c r="F68" s="23"/>
    </row>
    <row r="69" ht="15.75" customHeight="1">
      <c r="A69" s="23"/>
      <c r="B69" s="23"/>
      <c r="C69" s="23"/>
      <c r="F69" s="23"/>
    </row>
    <row r="70" ht="15.75" customHeight="1">
      <c r="A70" s="23"/>
      <c r="B70" s="23"/>
      <c r="C70" s="23"/>
      <c r="F70" s="23"/>
    </row>
    <row r="71" ht="15.75" customHeight="1">
      <c r="A71" s="23"/>
      <c r="B71" s="23"/>
      <c r="C71" s="23"/>
      <c r="F71" s="23"/>
    </row>
    <row r="72" ht="15.75" customHeight="1">
      <c r="A72" s="23"/>
      <c r="B72" s="23"/>
      <c r="C72" s="23"/>
      <c r="F72" s="23"/>
    </row>
    <row r="73" ht="15.75" customHeight="1">
      <c r="A73" s="23"/>
      <c r="B73" s="23"/>
      <c r="C73" s="23"/>
      <c r="F73" s="23"/>
    </row>
    <row r="74" ht="15.75" customHeight="1">
      <c r="A74" s="23"/>
      <c r="B74" s="23"/>
      <c r="C74" s="23"/>
      <c r="F74" s="23"/>
    </row>
    <row r="75" ht="15.75" customHeight="1">
      <c r="A75" s="23"/>
      <c r="B75" s="23"/>
      <c r="C75" s="23"/>
      <c r="F75" s="23"/>
    </row>
    <row r="76" ht="15.75" customHeight="1">
      <c r="A76" s="23"/>
      <c r="B76" s="23"/>
      <c r="C76" s="23"/>
      <c r="F76" s="23"/>
    </row>
    <row r="77" ht="15.75" customHeight="1">
      <c r="A77" s="23"/>
      <c r="B77" s="23"/>
      <c r="C77" s="23"/>
      <c r="F77" s="23"/>
    </row>
    <row r="78" ht="15.75" customHeight="1">
      <c r="A78" s="23"/>
      <c r="B78" s="23"/>
      <c r="C78" s="23"/>
      <c r="F78" s="23"/>
    </row>
    <row r="79" ht="15.75" customHeight="1">
      <c r="A79" s="23"/>
      <c r="B79" s="23"/>
      <c r="C79" s="23"/>
      <c r="F79" s="23"/>
    </row>
    <row r="80" ht="15.75" customHeight="1">
      <c r="A80" s="23"/>
      <c r="B80" s="23"/>
      <c r="C80" s="23"/>
      <c r="F80" s="23"/>
    </row>
    <row r="81" ht="15.75" customHeight="1">
      <c r="A81" s="23"/>
      <c r="B81" s="23"/>
      <c r="C81" s="23"/>
      <c r="F81" s="23"/>
    </row>
    <row r="82" ht="15.75" customHeight="1">
      <c r="A82" s="23"/>
      <c r="B82" s="23"/>
      <c r="C82" s="23"/>
      <c r="F82" s="23"/>
    </row>
    <row r="83" ht="15.75" customHeight="1">
      <c r="A83" s="23"/>
      <c r="B83" s="23"/>
      <c r="C83" s="23"/>
      <c r="F83" s="23"/>
    </row>
    <row r="84" ht="15.75" customHeight="1">
      <c r="A84" s="23"/>
      <c r="B84" s="23"/>
      <c r="C84" s="23"/>
      <c r="F84" s="23"/>
    </row>
    <row r="85" ht="15.75" customHeight="1">
      <c r="A85" s="23"/>
      <c r="B85" s="23"/>
      <c r="C85" s="23"/>
      <c r="F85" s="23"/>
    </row>
    <row r="86" ht="15.75" customHeight="1">
      <c r="A86" s="23"/>
      <c r="B86" s="23"/>
      <c r="C86" s="23"/>
      <c r="F86" s="23"/>
    </row>
    <row r="87" ht="15.75" customHeight="1">
      <c r="A87" s="23"/>
      <c r="B87" s="23"/>
      <c r="C87" s="23"/>
      <c r="F87" s="23"/>
    </row>
    <row r="88" ht="15.75" customHeight="1">
      <c r="A88" s="23"/>
      <c r="B88" s="23"/>
      <c r="C88" s="23"/>
      <c r="F88" s="23"/>
    </row>
    <row r="89" ht="15.75" customHeight="1">
      <c r="A89" s="23"/>
      <c r="B89" s="23"/>
      <c r="C89" s="23"/>
      <c r="F89" s="23"/>
    </row>
    <row r="90" ht="15.75" customHeight="1">
      <c r="A90" s="23"/>
      <c r="B90" s="23"/>
      <c r="C90" s="23"/>
      <c r="F90" s="23"/>
    </row>
    <row r="91" ht="15.75" customHeight="1">
      <c r="A91" s="23"/>
      <c r="B91" s="23"/>
      <c r="C91" s="23"/>
      <c r="F91" s="23"/>
    </row>
    <row r="92" ht="15.75" customHeight="1">
      <c r="A92" s="23"/>
      <c r="B92" s="23"/>
      <c r="C92" s="23"/>
      <c r="F92" s="23"/>
    </row>
    <row r="93" ht="15.75" customHeight="1">
      <c r="A93" s="23"/>
      <c r="B93" s="23"/>
      <c r="C93" s="23"/>
      <c r="F93" s="23"/>
    </row>
    <row r="94" ht="15.75" customHeight="1">
      <c r="A94" s="23"/>
      <c r="B94" s="23"/>
      <c r="C94" s="23"/>
      <c r="F94" s="23"/>
    </row>
    <row r="95" ht="15.75" customHeight="1">
      <c r="A95" s="23"/>
      <c r="B95" s="23"/>
      <c r="C95" s="23"/>
      <c r="F95" s="23"/>
    </row>
    <row r="96" ht="15.75" customHeight="1">
      <c r="A96" s="23"/>
      <c r="B96" s="23"/>
      <c r="C96" s="23"/>
      <c r="F96" s="23"/>
    </row>
    <row r="97" ht="15.75" customHeight="1">
      <c r="A97" s="23"/>
      <c r="B97" s="23"/>
      <c r="C97" s="23"/>
      <c r="F97" s="23"/>
    </row>
    <row r="98" ht="15.75" customHeight="1">
      <c r="A98" s="23"/>
      <c r="B98" s="23"/>
      <c r="C98" s="23"/>
      <c r="F98" s="23"/>
    </row>
    <row r="99" ht="15.75" customHeight="1">
      <c r="A99" s="23"/>
      <c r="B99" s="23"/>
      <c r="C99" s="23"/>
      <c r="F99" s="23"/>
    </row>
    <row r="100" ht="15.75" customHeight="1">
      <c r="A100" s="23"/>
      <c r="B100" s="23"/>
      <c r="C100" s="23"/>
      <c r="F100" s="23"/>
    </row>
    <row r="101" ht="15.75" customHeight="1">
      <c r="A101" s="23"/>
      <c r="B101" s="23"/>
      <c r="C101" s="23"/>
      <c r="F101" s="23"/>
    </row>
    <row r="102" ht="15.75" customHeight="1">
      <c r="A102" s="23"/>
      <c r="B102" s="23"/>
      <c r="C102" s="23"/>
      <c r="F102" s="23"/>
    </row>
    <row r="103" ht="15.75" customHeight="1">
      <c r="A103" s="23"/>
      <c r="B103" s="23"/>
      <c r="C103" s="23"/>
      <c r="F103" s="23"/>
    </row>
    <row r="104" ht="15.75" customHeight="1">
      <c r="A104" s="23"/>
      <c r="B104" s="23"/>
      <c r="C104" s="23"/>
      <c r="F104" s="23"/>
    </row>
    <row r="105" ht="15.75" customHeight="1">
      <c r="A105" s="23"/>
      <c r="B105" s="23"/>
      <c r="C105" s="23"/>
      <c r="F105" s="23"/>
    </row>
    <row r="106" ht="15.75" customHeight="1">
      <c r="A106" s="23"/>
      <c r="B106" s="23"/>
      <c r="C106" s="23"/>
      <c r="F106" s="23"/>
    </row>
    <row r="107" ht="15.75" customHeight="1">
      <c r="A107" s="23"/>
      <c r="B107" s="23"/>
      <c r="C107" s="23"/>
      <c r="F107" s="23"/>
    </row>
    <row r="108" ht="15.75" customHeight="1">
      <c r="A108" s="23"/>
      <c r="B108" s="23"/>
      <c r="C108" s="23"/>
      <c r="F108" s="23"/>
    </row>
    <row r="109" ht="15.75" customHeight="1">
      <c r="A109" s="23"/>
      <c r="B109" s="23"/>
      <c r="C109" s="23"/>
      <c r="F109" s="23"/>
    </row>
    <row r="110" ht="15.75" customHeight="1">
      <c r="A110" s="23"/>
      <c r="B110" s="23"/>
      <c r="C110" s="23"/>
      <c r="F110" s="23"/>
    </row>
    <row r="111" ht="15.75" customHeight="1">
      <c r="A111" s="23"/>
      <c r="B111" s="23"/>
      <c r="C111" s="23"/>
      <c r="F111" s="23"/>
    </row>
    <row r="112" ht="15.75" customHeight="1">
      <c r="A112" s="23"/>
      <c r="B112" s="23"/>
      <c r="C112" s="23"/>
      <c r="F112" s="23"/>
    </row>
    <row r="113" ht="15.75" customHeight="1">
      <c r="A113" s="23"/>
      <c r="B113" s="23"/>
      <c r="C113" s="23"/>
      <c r="F113" s="23"/>
    </row>
    <row r="114" ht="15.75" customHeight="1">
      <c r="A114" s="23"/>
      <c r="B114" s="23"/>
      <c r="C114" s="23"/>
      <c r="F114" s="23"/>
    </row>
    <row r="115" ht="15.75" customHeight="1">
      <c r="A115" s="23"/>
      <c r="B115" s="23"/>
      <c r="C115" s="23"/>
      <c r="F115" s="23"/>
    </row>
    <row r="116" ht="15.75" customHeight="1">
      <c r="A116" s="23"/>
      <c r="B116" s="23"/>
      <c r="C116" s="23"/>
      <c r="F116" s="23"/>
    </row>
    <row r="117" ht="15.75" customHeight="1">
      <c r="A117" s="23"/>
      <c r="B117" s="23"/>
      <c r="C117" s="23"/>
      <c r="F117" s="23"/>
    </row>
    <row r="118" ht="15.75" customHeight="1">
      <c r="A118" s="23"/>
      <c r="B118" s="23"/>
      <c r="C118" s="23"/>
      <c r="F118" s="23"/>
    </row>
    <row r="119" ht="15.75" customHeight="1">
      <c r="A119" s="23"/>
      <c r="B119" s="23"/>
      <c r="C119" s="23"/>
      <c r="F119" s="23"/>
    </row>
    <row r="120" ht="15.75" customHeight="1">
      <c r="A120" s="23"/>
      <c r="B120" s="23"/>
      <c r="C120" s="23"/>
      <c r="F120" s="23"/>
    </row>
    <row r="121" ht="15.75" customHeight="1">
      <c r="A121" s="23"/>
      <c r="B121" s="23"/>
      <c r="C121" s="23"/>
      <c r="F121" s="23"/>
    </row>
    <row r="122" ht="15.75" customHeight="1">
      <c r="A122" s="23"/>
      <c r="B122" s="23"/>
      <c r="C122" s="23"/>
      <c r="F122" s="23"/>
    </row>
    <row r="123" ht="15.75" customHeight="1">
      <c r="A123" s="23"/>
      <c r="B123" s="23"/>
      <c r="C123" s="23"/>
      <c r="F123" s="23"/>
    </row>
    <row r="124" ht="15.75" customHeight="1">
      <c r="A124" s="23"/>
      <c r="B124" s="23"/>
      <c r="C124" s="23"/>
      <c r="F124" s="23"/>
    </row>
    <row r="125" ht="15.75" customHeight="1">
      <c r="A125" s="23"/>
      <c r="B125" s="23"/>
      <c r="C125" s="23"/>
      <c r="F125" s="23"/>
    </row>
    <row r="126" ht="15.75" customHeight="1">
      <c r="A126" s="23"/>
      <c r="B126" s="23"/>
      <c r="C126" s="23"/>
      <c r="F126" s="23"/>
    </row>
    <row r="127" ht="15.75" customHeight="1">
      <c r="A127" s="23"/>
      <c r="B127" s="23"/>
      <c r="C127" s="23"/>
      <c r="F127" s="23"/>
    </row>
    <row r="128" ht="15.75" customHeight="1">
      <c r="A128" s="23"/>
      <c r="B128" s="23"/>
      <c r="C128" s="23"/>
      <c r="F128" s="23"/>
    </row>
    <row r="129" ht="15.75" customHeight="1">
      <c r="A129" s="23"/>
      <c r="B129" s="23"/>
      <c r="C129" s="23"/>
      <c r="F129" s="23"/>
    </row>
    <row r="130" ht="15.75" customHeight="1">
      <c r="A130" s="23"/>
      <c r="B130" s="23"/>
      <c r="C130" s="23"/>
      <c r="F130" s="23"/>
    </row>
    <row r="131" ht="15.75" customHeight="1">
      <c r="A131" s="23"/>
      <c r="B131" s="23"/>
      <c r="C131" s="23"/>
      <c r="F131" s="23"/>
    </row>
    <row r="132" ht="15.75" customHeight="1">
      <c r="A132" s="23"/>
      <c r="B132" s="23"/>
      <c r="C132" s="23"/>
      <c r="F132" s="23"/>
    </row>
    <row r="133" ht="15.75" customHeight="1">
      <c r="A133" s="23"/>
      <c r="B133" s="23"/>
      <c r="C133" s="23"/>
      <c r="F133" s="23"/>
    </row>
    <row r="134" ht="15.75" customHeight="1">
      <c r="A134" s="23"/>
      <c r="B134" s="23"/>
      <c r="C134" s="23"/>
      <c r="F134" s="23"/>
    </row>
    <row r="135" ht="15.75" customHeight="1">
      <c r="A135" s="23"/>
      <c r="B135" s="23"/>
      <c r="C135" s="23"/>
      <c r="F135" s="23"/>
    </row>
    <row r="136" ht="15.75" customHeight="1">
      <c r="A136" s="23"/>
      <c r="B136" s="23"/>
      <c r="C136" s="23"/>
      <c r="F136" s="23"/>
    </row>
    <row r="137" ht="15.75" customHeight="1">
      <c r="A137" s="23"/>
      <c r="B137" s="23"/>
      <c r="C137" s="23"/>
      <c r="F137" s="23"/>
    </row>
    <row r="138" ht="15.75" customHeight="1">
      <c r="A138" s="23"/>
      <c r="B138" s="23"/>
      <c r="C138" s="23"/>
      <c r="F138" s="23"/>
    </row>
    <row r="139" ht="15.75" customHeight="1">
      <c r="A139" s="23"/>
      <c r="B139" s="23"/>
      <c r="C139" s="23"/>
      <c r="F139" s="23"/>
    </row>
    <row r="140" ht="15.75" customHeight="1">
      <c r="A140" s="23"/>
      <c r="B140" s="23"/>
      <c r="C140" s="23"/>
      <c r="F140" s="23"/>
    </row>
    <row r="141" ht="15.75" customHeight="1">
      <c r="A141" s="23"/>
      <c r="B141" s="23"/>
      <c r="C141" s="23"/>
      <c r="F141" s="23"/>
    </row>
    <row r="142" ht="15.75" customHeight="1">
      <c r="A142" s="23"/>
      <c r="B142" s="23"/>
      <c r="C142" s="23"/>
      <c r="F142" s="23"/>
    </row>
    <row r="143" ht="15.75" customHeight="1">
      <c r="A143" s="23"/>
      <c r="B143" s="23"/>
      <c r="C143" s="23"/>
      <c r="F143" s="23"/>
    </row>
    <row r="144" ht="15.75" customHeight="1">
      <c r="A144" s="23"/>
      <c r="B144" s="23"/>
      <c r="C144" s="23"/>
      <c r="F144" s="23"/>
    </row>
    <row r="145" ht="15.75" customHeight="1">
      <c r="A145" s="23"/>
      <c r="B145" s="23"/>
      <c r="C145" s="23"/>
      <c r="F145" s="23"/>
    </row>
    <row r="146" ht="15.75" customHeight="1">
      <c r="A146" s="23"/>
      <c r="B146" s="23"/>
      <c r="C146" s="23"/>
      <c r="F146" s="23"/>
    </row>
    <row r="147" ht="15.75" customHeight="1">
      <c r="A147" s="23"/>
      <c r="B147" s="23"/>
      <c r="C147" s="23"/>
      <c r="F147" s="23"/>
    </row>
    <row r="148" ht="15.75" customHeight="1">
      <c r="A148" s="23"/>
      <c r="B148" s="23"/>
      <c r="C148" s="23"/>
      <c r="F148" s="23"/>
    </row>
    <row r="149" ht="15.75" customHeight="1">
      <c r="A149" s="23"/>
      <c r="B149" s="23"/>
      <c r="C149" s="23"/>
      <c r="F149" s="23"/>
    </row>
    <row r="150" ht="15.75" customHeight="1">
      <c r="A150" s="23"/>
      <c r="B150" s="23"/>
      <c r="C150" s="23"/>
      <c r="F150" s="23"/>
    </row>
    <row r="151" ht="15.75" customHeight="1">
      <c r="A151" s="23"/>
      <c r="B151" s="23"/>
      <c r="C151" s="23"/>
      <c r="F151" s="23"/>
    </row>
    <row r="152" ht="15.75" customHeight="1">
      <c r="A152" s="23"/>
      <c r="B152" s="23"/>
      <c r="C152" s="23"/>
      <c r="F152" s="23"/>
    </row>
    <row r="153" ht="15.75" customHeight="1">
      <c r="A153" s="23"/>
      <c r="B153" s="23"/>
      <c r="C153" s="23"/>
      <c r="F153" s="23"/>
    </row>
    <row r="154" ht="15.75" customHeight="1">
      <c r="A154" s="23"/>
      <c r="B154" s="23"/>
      <c r="C154" s="23"/>
      <c r="F154" s="23"/>
    </row>
    <row r="155" ht="15.75" customHeight="1">
      <c r="A155" s="23"/>
      <c r="B155" s="23"/>
      <c r="C155" s="23"/>
      <c r="F155" s="23"/>
    </row>
    <row r="156" ht="15.75" customHeight="1">
      <c r="A156" s="23"/>
      <c r="B156" s="23"/>
      <c r="C156" s="23"/>
      <c r="F156" s="23"/>
    </row>
    <row r="157" ht="15.75" customHeight="1">
      <c r="A157" s="23"/>
      <c r="B157" s="23"/>
      <c r="C157" s="23"/>
      <c r="F157" s="23"/>
    </row>
    <row r="158" ht="15.75" customHeight="1">
      <c r="A158" s="23"/>
      <c r="B158" s="23"/>
      <c r="C158" s="23"/>
      <c r="F158" s="23"/>
    </row>
    <row r="159" ht="15.75" customHeight="1">
      <c r="A159" s="23"/>
      <c r="B159" s="23"/>
      <c r="C159" s="23"/>
      <c r="F159" s="23"/>
    </row>
    <row r="160" ht="15.75" customHeight="1">
      <c r="A160" s="23"/>
      <c r="B160" s="23"/>
      <c r="C160" s="23"/>
      <c r="F160" s="23"/>
    </row>
    <row r="161" ht="15.75" customHeight="1">
      <c r="A161" s="23"/>
      <c r="B161" s="23"/>
      <c r="C161" s="23"/>
      <c r="F161" s="23"/>
    </row>
    <row r="162" ht="15.75" customHeight="1">
      <c r="A162" s="23"/>
      <c r="B162" s="23"/>
      <c r="C162" s="23"/>
      <c r="F162" s="23"/>
    </row>
    <row r="163" ht="15.75" customHeight="1">
      <c r="A163" s="23"/>
      <c r="B163" s="23"/>
      <c r="C163" s="23"/>
      <c r="F163" s="23"/>
    </row>
    <row r="164" ht="15.75" customHeight="1">
      <c r="A164" s="23"/>
      <c r="B164" s="23"/>
      <c r="C164" s="23"/>
      <c r="F164" s="23"/>
    </row>
    <row r="165" ht="15.75" customHeight="1">
      <c r="A165" s="23"/>
      <c r="B165" s="23"/>
      <c r="C165" s="23"/>
      <c r="F165" s="23"/>
    </row>
    <row r="166" ht="15.75" customHeight="1">
      <c r="A166" s="23"/>
      <c r="B166" s="23"/>
      <c r="C166" s="23"/>
      <c r="F166" s="23"/>
    </row>
    <row r="167" ht="15.75" customHeight="1">
      <c r="A167" s="23"/>
      <c r="B167" s="23"/>
      <c r="C167" s="23"/>
      <c r="F167" s="23"/>
    </row>
    <row r="168" ht="15.75" customHeight="1">
      <c r="A168" s="23"/>
      <c r="B168" s="23"/>
      <c r="C168" s="23"/>
      <c r="F168" s="23"/>
    </row>
    <row r="169" ht="15.75" customHeight="1">
      <c r="A169" s="23"/>
      <c r="B169" s="23"/>
      <c r="C169" s="23"/>
      <c r="F169" s="23"/>
    </row>
    <row r="170" ht="15.75" customHeight="1">
      <c r="A170" s="23"/>
      <c r="B170" s="23"/>
      <c r="C170" s="23"/>
      <c r="F170" s="23"/>
    </row>
    <row r="171" ht="15.75" customHeight="1">
      <c r="A171" s="23"/>
      <c r="B171" s="23"/>
      <c r="C171" s="23"/>
      <c r="F171" s="23"/>
    </row>
    <row r="172" ht="15.75" customHeight="1">
      <c r="A172" s="23"/>
      <c r="B172" s="23"/>
      <c r="C172" s="23"/>
      <c r="F172" s="23"/>
    </row>
    <row r="173" ht="15.75" customHeight="1">
      <c r="A173" s="23"/>
      <c r="B173" s="23"/>
      <c r="C173" s="23"/>
      <c r="F173" s="23"/>
    </row>
    <row r="174" ht="15.75" customHeight="1">
      <c r="A174" s="23"/>
      <c r="B174" s="23"/>
      <c r="C174" s="23"/>
      <c r="F174" s="23"/>
    </row>
    <row r="175" ht="15.75" customHeight="1">
      <c r="A175" s="23"/>
      <c r="B175" s="23"/>
      <c r="C175" s="23"/>
      <c r="F175" s="23"/>
    </row>
    <row r="176" ht="15.75" customHeight="1">
      <c r="A176" s="23"/>
      <c r="B176" s="23"/>
      <c r="C176" s="23"/>
      <c r="F176" s="23"/>
    </row>
    <row r="177" ht="15.75" customHeight="1">
      <c r="A177" s="23"/>
      <c r="B177" s="23"/>
      <c r="C177" s="23"/>
      <c r="F177" s="23"/>
    </row>
    <row r="178" ht="15.75" customHeight="1">
      <c r="A178" s="23"/>
      <c r="B178" s="23"/>
      <c r="C178" s="23"/>
      <c r="F178" s="23"/>
    </row>
    <row r="179" ht="15.75" customHeight="1">
      <c r="A179" s="23"/>
      <c r="B179" s="23"/>
      <c r="C179" s="23"/>
      <c r="F179" s="23"/>
    </row>
    <row r="180" ht="15.75" customHeight="1">
      <c r="A180" s="23"/>
      <c r="B180" s="23"/>
      <c r="C180" s="23"/>
      <c r="F180" s="23"/>
    </row>
    <row r="181" ht="15.75" customHeight="1">
      <c r="A181" s="23"/>
      <c r="B181" s="23"/>
      <c r="C181" s="23"/>
      <c r="F181" s="23"/>
    </row>
    <row r="182" ht="15.75" customHeight="1">
      <c r="A182" s="23"/>
      <c r="B182" s="23"/>
      <c r="C182" s="23"/>
      <c r="F182" s="23"/>
    </row>
    <row r="183" ht="15.75" customHeight="1">
      <c r="A183" s="23"/>
      <c r="B183" s="23"/>
      <c r="C183" s="23"/>
      <c r="F183" s="23"/>
    </row>
    <row r="184" ht="15.75" customHeight="1">
      <c r="A184" s="23"/>
      <c r="B184" s="23"/>
      <c r="C184" s="23"/>
      <c r="F184" s="23"/>
    </row>
    <row r="185" ht="15.75" customHeight="1">
      <c r="A185" s="23"/>
      <c r="B185" s="23"/>
      <c r="C185" s="23"/>
      <c r="F185" s="23"/>
    </row>
    <row r="186" ht="15.75" customHeight="1">
      <c r="A186" s="23"/>
      <c r="B186" s="23"/>
      <c r="C186" s="23"/>
      <c r="F186" s="23"/>
    </row>
    <row r="187" ht="15.75" customHeight="1">
      <c r="A187" s="23"/>
      <c r="B187" s="23"/>
      <c r="C187" s="23"/>
      <c r="F187" s="23"/>
    </row>
    <row r="188" ht="15.75" customHeight="1">
      <c r="A188" s="23"/>
      <c r="B188" s="23"/>
      <c r="C188" s="23"/>
      <c r="F188" s="23"/>
    </row>
    <row r="189" ht="15.75" customHeight="1">
      <c r="A189" s="23"/>
      <c r="B189" s="23"/>
      <c r="C189" s="23"/>
      <c r="F189" s="23"/>
    </row>
    <row r="190" ht="15.75" customHeight="1">
      <c r="A190" s="23"/>
      <c r="B190" s="23"/>
      <c r="C190" s="23"/>
      <c r="F190" s="23"/>
    </row>
    <row r="191" ht="15.75" customHeight="1">
      <c r="A191" s="23"/>
      <c r="B191" s="23"/>
      <c r="C191" s="23"/>
      <c r="F191" s="23"/>
    </row>
    <row r="192" ht="15.75" customHeight="1">
      <c r="A192" s="23"/>
      <c r="B192" s="23"/>
      <c r="C192" s="23"/>
      <c r="F192" s="23"/>
    </row>
    <row r="193" ht="15.75" customHeight="1">
      <c r="A193" s="23"/>
      <c r="B193" s="23"/>
      <c r="C193" s="23"/>
      <c r="F193" s="23"/>
    </row>
    <row r="194" ht="15.75" customHeight="1">
      <c r="A194" s="23"/>
      <c r="B194" s="23"/>
      <c r="C194" s="23"/>
      <c r="F194" s="23"/>
    </row>
    <row r="195" ht="15.75" customHeight="1">
      <c r="A195" s="23"/>
      <c r="B195" s="23"/>
      <c r="C195" s="23"/>
      <c r="F195" s="23"/>
    </row>
    <row r="196" ht="15.75" customHeight="1">
      <c r="A196" s="23"/>
      <c r="B196" s="23"/>
      <c r="C196" s="23"/>
      <c r="F196" s="23"/>
    </row>
    <row r="197" ht="15.75" customHeight="1">
      <c r="A197" s="23"/>
      <c r="B197" s="23"/>
      <c r="C197" s="23"/>
      <c r="F197" s="23"/>
    </row>
    <row r="198" ht="15.75" customHeight="1">
      <c r="A198" s="23"/>
      <c r="B198" s="23"/>
      <c r="C198" s="23"/>
      <c r="F198" s="23"/>
    </row>
    <row r="199" ht="15.75" customHeight="1">
      <c r="A199" s="23"/>
      <c r="B199" s="23"/>
      <c r="C199" s="23"/>
      <c r="F199" s="23"/>
    </row>
    <row r="200" ht="15.75" customHeight="1">
      <c r="A200" s="23"/>
      <c r="B200" s="23"/>
      <c r="C200" s="23"/>
      <c r="F200" s="23"/>
    </row>
    <row r="201" ht="15.75" customHeight="1">
      <c r="A201" s="23"/>
      <c r="B201" s="23"/>
      <c r="C201" s="23"/>
      <c r="F201" s="23"/>
    </row>
    <row r="202" ht="15.75" customHeight="1">
      <c r="A202" s="23"/>
      <c r="B202" s="23"/>
      <c r="C202" s="23"/>
      <c r="F202" s="23"/>
    </row>
    <row r="203" ht="15.75" customHeight="1">
      <c r="A203" s="23"/>
      <c r="B203" s="23"/>
      <c r="C203" s="23"/>
      <c r="F203" s="23"/>
    </row>
    <row r="204" ht="15.75" customHeight="1">
      <c r="A204" s="23"/>
      <c r="B204" s="23"/>
      <c r="C204" s="23"/>
      <c r="F204" s="23"/>
    </row>
    <row r="205" ht="15.75" customHeight="1">
      <c r="A205" s="23"/>
      <c r="B205" s="23"/>
      <c r="C205" s="23"/>
      <c r="F205" s="23"/>
    </row>
    <row r="206" ht="15.75" customHeight="1">
      <c r="A206" s="23"/>
      <c r="B206" s="23"/>
      <c r="C206" s="23"/>
      <c r="F206" s="23"/>
    </row>
    <row r="207" ht="15.75" customHeight="1">
      <c r="A207" s="23"/>
      <c r="B207" s="23"/>
      <c r="C207" s="23"/>
      <c r="F207" s="23"/>
    </row>
    <row r="208" ht="15.75" customHeight="1">
      <c r="A208" s="23"/>
      <c r="B208" s="23"/>
      <c r="C208" s="23"/>
      <c r="F208" s="23"/>
    </row>
    <row r="209" ht="15.75" customHeight="1">
      <c r="A209" s="23"/>
      <c r="B209" s="23"/>
      <c r="C209" s="23"/>
      <c r="F209" s="23"/>
    </row>
    <row r="210" ht="15.75" customHeight="1">
      <c r="A210" s="23"/>
      <c r="B210" s="23"/>
      <c r="C210" s="23"/>
      <c r="F210" s="23"/>
    </row>
    <row r="211" ht="15.75" customHeight="1">
      <c r="A211" s="23"/>
      <c r="B211" s="23"/>
      <c r="C211" s="23"/>
      <c r="F211" s="23"/>
    </row>
    <row r="212" ht="15.75" customHeight="1">
      <c r="A212" s="23"/>
      <c r="B212" s="23"/>
      <c r="C212" s="23"/>
      <c r="F212" s="23"/>
    </row>
    <row r="213" ht="15.75" customHeight="1">
      <c r="A213" s="23"/>
      <c r="B213" s="23"/>
      <c r="C213" s="23"/>
      <c r="F213" s="23"/>
    </row>
    <row r="214" ht="15.75" customHeight="1">
      <c r="A214" s="23"/>
      <c r="B214" s="23"/>
      <c r="C214" s="23"/>
      <c r="F214" s="23"/>
    </row>
    <row r="215" ht="15.75" customHeight="1">
      <c r="A215" s="23"/>
      <c r="B215" s="23"/>
      <c r="C215" s="23"/>
      <c r="F215" s="23"/>
    </row>
    <row r="216" ht="15.75" customHeight="1">
      <c r="A216" s="23"/>
      <c r="B216" s="23"/>
      <c r="C216" s="23"/>
      <c r="F216" s="23"/>
    </row>
    <row r="217" ht="15.75" customHeight="1">
      <c r="A217" s="23"/>
      <c r="B217" s="23"/>
      <c r="C217" s="23"/>
      <c r="F217" s="23"/>
    </row>
    <row r="218" ht="15.75" customHeight="1">
      <c r="A218" s="23"/>
      <c r="B218" s="23"/>
      <c r="C218" s="23"/>
      <c r="F218" s="23"/>
    </row>
    <row r="219" ht="15.75" customHeight="1">
      <c r="A219" s="23"/>
      <c r="B219" s="23"/>
      <c r="C219" s="23"/>
      <c r="F219" s="23"/>
    </row>
    <row r="220" ht="15.75" customHeight="1">
      <c r="A220" s="23"/>
      <c r="B220" s="23"/>
      <c r="C220" s="23"/>
      <c r="F220" s="23"/>
    </row>
    <row r="221" ht="15.75" customHeight="1">
      <c r="A221" s="23"/>
      <c r="B221" s="23"/>
      <c r="C221" s="23"/>
      <c r="F221" s="23"/>
    </row>
    <row r="222" ht="15.75" customHeight="1">
      <c r="A222" s="23"/>
      <c r="B222" s="23"/>
      <c r="C222" s="23"/>
      <c r="F222" s="23"/>
    </row>
    <row r="223" ht="15.75" customHeight="1">
      <c r="A223" s="23"/>
      <c r="B223" s="23"/>
      <c r="C223" s="23"/>
      <c r="F223" s="23"/>
    </row>
    <row r="224" ht="15.75" customHeight="1">
      <c r="A224" s="23"/>
      <c r="B224" s="23"/>
      <c r="C224" s="23"/>
      <c r="F224" s="23"/>
    </row>
    <row r="225" ht="15.75" customHeight="1">
      <c r="A225" s="23"/>
      <c r="B225" s="23"/>
      <c r="C225" s="23"/>
      <c r="F225" s="23"/>
    </row>
    <row r="226" ht="15.75" customHeight="1">
      <c r="A226" s="23"/>
      <c r="B226" s="23"/>
      <c r="C226" s="23"/>
      <c r="F226" s="23"/>
    </row>
    <row r="227" ht="15.75" customHeight="1">
      <c r="A227" s="23"/>
      <c r="B227" s="23"/>
      <c r="C227" s="23"/>
      <c r="F227" s="23"/>
    </row>
    <row r="228" ht="15.75" customHeight="1">
      <c r="A228" s="23"/>
      <c r="B228" s="23"/>
      <c r="C228" s="23"/>
      <c r="F228" s="23"/>
    </row>
    <row r="229" ht="15.75" customHeight="1">
      <c r="A229" s="23"/>
      <c r="B229" s="23"/>
      <c r="C229" s="23"/>
      <c r="F229" s="23"/>
    </row>
    <row r="230" ht="15.75" customHeight="1">
      <c r="A230" s="23"/>
      <c r="B230" s="23"/>
      <c r="C230" s="23"/>
      <c r="F230" s="23"/>
    </row>
    <row r="231" ht="15.75" customHeight="1">
      <c r="A231" s="23"/>
      <c r="B231" s="23"/>
      <c r="C231" s="23"/>
      <c r="F231" s="23"/>
    </row>
    <row r="232" ht="15.75" customHeight="1">
      <c r="A232" s="23"/>
      <c r="B232" s="23"/>
      <c r="C232" s="23"/>
      <c r="F232" s="23"/>
    </row>
    <row r="233" ht="15.75" customHeight="1">
      <c r="A233" s="23"/>
      <c r="B233" s="23"/>
      <c r="C233" s="23"/>
      <c r="F233" s="23"/>
    </row>
    <row r="234" ht="15.75" customHeight="1">
      <c r="A234" s="23"/>
      <c r="B234" s="23"/>
      <c r="C234" s="23"/>
      <c r="F234" s="23"/>
    </row>
    <row r="235" ht="15.75" customHeight="1">
      <c r="A235" s="23"/>
      <c r="B235" s="23"/>
      <c r="C235" s="23"/>
      <c r="F235" s="23"/>
    </row>
    <row r="236" ht="15.75" customHeight="1">
      <c r="A236" s="23"/>
      <c r="B236" s="23"/>
      <c r="C236" s="23"/>
      <c r="F236" s="23"/>
    </row>
    <row r="237" ht="15.75" customHeight="1">
      <c r="A237" s="23"/>
      <c r="B237" s="23"/>
      <c r="C237" s="23"/>
      <c r="F237" s="23"/>
    </row>
    <row r="238" ht="15.75" customHeight="1">
      <c r="A238" s="23"/>
      <c r="B238" s="23"/>
      <c r="C238" s="23"/>
      <c r="F238" s="23"/>
    </row>
    <row r="239" ht="15.75" customHeight="1">
      <c r="A239" s="23"/>
      <c r="B239" s="23"/>
      <c r="C239" s="23"/>
      <c r="F239" s="23"/>
    </row>
    <row r="240" ht="15.75" customHeight="1">
      <c r="A240" s="23"/>
      <c r="B240" s="23"/>
      <c r="C240" s="23"/>
      <c r="F240" s="23"/>
    </row>
    <row r="241" ht="15.75" customHeight="1">
      <c r="A241" s="23"/>
      <c r="B241" s="23"/>
      <c r="C241" s="23"/>
      <c r="F241" s="23"/>
    </row>
    <row r="242" ht="15.75" customHeight="1">
      <c r="A242" s="23"/>
      <c r="B242" s="23"/>
      <c r="C242" s="23"/>
      <c r="F242" s="23"/>
    </row>
    <row r="243" ht="15.75" customHeight="1">
      <c r="A243" s="23"/>
      <c r="B243" s="23"/>
      <c r="C243" s="23"/>
      <c r="F243" s="23"/>
    </row>
    <row r="244" ht="15.75" customHeight="1">
      <c r="A244" s="23"/>
      <c r="B244" s="23"/>
      <c r="C244" s="23"/>
      <c r="F244" s="23"/>
    </row>
    <row r="245" ht="15.75" customHeight="1">
      <c r="A245" s="23"/>
      <c r="B245" s="23"/>
      <c r="C245" s="23"/>
      <c r="F245" s="23"/>
    </row>
    <row r="246" ht="15.75" customHeight="1">
      <c r="A246" s="23"/>
      <c r="B246" s="23"/>
      <c r="C246" s="23"/>
      <c r="F246" s="23"/>
    </row>
    <row r="247" ht="15.75" customHeight="1">
      <c r="A247" s="23"/>
      <c r="B247" s="23"/>
      <c r="C247" s="23"/>
      <c r="F247" s="23"/>
    </row>
    <row r="248" ht="15.75" customHeight="1">
      <c r="A248" s="23"/>
      <c r="B248" s="23"/>
      <c r="C248" s="23"/>
      <c r="F248" s="23"/>
    </row>
    <row r="249" ht="15.75" customHeight="1">
      <c r="A249" s="23"/>
      <c r="B249" s="23"/>
      <c r="C249" s="23"/>
      <c r="F249" s="23"/>
    </row>
    <row r="250" ht="15.75" customHeight="1">
      <c r="A250" s="23"/>
      <c r="B250" s="23"/>
      <c r="C250" s="23"/>
      <c r="F250" s="23"/>
    </row>
    <row r="251" ht="15.75" customHeight="1">
      <c r="A251" s="23"/>
      <c r="B251" s="23"/>
      <c r="C251" s="23"/>
      <c r="F251" s="23"/>
    </row>
    <row r="252" ht="15.75" customHeight="1">
      <c r="A252" s="23"/>
      <c r="B252" s="23"/>
      <c r="C252" s="23"/>
      <c r="F252" s="23"/>
    </row>
    <row r="253" ht="15.75" customHeight="1">
      <c r="A253" s="23"/>
      <c r="B253" s="23"/>
      <c r="C253" s="23"/>
      <c r="F253" s="23"/>
    </row>
    <row r="254" ht="15.75" customHeight="1">
      <c r="A254" s="23"/>
      <c r="B254" s="23"/>
      <c r="C254" s="23"/>
      <c r="F254" s="23"/>
    </row>
    <row r="255" ht="15.75" customHeight="1">
      <c r="A255" s="23"/>
      <c r="B255" s="23"/>
      <c r="C255" s="23"/>
      <c r="F255" s="23"/>
    </row>
    <row r="256" ht="15.75" customHeight="1">
      <c r="A256" s="23"/>
      <c r="B256" s="23"/>
      <c r="C256" s="23"/>
      <c r="F256" s="23"/>
    </row>
    <row r="257" ht="15.75" customHeight="1">
      <c r="A257" s="23"/>
      <c r="B257" s="23"/>
      <c r="C257" s="23"/>
      <c r="F257" s="23"/>
    </row>
    <row r="258" ht="15.75" customHeight="1">
      <c r="A258" s="23"/>
      <c r="B258" s="23"/>
      <c r="C258" s="23"/>
      <c r="F258" s="23"/>
    </row>
    <row r="259" ht="15.75" customHeight="1">
      <c r="A259" s="23"/>
      <c r="B259" s="23"/>
      <c r="C259" s="23"/>
      <c r="F259" s="23"/>
    </row>
    <row r="260" ht="15.75" customHeight="1">
      <c r="A260" s="23"/>
      <c r="B260" s="23"/>
      <c r="C260" s="23"/>
      <c r="F260" s="23"/>
    </row>
    <row r="261" ht="15.75" customHeight="1">
      <c r="A261" s="23"/>
      <c r="B261" s="23"/>
      <c r="C261" s="23"/>
      <c r="F261" s="23"/>
    </row>
    <row r="262" ht="15.75" customHeight="1">
      <c r="A262" s="23"/>
      <c r="B262" s="23"/>
      <c r="C262" s="23"/>
      <c r="F262" s="23"/>
    </row>
    <row r="263" ht="15.75" customHeight="1">
      <c r="A263" s="23"/>
      <c r="B263" s="23"/>
      <c r="C263" s="23"/>
      <c r="F263" s="23"/>
    </row>
    <row r="264" ht="15.75" customHeight="1">
      <c r="A264" s="23"/>
      <c r="B264" s="23"/>
      <c r="C264" s="23"/>
      <c r="F264" s="23"/>
    </row>
    <row r="265" ht="15.75" customHeight="1">
      <c r="A265" s="23"/>
      <c r="B265" s="23"/>
      <c r="C265" s="23"/>
      <c r="F265" s="23"/>
    </row>
    <row r="266" ht="15.75" customHeight="1">
      <c r="A266" s="23"/>
      <c r="B266" s="23"/>
      <c r="C266" s="23"/>
      <c r="F266" s="23"/>
    </row>
    <row r="267" ht="15.75" customHeight="1">
      <c r="A267" s="23"/>
      <c r="B267" s="23"/>
      <c r="C267" s="23"/>
      <c r="F267" s="23"/>
    </row>
    <row r="268" ht="15.75" customHeight="1">
      <c r="A268" s="23"/>
      <c r="B268" s="23"/>
      <c r="C268" s="23"/>
      <c r="F268" s="23"/>
    </row>
    <row r="269" ht="15.75" customHeight="1">
      <c r="A269" s="23"/>
      <c r="B269" s="23"/>
      <c r="C269" s="23"/>
      <c r="F269" s="23"/>
    </row>
    <row r="270" ht="15.75" customHeight="1">
      <c r="A270" s="23"/>
      <c r="B270" s="23"/>
      <c r="C270" s="23"/>
      <c r="F270" s="23"/>
    </row>
    <row r="271" ht="15.75" customHeight="1">
      <c r="A271" s="23"/>
      <c r="B271" s="23"/>
      <c r="C271" s="23"/>
      <c r="F271" s="23"/>
    </row>
    <row r="272" ht="15.75" customHeight="1">
      <c r="A272" s="23"/>
      <c r="B272" s="23"/>
      <c r="C272" s="23"/>
      <c r="F272" s="23"/>
    </row>
    <row r="273" ht="15.75" customHeight="1">
      <c r="A273" s="23"/>
      <c r="B273" s="23"/>
      <c r="C273" s="23"/>
      <c r="F273" s="23"/>
    </row>
    <row r="274" ht="15.75" customHeight="1">
      <c r="A274" s="23"/>
      <c r="B274" s="23"/>
      <c r="C274" s="23"/>
      <c r="F274" s="23"/>
    </row>
    <row r="275" ht="15.75" customHeight="1">
      <c r="A275" s="23"/>
      <c r="B275" s="23"/>
      <c r="C275" s="23"/>
      <c r="F275" s="23"/>
    </row>
    <row r="276" ht="15.75" customHeight="1">
      <c r="A276" s="23"/>
      <c r="B276" s="23"/>
      <c r="C276" s="23"/>
      <c r="F276" s="23"/>
    </row>
    <row r="277" ht="15.75" customHeight="1">
      <c r="A277" s="23"/>
      <c r="B277" s="23"/>
      <c r="C277" s="23"/>
      <c r="F277" s="23"/>
    </row>
    <row r="278" ht="15.75" customHeight="1">
      <c r="A278" s="23"/>
      <c r="B278" s="23"/>
      <c r="C278" s="23"/>
      <c r="F278" s="23"/>
    </row>
    <row r="279" ht="15.75" customHeight="1">
      <c r="A279" s="23"/>
      <c r="B279" s="23"/>
      <c r="C279" s="23"/>
      <c r="F279" s="23"/>
    </row>
    <row r="280" ht="15.75" customHeight="1">
      <c r="A280" s="23"/>
      <c r="B280" s="23"/>
      <c r="C280" s="23"/>
      <c r="F280" s="23"/>
    </row>
    <row r="281" ht="15.75" customHeight="1">
      <c r="A281" s="23"/>
      <c r="B281" s="23"/>
      <c r="C281" s="23"/>
      <c r="F281" s="23"/>
    </row>
    <row r="282" ht="15.75" customHeight="1">
      <c r="A282" s="23"/>
      <c r="B282" s="23"/>
      <c r="C282" s="23"/>
      <c r="F282" s="23"/>
    </row>
    <row r="283" ht="15.75" customHeight="1">
      <c r="A283" s="23"/>
      <c r="B283" s="23"/>
      <c r="C283" s="23"/>
      <c r="F283" s="23"/>
    </row>
    <row r="284" ht="15.75" customHeight="1">
      <c r="A284" s="23"/>
      <c r="B284" s="23"/>
      <c r="C284" s="23"/>
      <c r="F284" s="23"/>
    </row>
    <row r="285" ht="15.75" customHeight="1">
      <c r="A285" s="23"/>
      <c r="B285" s="23"/>
      <c r="C285" s="23"/>
      <c r="F285" s="23"/>
    </row>
    <row r="286" ht="15.75" customHeight="1">
      <c r="A286" s="23"/>
      <c r="B286" s="23"/>
      <c r="C286" s="23"/>
      <c r="F286" s="23"/>
    </row>
    <row r="287" ht="15.75" customHeight="1">
      <c r="A287" s="23"/>
      <c r="B287" s="23"/>
      <c r="C287" s="23"/>
      <c r="F287" s="23"/>
    </row>
    <row r="288" ht="15.75" customHeight="1">
      <c r="A288" s="23"/>
      <c r="B288" s="23"/>
      <c r="C288" s="23"/>
      <c r="F288" s="23"/>
    </row>
    <row r="289" ht="15.75" customHeight="1">
      <c r="A289" s="23"/>
      <c r="B289" s="23"/>
      <c r="C289" s="23"/>
      <c r="F289" s="23"/>
    </row>
    <row r="290" ht="15.75" customHeight="1">
      <c r="A290" s="23"/>
      <c r="B290" s="23"/>
      <c r="C290" s="23"/>
      <c r="F290" s="23"/>
    </row>
    <row r="291" ht="15.75" customHeight="1">
      <c r="A291" s="23"/>
      <c r="B291" s="23"/>
      <c r="C291" s="23"/>
      <c r="F291" s="23"/>
    </row>
    <row r="292" ht="15.75" customHeight="1">
      <c r="A292" s="23"/>
      <c r="B292" s="23"/>
      <c r="C292" s="23"/>
      <c r="F292" s="23"/>
    </row>
    <row r="293" ht="15.75" customHeight="1">
      <c r="A293" s="23"/>
      <c r="B293" s="23"/>
      <c r="C293" s="23"/>
      <c r="F293" s="23"/>
    </row>
    <row r="294" ht="15.75" customHeight="1">
      <c r="A294" s="23"/>
      <c r="B294" s="23"/>
      <c r="C294" s="23"/>
      <c r="F294" s="23"/>
    </row>
    <row r="295" ht="15.75" customHeight="1">
      <c r="A295" s="23"/>
      <c r="B295" s="23"/>
      <c r="C295" s="23"/>
      <c r="F295" s="23"/>
    </row>
    <row r="296" ht="15.75" customHeight="1">
      <c r="A296" s="23"/>
      <c r="B296" s="23"/>
      <c r="C296" s="23"/>
      <c r="F296" s="23"/>
    </row>
    <row r="297" ht="15.75" customHeight="1">
      <c r="A297" s="23"/>
      <c r="B297" s="23"/>
      <c r="C297" s="23"/>
      <c r="F297" s="23"/>
    </row>
    <row r="298" ht="15.75" customHeight="1">
      <c r="A298" s="23"/>
      <c r="B298" s="23"/>
      <c r="C298" s="23"/>
      <c r="F298" s="23"/>
    </row>
    <row r="299" ht="15.75" customHeight="1">
      <c r="A299" s="23"/>
      <c r="B299" s="23"/>
      <c r="C299" s="23"/>
      <c r="F299" s="23"/>
    </row>
    <row r="300" ht="15.75" customHeight="1">
      <c r="A300" s="23"/>
      <c r="B300" s="23"/>
      <c r="C300" s="23"/>
      <c r="F300" s="23"/>
    </row>
    <row r="301" ht="15.75" customHeight="1">
      <c r="A301" s="23"/>
      <c r="B301" s="23"/>
      <c r="C301" s="23"/>
      <c r="F301" s="23"/>
    </row>
    <row r="302" ht="15.75" customHeight="1">
      <c r="A302" s="23"/>
      <c r="B302" s="23"/>
      <c r="C302" s="23"/>
      <c r="F302" s="23"/>
    </row>
    <row r="303" ht="15.75" customHeight="1">
      <c r="A303" s="23"/>
      <c r="B303" s="23"/>
      <c r="C303" s="23"/>
      <c r="F303" s="23"/>
    </row>
    <row r="304" ht="15.75" customHeight="1">
      <c r="A304" s="23"/>
      <c r="B304" s="23"/>
      <c r="C304" s="23"/>
      <c r="F304" s="23"/>
    </row>
    <row r="305" ht="15.75" customHeight="1">
      <c r="A305" s="23"/>
      <c r="B305" s="23"/>
      <c r="C305" s="23"/>
      <c r="F305" s="23"/>
    </row>
    <row r="306" ht="15.75" customHeight="1">
      <c r="A306" s="23"/>
      <c r="B306" s="23"/>
      <c r="C306" s="23"/>
      <c r="F306" s="23"/>
    </row>
    <row r="307" ht="15.75" customHeight="1">
      <c r="A307" s="23"/>
      <c r="B307" s="23"/>
      <c r="C307" s="23"/>
      <c r="F307" s="23"/>
    </row>
    <row r="308" ht="15.75" customHeight="1">
      <c r="A308" s="23"/>
      <c r="B308" s="23"/>
      <c r="C308" s="23"/>
      <c r="F308" s="23"/>
    </row>
    <row r="309" ht="15.75" customHeight="1">
      <c r="A309" s="23"/>
      <c r="B309" s="23"/>
      <c r="C309" s="23"/>
      <c r="F309" s="23"/>
    </row>
    <row r="310" ht="15.75" customHeight="1">
      <c r="A310" s="23"/>
      <c r="B310" s="23"/>
      <c r="C310" s="23"/>
      <c r="F310" s="23"/>
    </row>
    <row r="311" ht="15.75" customHeight="1">
      <c r="A311" s="23"/>
      <c r="B311" s="23"/>
      <c r="C311" s="23"/>
      <c r="F311" s="23"/>
    </row>
    <row r="312" ht="15.75" customHeight="1">
      <c r="A312" s="23"/>
      <c r="B312" s="23"/>
      <c r="C312" s="23"/>
      <c r="F312" s="23"/>
    </row>
    <row r="313" ht="15.75" customHeight="1">
      <c r="A313" s="23"/>
      <c r="B313" s="23"/>
      <c r="C313" s="23"/>
      <c r="F313" s="23"/>
    </row>
    <row r="314" ht="15.75" customHeight="1">
      <c r="A314" s="23"/>
      <c r="B314" s="23"/>
      <c r="C314" s="23"/>
      <c r="F314" s="23"/>
    </row>
    <row r="315" ht="15.75" customHeight="1">
      <c r="A315" s="23"/>
      <c r="B315" s="23"/>
      <c r="C315" s="23"/>
      <c r="F315" s="23"/>
    </row>
    <row r="316" ht="15.75" customHeight="1">
      <c r="A316" s="23"/>
      <c r="B316" s="23"/>
      <c r="C316" s="23"/>
      <c r="F316" s="23"/>
    </row>
    <row r="317" ht="15.75" customHeight="1">
      <c r="A317" s="23"/>
      <c r="B317" s="23"/>
      <c r="C317" s="23"/>
      <c r="F317" s="23"/>
    </row>
    <row r="318" ht="15.75" customHeight="1">
      <c r="A318" s="23"/>
      <c r="B318" s="23"/>
      <c r="C318" s="23"/>
      <c r="F318" s="23"/>
    </row>
    <row r="319" ht="15.75" customHeight="1">
      <c r="A319" s="23"/>
      <c r="B319" s="23"/>
      <c r="C319" s="23"/>
      <c r="F319" s="23"/>
    </row>
    <row r="320" ht="15.75" customHeight="1">
      <c r="A320" s="23"/>
      <c r="B320" s="23"/>
      <c r="C320" s="23"/>
      <c r="F320" s="23"/>
    </row>
    <row r="321" ht="15.75" customHeight="1">
      <c r="A321" s="23"/>
      <c r="B321" s="23"/>
      <c r="C321" s="23"/>
      <c r="F321" s="23"/>
    </row>
    <row r="322" ht="15.75" customHeight="1">
      <c r="A322" s="23"/>
      <c r="B322" s="23"/>
      <c r="C322" s="23"/>
      <c r="F322" s="23"/>
    </row>
    <row r="323" ht="15.75" customHeight="1">
      <c r="A323" s="23"/>
      <c r="B323" s="23"/>
      <c r="C323" s="23"/>
      <c r="F323" s="23"/>
    </row>
    <row r="324" ht="15.75" customHeight="1">
      <c r="A324" s="23"/>
      <c r="B324" s="23"/>
      <c r="C324" s="23"/>
      <c r="F324" s="23"/>
    </row>
    <row r="325" ht="15.75" customHeight="1">
      <c r="A325" s="23"/>
      <c r="B325" s="23"/>
      <c r="C325" s="23"/>
      <c r="F325" s="23"/>
    </row>
    <row r="326" ht="15.75" customHeight="1">
      <c r="A326" s="23"/>
      <c r="B326" s="23"/>
      <c r="C326" s="23"/>
      <c r="F326" s="23"/>
    </row>
    <row r="327" ht="15.75" customHeight="1">
      <c r="A327" s="23"/>
      <c r="B327" s="23"/>
      <c r="C327" s="23"/>
      <c r="F327" s="23"/>
    </row>
    <row r="328" ht="15.75" customHeight="1">
      <c r="A328" s="23"/>
      <c r="B328" s="23"/>
      <c r="C328" s="23"/>
      <c r="F328" s="23"/>
    </row>
    <row r="329" ht="15.75" customHeight="1">
      <c r="A329" s="23"/>
      <c r="B329" s="23"/>
      <c r="C329" s="23"/>
      <c r="F329" s="23"/>
    </row>
    <row r="330" ht="15.75" customHeight="1">
      <c r="A330" s="23"/>
      <c r="B330" s="23"/>
      <c r="C330" s="23"/>
      <c r="F330" s="23"/>
    </row>
    <row r="331" ht="15.75" customHeight="1">
      <c r="A331" s="23"/>
      <c r="B331" s="23"/>
      <c r="C331" s="23"/>
      <c r="F331" s="23"/>
    </row>
    <row r="332" ht="15.75" customHeight="1">
      <c r="A332" s="23"/>
      <c r="B332" s="23"/>
      <c r="C332" s="23"/>
      <c r="F332" s="23"/>
    </row>
    <row r="333" ht="15.75" customHeight="1">
      <c r="A333" s="23"/>
      <c r="B333" s="23"/>
      <c r="C333" s="23"/>
      <c r="F333" s="23"/>
    </row>
    <row r="334" ht="15.75" customHeight="1">
      <c r="A334" s="23"/>
      <c r="B334" s="23"/>
      <c r="C334" s="23"/>
      <c r="F334" s="23"/>
    </row>
    <row r="335" ht="15.75" customHeight="1">
      <c r="A335" s="23"/>
      <c r="B335" s="23"/>
      <c r="C335" s="23"/>
      <c r="F335" s="23"/>
    </row>
    <row r="336" ht="15.75" customHeight="1">
      <c r="A336" s="23"/>
      <c r="B336" s="23"/>
      <c r="C336" s="23"/>
      <c r="F336" s="23"/>
    </row>
    <row r="337" ht="15.75" customHeight="1">
      <c r="A337" s="23"/>
      <c r="B337" s="23"/>
      <c r="C337" s="23"/>
      <c r="F337" s="23"/>
    </row>
    <row r="338" ht="15.75" customHeight="1">
      <c r="A338" s="23"/>
      <c r="B338" s="23"/>
      <c r="C338" s="23"/>
      <c r="F338" s="23"/>
    </row>
    <row r="339" ht="15.75" customHeight="1">
      <c r="A339" s="23"/>
      <c r="B339" s="23"/>
      <c r="C339" s="23"/>
      <c r="F339" s="23"/>
    </row>
    <row r="340" ht="15.75" customHeight="1">
      <c r="A340" s="23"/>
      <c r="B340" s="23"/>
      <c r="C340" s="23"/>
      <c r="F340" s="23"/>
    </row>
    <row r="341" ht="15.75" customHeight="1">
      <c r="A341" s="23"/>
      <c r="B341" s="23"/>
      <c r="C341" s="23"/>
      <c r="F341" s="23"/>
    </row>
    <row r="342" ht="15.75" customHeight="1">
      <c r="A342" s="23"/>
      <c r="B342" s="23"/>
      <c r="C342" s="23"/>
      <c r="F342" s="23"/>
    </row>
    <row r="343" ht="15.75" customHeight="1">
      <c r="A343" s="23"/>
      <c r="B343" s="23"/>
      <c r="C343" s="23"/>
      <c r="F343" s="23"/>
    </row>
    <row r="344" ht="15.75" customHeight="1">
      <c r="A344" s="23"/>
      <c r="B344" s="23"/>
      <c r="C344" s="23"/>
      <c r="F344" s="23"/>
    </row>
    <row r="345" ht="15.75" customHeight="1">
      <c r="A345" s="23"/>
      <c r="B345" s="23"/>
      <c r="C345" s="23"/>
      <c r="F345" s="23"/>
    </row>
    <row r="346" ht="15.75" customHeight="1">
      <c r="A346" s="23"/>
      <c r="B346" s="23"/>
      <c r="C346" s="23"/>
      <c r="F346" s="23"/>
    </row>
    <row r="347" ht="15.75" customHeight="1">
      <c r="A347" s="23"/>
      <c r="B347" s="23"/>
      <c r="C347" s="23"/>
      <c r="F347" s="23"/>
    </row>
    <row r="348" ht="15.75" customHeight="1">
      <c r="A348" s="23"/>
      <c r="B348" s="23"/>
      <c r="C348" s="23"/>
      <c r="F348" s="23"/>
    </row>
    <row r="349" ht="15.75" customHeight="1">
      <c r="A349" s="23"/>
      <c r="B349" s="23"/>
      <c r="C349" s="23"/>
      <c r="F349" s="23"/>
    </row>
    <row r="350" ht="15.75" customHeight="1">
      <c r="A350" s="23"/>
      <c r="B350" s="23"/>
      <c r="C350" s="23"/>
      <c r="F350" s="23"/>
    </row>
    <row r="351" ht="15.75" customHeight="1">
      <c r="A351" s="23"/>
      <c r="B351" s="23"/>
      <c r="C351" s="23"/>
      <c r="F351" s="23"/>
    </row>
    <row r="352" ht="15.75" customHeight="1">
      <c r="A352" s="23"/>
      <c r="B352" s="23"/>
      <c r="C352" s="23"/>
      <c r="F352" s="23"/>
    </row>
    <row r="353" ht="15.75" customHeight="1">
      <c r="A353" s="23"/>
      <c r="B353" s="23"/>
      <c r="C353" s="23"/>
      <c r="F353" s="23"/>
    </row>
    <row r="354" ht="15.75" customHeight="1">
      <c r="A354" s="23"/>
      <c r="B354" s="23"/>
      <c r="C354" s="23"/>
      <c r="F354" s="23"/>
    </row>
    <row r="355" ht="15.75" customHeight="1">
      <c r="A355" s="23"/>
      <c r="B355" s="23"/>
      <c r="C355" s="23"/>
      <c r="F355" s="23"/>
    </row>
    <row r="356" ht="15.75" customHeight="1">
      <c r="A356" s="23"/>
      <c r="B356" s="23"/>
      <c r="C356" s="23"/>
      <c r="F356" s="23"/>
    </row>
    <row r="357" ht="15.75" customHeight="1">
      <c r="A357" s="23"/>
      <c r="B357" s="23"/>
      <c r="C357" s="23"/>
      <c r="F357" s="23"/>
    </row>
    <row r="358" ht="15.75" customHeight="1">
      <c r="A358" s="23"/>
      <c r="B358" s="23"/>
      <c r="C358" s="23"/>
      <c r="F358" s="23"/>
    </row>
    <row r="359" ht="15.75" customHeight="1">
      <c r="A359" s="23"/>
      <c r="B359" s="23"/>
      <c r="C359" s="23"/>
      <c r="F359" s="23"/>
    </row>
    <row r="360" ht="15.75" customHeight="1">
      <c r="A360" s="23"/>
      <c r="B360" s="23"/>
      <c r="C360" s="23"/>
      <c r="F360" s="23"/>
    </row>
    <row r="361" ht="15.75" customHeight="1">
      <c r="A361" s="23"/>
      <c r="B361" s="23"/>
      <c r="C361" s="23"/>
      <c r="F361" s="23"/>
    </row>
    <row r="362" ht="15.75" customHeight="1">
      <c r="A362" s="23"/>
      <c r="B362" s="23"/>
      <c r="C362" s="23"/>
      <c r="F362" s="23"/>
    </row>
    <row r="363" ht="15.75" customHeight="1">
      <c r="A363" s="23"/>
      <c r="B363" s="23"/>
      <c r="C363" s="23"/>
      <c r="F363" s="23"/>
    </row>
    <row r="364" ht="15.75" customHeight="1">
      <c r="A364" s="23"/>
      <c r="B364" s="23"/>
      <c r="C364" s="23"/>
      <c r="F364" s="23"/>
    </row>
    <row r="365" ht="15.75" customHeight="1">
      <c r="A365" s="23"/>
      <c r="B365" s="23"/>
      <c r="C365" s="23"/>
      <c r="F365" s="23"/>
    </row>
    <row r="366" ht="15.75" customHeight="1">
      <c r="A366" s="23"/>
      <c r="B366" s="23"/>
      <c r="C366" s="23"/>
      <c r="F366" s="23"/>
    </row>
    <row r="367" ht="15.75" customHeight="1">
      <c r="A367" s="23"/>
      <c r="B367" s="23"/>
      <c r="C367" s="23"/>
      <c r="F367" s="23"/>
    </row>
    <row r="368" ht="15.75" customHeight="1">
      <c r="A368" s="23"/>
      <c r="B368" s="23"/>
      <c r="C368" s="23"/>
      <c r="F368" s="23"/>
    </row>
    <row r="369" ht="15.75" customHeight="1">
      <c r="A369" s="23"/>
      <c r="B369" s="23"/>
      <c r="C369" s="23"/>
      <c r="F369" s="23"/>
    </row>
    <row r="370" ht="15.75" customHeight="1">
      <c r="A370" s="23"/>
      <c r="B370" s="23"/>
      <c r="C370" s="23"/>
      <c r="F370" s="23"/>
    </row>
    <row r="371" ht="15.75" customHeight="1">
      <c r="A371" s="23"/>
      <c r="B371" s="23"/>
      <c r="C371" s="23"/>
      <c r="F371" s="23"/>
    </row>
    <row r="372" ht="15.75" customHeight="1">
      <c r="A372" s="23"/>
      <c r="B372" s="23"/>
      <c r="C372" s="23"/>
      <c r="F372" s="23"/>
    </row>
    <row r="373" ht="15.75" customHeight="1">
      <c r="A373" s="23"/>
      <c r="B373" s="23"/>
      <c r="C373" s="23"/>
      <c r="F373" s="23"/>
    </row>
    <row r="374" ht="15.75" customHeight="1">
      <c r="A374" s="23"/>
      <c r="B374" s="23"/>
      <c r="C374" s="23"/>
      <c r="F374" s="23"/>
    </row>
    <row r="375" ht="15.75" customHeight="1">
      <c r="A375" s="23"/>
      <c r="B375" s="23"/>
      <c r="C375" s="23"/>
      <c r="F375" s="23"/>
    </row>
    <row r="376" ht="15.75" customHeight="1">
      <c r="A376" s="23"/>
      <c r="B376" s="23"/>
      <c r="C376" s="23"/>
      <c r="F376" s="23"/>
    </row>
    <row r="377" ht="15.75" customHeight="1">
      <c r="A377" s="23"/>
      <c r="B377" s="23"/>
      <c r="C377" s="23"/>
      <c r="F377" s="23"/>
    </row>
    <row r="378" ht="15.75" customHeight="1">
      <c r="A378" s="23"/>
      <c r="B378" s="23"/>
      <c r="C378" s="23"/>
      <c r="F378" s="23"/>
    </row>
    <row r="379" ht="15.75" customHeight="1">
      <c r="A379" s="23"/>
      <c r="B379" s="23"/>
      <c r="C379" s="23"/>
      <c r="F379" s="23"/>
    </row>
    <row r="380" ht="15.75" customHeight="1">
      <c r="A380" s="23"/>
      <c r="B380" s="23"/>
      <c r="C380" s="23"/>
      <c r="F380" s="23"/>
    </row>
    <row r="381" ht="15.75" customHeight="1">
      <c r="A381" s="23"/>
      <c r="B381" s="23"/>
      <c r="C381" s="23"/>
      <c r="F381" s="23"/>
    </row>
    <row r="382" ht="15.75" customHeight="1">
      <c r="A382" s="23"/>
      <c r="B382" s="23"/>
      <c r="C382" s="23"/>
      <c r="F382" s="23"/>
    </row>
    <row r="383" ht="15.75" customHeight="1">
      <c r="A383" s="23"/>
      <c r="B383" s="23"/>
      <c r="C383" s="23"/>
      <c r="F383" s="23"/>
    </row>
    <row r="384" ht="15.75" customHeight="1">
      <c r="A384" s="23"/>
      <c r="B384" s="23"/>
      <c r="C384" s="23"/>
      <c r="F384" s="23"/>
    </row>
    <row r="385" ht="15.75" customHeight="1">
      <c r="A385" s="23"/>
      <c r="B385" s="23"/>
      <c r="C385" s="23"/>
      <c r="F385" s="23"/>
    </row>
    <row r="386" ht="15.75" customHeight="1">
      <c r="A386" s="23"/>
      <c r="B386" s="23"/>
      <c r="C386" s="23"/>
      <c r="F386" s="23"/>
    </row>
    <row r="387" ht="15.75" customHeight="1">
      <c r="A387" s="23"/>
      <c r="B387" s="23"/>
      <c r="C387" s="23"/>
      <c r="F387" s="23"/>
    </row>
    <row r="388" ht="15.75" customHeight="1">
      <c r="A388" s="23"/>
      <c r="B388" s="23"/>
      <c r="C388" s="23"/>
      <c r="F388" s="23"/>
    </row>
    <row r="389" ht="15.75" customHeight="1">
      <c r="A389" s="23"/>
      <c r="B389" s="23"/>
      <c r="C389" s="23"/>
      <c r="F389" s="23"/>
    </row>
    <row r="390" ht="15.75" customHeight="1">
      <c r="A390" s="23"/>
      <c r="B390" s="23"/>
      <c r="C390" s="23"/>
      <c r="F390" s="23"/>
    </row>
    <row r="391" ht="15.75" customHeight="1">
      <c r="A391" s="23"/>
      <c r="B391" s="23"/>
      <c r="C391" s="23"/>
      <c r="F391" s="23"/>
    </row>
    <row r="392" ht="15.75" customHeight="1">
      <c r="A392" s="23"/>
      <c r="B392" s="23"/>
      <c r="C392" s="23"/>
      <c r="F392" s="23"/>
    </row>
    <row r="393" ht="15.75" customHeight="1">
      <c r="A393" s="23"/>
      <c r="B393" s="23"/>
      <c r="C393" s="23"/>
      <c r="F393" s="23"/>
    </row>
    <row r="394" ht="15.75" customHeight="1">
      <c r="A394" s="23"/>
      <c r="B394" s="23"/>
      <c r="C394" s="23"/>
      <c r="F394" s="23"/>
    </row>
    <row r="395" ht="15.75" customHeight="1">
      <c r="A395" s="23"/>
      <c r="B395" s="23"/>
      <c r="C395" s="23"/>
      <c r="F395" s="23"/>
    </row>
    <row r="396" ht="15.75" customHeight="1">
      <c r="A396" s="23"/>
      <c r="B396" s="23"/>
      <c r="C396" s="23"/>
      <c r="F396" s="23"/>
    </row>
    <row r="397" ht="15.75" customHeight="1">
      <c r="A397" s="23"/>
      <c r="B397" s="23"/>
      <c r="C397" s="23"/>
      <c r="F397" s="23"/>
    </row>
    <row r="398" ht="15.75" customHeight="1">
      <c r="A398" s="23"/>
      <c r="B398" s="23"/>
      <c r="C398" s="23"/>
      <c r="F398" s="23"/>
    </row>
    <row r="399" ht="15.75" customHeight="1">
      <c r="A399" s="23"/>
      <c r="B399" s="23"/>
      <c r="C399" s="23"/>
      <c r="F399" s="23"/>
    </row>
    <row r="400" ht="15.75" customHeight="1">
      <c r="A400" s="23"/>
      <c r="B400" s="23"/>
      <c r="C400" s="23"/>
      <c r="F400" s="23"/>
    </row>
    <row r="401" ht="15.75" customHeight="1">
      <c r="A401" s="23"/>
      <c r="B401" s="23"/>
      <c r="C401" s="23"/>
      <c r="F401" s="23"/>
    </row>
    <row r="402" ht="15.75" customHeight="1">
      <c r="A402" s="23"/>
      <c r="B402" s="23"/>
      <c r="C402" s="23"/>
      <c r="F402" s="23"/>
    </row>
    <row r="403" ht="15.75" customHeight="1">
      <c r="A403" s="23"/>
      <c r="B403" s="23"/>
      <c r="C403" s="23"/>
      <c r="F403" s="23"/>
    </row>
    <row r="404" ht="15.75" customHeight="1">
      <c r="A404" s="23"/>
      <c r="B404" s="23"/>
      <c r="C404" s="23"/>
      <c r="F404" s="23"/>
    </row>
    <row r="405" ht="15.75" customHeight="1">
      <c r="A405" s="23"/>
      <c r="B405" s="23"/>
      <c r="C405" s="23"/>
      <c r="F405" s="23"/>
    </row>
    <row r="406" ht="15.75" customHeight="1">
      <c r="A406" s="23"/>
      <c r="B406" s="23"/>
      <c r="C406" s="23"/>
      <c r="F406" s="23"/>
    </row>
    <row r="407" ht="15.75" customHeight="1">
      <c r="A407" s="23"/>
      <c r="B407" s="23"/>
      <c r="C407" s="23"/>
      <c r="F407" s="23"/>
    </row>
    <row r="408" ht="15.75" customHeight="1">
      <c r="A408" s="23"/>
      <c r="B408" s="23"/>
      <c r="C408" s="23"/>
      <c r="F408" s="23"/>
    </row>
    <row r="409" ht="15.75" customHeight="1">
      <c r="A409" s="23"/>
      <c r="B409" s="23"/>
      <c r="C409" s="23"/>
      <c r="F409" s="23"/>
    </row>
    <row r="410" ht="15.75" customHeight="1">
      <c r="A410" s="23"/>
      <c r="B410" s="23"/>
      <c r="C410" s="23"/>
      <c r="F410" s="23"/>
    </row>
    <row r="411" ht="15.75" customHeight="1">
      <c r="A411" s="23"/>
      <c r="B411" s="23"/>
      <c r="C411" s="23"/>
      <c r="F411" s="23"/>
    </row>
    <row r="412" ht="15.75" customHeight="1">
      <c r="A412" s="23"/>
      <c r="B412" s="23"/>
      <c r="C412" s="23"/>
      <c r="F412" s="23"/>
    </row>
    <row r="413" ht="15.75" customHeight="1">
      <c r="A413" s="23"/>
      <c r="B413" s="23"/>
      <c r="C413" s="23"/>
      <c r="F413" s="23"/>
    </row>
    <row r="414" ht="15.75" customHeight="1">
      <c r="A414" s="23"/>
      <c r="B414" s="23"/>
      <c r="C414" s="23"/>
      <c r="F414" s="23"/>
    </row>
    <row r="415" ht="15.75" customHeight="1">
      <c r="A415" s="23"/>
      <c r="B415" s="23"/>
      <c r="C415" s="23"/>
      <c r="F415" s="23"/>
    </row>
    <row r="416" ht="15.75" customHeight="1">
      <c r="A416" s="23"/>
      <c r="B416" s="23"/>
      <c r="C416" s="23"/>
      <c r="F416" s="23"/>
    </row>
    <row r="417" ht="15.75" customHeight="1">
      <c r="A417" s="23"/>
      <c r="B417" s="23"/>
      <c r="C417" s="23"/>
      <c r="F417" s="23"/>
    </row>
    <row r="418" ht="15.75" customHeight="1">
      <c r="A418" s="23"/>
      <c r="B418" s="23"/>
      <c r="C418" s="23"/>
      <c r="F418" s="23"/>
    </row>
    <row r="419" ht="15.75" customHeight="1">
      <c r="A419" s="23"/>
      <c r="B419" s="23"/>
      <c r="C419" s="23"/>
      <c r="F419" s="23"/>
    </row>
    <row r="420" ht="15.75" customHeight="1">
      <c r="A420" s="23"/>
      <c r="B420" s="23"/>
      <c r="C420" s="23"/>
      <c r="F420" s="23"/>
    </row>
    <row r="421" ht="15.75" customHeight="1">
      <c r="A421" s="23"/>
      <c r="B421" s="23"/>
      <c r="C421" s="23"/>
      <c r="F421" s="23"/>
    </row>
    <row r="422" ht="15.75" customHeight="1">
      <c r="A422" s="23"/>
      <c r="B422" s="23"/>
      <c r="C422" s="23"/>
      <c r="F422" s="23"/>
    </row>
    <row r="423" ht="15.75" customHeight="1">
      <c r="A423" s="23"/>
      <c r="B423" s="23"/>
      <c r="C423" s="23"/>
      <c r="F423" s="23"/>
    </row>
    <row r="424" ht="15.75" customHeight="1">
      <c r="A424" s="23"/>
      <c r="B424" s="23"/>
      <c r="C424" s="23"/>
      <c r="F424" s="23"/>
    </row>
    <row r="425" ht="15.75" customHeight="1">
      <c r="A425" s="23"/>
      <c r="B425" s="23"/>
      <c r="C425" s="23"/>
      <c r="F425" s="23"/>
    </row>
    <row r="426" ht="15.75" customHeight="1">
      <c r="A426" s="23"/>
      <c r="B426" s="23"/>
      <c r="C426" s="23"/>
      <c r="F426" s="23"/>
    </row>
    <row r="427" ht="15.75" customHeight="1">
      <c r="A427" s="23"/>
      <c r="B427" s="23"/>
      <c r="C427" s="23"/>
      <c r="F427" s="23"/>
    </row>
    <row r="428" ht="15.75" customHeight="1">
      <c r="A428" s="23"/>
      <c r="B428" s="23"/>
      <c r="C428" s="23"/>
      <c r="F428" s="23"/>
    </row>
    <row r="429" ht="15.75" customHeight="1">
      <c r="A429" s="23"/>
      <c r="B429" s="23"/>
      <c r="C429" s="23"/>
      <c r="F429" s="23"/>
    </row>
    <row r="430" ht="15.75" customHeight="1">
      <c r="A430" s="23"/>
      <c r="B430" s="23"/>
      <c r="C430" s="23"/>
      <c r="F430" s="23"/>
    </row>
    <row r="431" ht="15.75" customHeight="1">
      <c r="A431" s="23"/>
      <c r="B431" s="23"/>
      <c r="C431" s="23"/>
      <c r="F431" s="23"/>
    </row>
    <row r="432" ht="15.75" customHeight="1">
      <c r="A432" s="23"/>
      <c r="B432" s="23"/>
      <c r="C432" s="23"/>
      <c r="F432" s="23"/>
    </row>
    <row r="433" ht="15.75" customHeight="1">
      <c r="A433" s="23"/>
      <c r="B433" s="23"/>
      <c r="C433" s="23"/>
      <c r="F433" s="23"/>
    </row>
    <row r="434" ht="15.75" customHeight="1">
      <c r="A434" s="23"/>
      <c r="B434" s="23"/>
      <c r="C434" s="23"/>
      <c r="F434" s="23"/>
    </row>
    <row r="435" ht="15.75" customHeight="1">
      <c r="A435" s="23"/>
      <c r="B435" s="23"/>
      <c r="C435" s="23"/>
      <c r="F435" s="23"/>
    </row>
    <row r="436" ht="15.75" customHeight="1">
      <c r="A436" s="23"/>
      <c r="B436" s="23"/>
      <c r="C436" s="23"/>
      <c r="F436" s="23"/>
    </row>
    <row r="437" ht="15.75" customHeight="1">
      <c r="A437" s="23"/>
      <c r="B437" s="23"/>
      <c r="C437" s="23"/>
      <c r="F437" s="23"/>
    </row>
    <row r="438" ht="15.75" customHeight="1">
      <c r="A438" s="23"/>
      <c r="B438" s="23"/>
      <c r="C438" s="23"/>
      <c r="F438" s="23"/>
    </row>
    <row r="439" ht="15.75" customHeight="1">
      <c r="A439" s="23"/>
      <c r="B439" s="23"/>
      <c r="C439" s="23"/>
      <c r="F439" s="23"/>
    </row>
    <row r="440" ht="15.75" customHeight="1">
      <c r="A440" s="23"/>
      <c r="B440" s="23"/>
      <c r="C440" s="23"/>
      <c r="F440" s="23"/>
    </row>
    <row r="441" ht="15.75" customHeight="1">
      <c r="A441" s="23"/>
      <c r="B441" s="23"/>
      <c r="C441" s="23"/>
      <c r="F441" s="23"/>
    </row>
    <row r="442" ht="15.75" customHeight="1">
      <c r="A442" s="23"/>
      <c r="B442" s="23"/>
      <c r="C442" s="23"/>
      <c r="F442" s="23"/>
    </row>
    <row r="443" ht="15.75" customHeight="1">
      <c r="A443" s="23"/>
      <c r="B443" s="23"/>
      <c r="C443" s="23"/>
      <c r="F443" s="23"/>
    </row>
    <row r="444" ht="15.75" customHeight="1">
      <c r="A444" s="23"/>
      <c r="B444" s="23"/>
      <c r="C444" s="23"/>
      <c r="F444" s="23"/>
    </row>
    <row r="445" ht="15.75" customHeight="1">
      <c r="A445" s="23"/>
      <c r="B445" s="23"/>
      <c r="C445" s="23"/>
      <c r="F445" s="23"/>
    </row>
    <row r="446" ht="15.75" customHeight="1">
      <c r="A446" s="23"/>
      <c r="B446" s="23"/>
      <c r="C446" s="23"/>
      <c r="F446" s="23"/>
    </row>
    <row r="447" ht="15.75" customHeight="1">
      <c r="A447" s="23"/>
      <c r="B447" s="23"/>
      <c r="C447" s="23"/>
      <c r="F447" s="23"/>
    </row>
    <row r="448" ht="15.75" customHeight="1">
      <c r="A448" s="23"/>
      <c r="B448" s="23"/>
      <c r="C448" s="23"/>
      <c r="F448" s="23"/>
    </row>
    <row r="449" ht="15.75" customHeight="1">
      <c r="A449" s="23"/>
      <c r="B449" s="23"/>
      <c r="C449" s="23"/>
      <c r="F449" s="23"/>
    </row>
    <row r="450" ht="15.75" customHeight="1">
      <c r="A450" s="23"/>
      <c r="B450" s="23"/>
      <c r="C450" s="23"/>
      <c r="F450" s="23"/>
    </row>
    <row r="451" ht="15.75" customHeight="1">
      <c r="A451" s="23"/>
      <c r="B451" s="23"/>
      <c r="C451" s="23"/>
      <c r="F451" s="23"/>
    </row>
    <row r="452" ht="15.75" customHeight="1">
      <c r="A452" s="23"/>
      <c r="B452" s="23"/>
      <c r="C452" s="23"/>
      <c r="F452" s="23"/>
    </row>
    <row r="453" ht="15.75" customHeight="1">
      <c r="A453" s="23"/>
      <c r="B453" s="23"/>
      <c r="C453" s="23"/>
      <c r="F453" s="23"/>
    </row>
    <row r="454" ht="15.75" customHeight="1">
      <c r="A454" s="23"/>
      <c r="B454" s="23"/>
      <c r="C454" s="23"/>
      <c r="F454" s="23"/>
    </row>
    <row r="455" ht="15.75" customHeight="1">
      <c r="A455" s="23"/>
      <c r="B455" s="23"/>
      <c r="C455" s="23"/>
      <c r="F455" s="23"/>
    </row>
    <row r="456" ht="15.75" customHeight="1">
      <c r="A456" s="23"/>
      <c r="B456" s="23"/>
      <c r="C456" s="23"/>
      <c r="F456" s="23"/>
    </row>
    <row r="457" ht="15.75" customHeight="1">
      <c r="A457" s="23"/>
      <c r="B457" s="23"/>
      <c r="C457" s="23"/>
      <c r="F457" s="23"/>
    </row>
    <row r="458" ht="15.75" customHeight="1">
      <c r="A458" s="23"/>
      <c r="B458" s="23"/>
      <c r="C458" s="23"/>
      <c r="F458" s="23"/>
    </row>
    <row r="459" ht="15.75" customHeight="1">
      <c r="A459" s="23"/>
      <c r="B459" s="23"/>
      <c r="C459" s="23"/>
      <c r="F459" s="23"/>
    </row>
    <row r="460" ht="15.75" customHeight="1">
      <c r="A460" s="23"/>
      <c r="B460" s="23"/>
      <c r="C460" s="23"/>
      <c r="F460" s="23"/>
    </row>
    <row r="461" ht="15.75" customHeight="1">
      <c r="A461" s="23"/>
      <c r="B461" s="23"/>
      <c r="C461" s="23"/>
      <c r="F461" s="23"/>
    </row>
    <row r="462" ht="15.75" customHeight="1">
      <c r="A462" s="23"/>
      <c r="B462" s="23"/>
      <c r="C462" s="23"/>
      <c r="F462" s="23"/>
    </row>
    <row r="463" ht="15.75" customHeight="1">
      <c r="A463" s="23"/>
      <c r="B463" s="23"/>
      <c r="C463" s="23"/>
      <c r="F463" s="23"/>
    </row>
    <row r="464" ht="15.75" customHeight="1">
      <c r="A464" s="23"/>
      <c r="B464" s="23"/>
      <c r="C464" s="23"/>
      <c r="F464" s="23"/>
    </row>
    <row r="465" ht="15.75" customHeight="1">
      <c r="A465" s="23"/>
      <c r="B465" s="23"/>
      <c r="C465" s="23"/>
      <c r="F465" s="23"/>
    </row>
    <row r="466" ht="15.75" customHeight="1">
      <c r="A466" s="23"/>
      <c r="B466" s="23"/>
      <c r="C466" s="23"/>
      <c r="F466" s="23"/>
    </row>
    <row r="467" ht="15.75" customHeight="1">
      <c r="A467" s="23"/>
      <c r="B467" s="23"/>
      <c r="C467" s="23"/>
      <c r="F467" s="23"/>
    </row>
    <row r="468" ht="15.75" customHeight="1">
      <c r="A468" s="23"/>
      <c r="B468" s="23"/>
      <c r="C468" s="23"/>
      <c r="F468" s="23"/>
    </row>
    <row r="469" ht="15.75" customHeight="1">
      <c r="A469" s="23"/>
      <c r="B469" s="23"/>
      <c r="C469" s="23"/>
      <c r="F469" s="23"/>
    </row>
    <row r="470" ht="15.75" customHeight="1">
      <c r="A470" s="23"/>
      <c r="B470" s="23"/>
      <c r="C470" s="23"/>
      <c r="F470" s="23"/>
    </row>
    <row r="471" ht="15.75" customHeight="1">
      <c r="A471" s="23"/>
      <c r="B471" s="23"/>
      <c r="C471" s="23"/>
      <c r="F471" s="23"/>
    </row>
    <row r="472" ht="15.75" customHeight="1">
      <c r="A472" s="23"/>
      <c r="B472" s="23"/>
      <c r="C472" s="23"/>
      <c r="F472" s="23"/>
    </row>
    <row r="473" ht="15.75" customHeight="1">
      <c r="A473" s="23"/>
      <c r="B473" s="23"/>
      <c r="C473" s="23"/>
      <c r="F473" s="23"/>
    </row>
    <row r="474" ht="15.75" customHeight="1">
      <c r="A474" s="23"/>
      <c r="B474" s="23"/>
      <c r="C474" s="23"/>
      <c r="F474" s="23"/>
    </row>
    <row r="475" ht="15.75" customHeight="1">
      <c r="A475" s="23"/>
      <c r="B475" s="23"/>
      <c r="C475" s="23"/>
      <c r="F475" s="23"/>
    </row>
    <row r="476" ht="15.75" customHeight="1">
      <c r="A476" s="23"/>
      <c r="B476" s="23"/>
      <c r="C476" s="23"/>
      <c r="F476" s="23"/>
    </row>
    <row r="477" ht="15.75" customHeight="1">
      <c r="A477" s="23"/>
      <c r="B477" s="23"/>
      <c r="C477" s="23"/>
      <c r="F477" s="23"/>
    </row>
    <row r="478" ht="15.75" customHeight="1">
      <c r="A478" s="23"/>
      <c r="B478" s="23"/>
      <c r="C478" s="23"/>
      <c r="F478" s="23"/>
    </row>
    <row r="479" ht="15.75" customHeight="1">
      <c r="A479" s="23"/>
      <c r="B479" s="23"/>
      <c r="C479" s="23"/>
      <c r="F479" s="23"/>
    </row>
    <row r="480" ht="15.75" customHeight="1">
      <c r="A480" s="23"/>
      <c r="B480" s="23"/>
      <c r="C480" s="23"/>
      <c r="F480" s="23"/>
    </row>
    <row r="481" ht="15.75" customHeight="1">
      <c r="A481" s="23"/>
      <c r="B481" s="23"/>
      <c r="C481" s="23"/>
      <c r="F481" s="23"/>
    </row>
    <row r="482" ht="15.75" customHeight="1">
      <c r="A482" s="23"/>
      <c r="B482" s="23"/>
      <c r="C482" s="23"/>
      <c r="F482" s="23"/>
    </row>
    <row r="483" ht="15.75" customHeight="1">
      <c r="A483" s="23"/>
      <c r="B483" s="23"/>
      <c r="C483" s="23"/>
      <c r="F483" s="23"/>
    </row>
    <row r="484" ht="15.75" customHeight="1">
      <c r="A484" s="23"/>
      <c r="B484" s="23"/>
      <c r="C484" s="23"/>
      <c r="F484" s="23"/>
    </row>
    <row r="485" ht="15.75" customHeight="1">
      <c r="A485" s="23"/>
      <c r="B485" s="23"/>
      <c r="C485" s="23"/>
      <c r="F485" s="23"/>
    </row>
    <row r="486" ht="15.75" customHeight="1">
      <c r="A486" s="23"/>
      <c r="B486" s="23"/>
      <c r="C486" s="23"/>
      <c r="F486" s="23"/>
    </row>
    <row r="487" ht="15.75" customHeight="1">
      <c r="A487" s="23"/>
      <c r="B487" s="23"/>
      <c r="C487" s="23"/>
      <c r="F487" s="23"/>
    </row>
    <row r="488" ht="15.75" customHeight="1">
      <c r="A488" s="23"/>
      <c r="B488" s="23"/>
      <c r="C488" s="23"/>
      <c r="F488" s="23"/>
    </row>
    <row r="489" ht="15.75" customHeight="1">
      <c r="A489" s="23"/>
      <c r="B489" s="23"/>
      <c r="C489" s="23"/>
      <c r="F489" s="23"/>
    </row>
    <row r="490" ht="15.75" customHeight="1">
      <c r="A490" s="23"/>
      <c r="B490" s="23"/>
      <c r="C490" s="23"/>
      <c r="F490" s="23"/>
    </row>
    <row r="491" ht="15.75" customHeight="1">
      <c r="A491" s="23"/>
      <c r="B491" s="23"/>
      <c r="C491" s="23"/>
      <c r="F491" s="23"/>
    </row>
    <row r="492" ht="15.75" customHeight="1">
      <c r="A492" s="23"/>
      <c r="B492" s="23"/>
      <c r="C492" s="23"/>
      <c r="F492" s="23"/>
    </row>
    <row r="493" ht="15.75" customHeight="1">
      <c r="A493" s="23"/>
      <c r="B493" s="23"/>
      <c r="C493" s="23"/>
      <c r="F493" s="23"/>
    </row>
    <row r="494" ht="15.75" customHeight="1">
      <c r="A494" s="23"/>
      <c r="B494" s="23"/>
      <c r="C494" s="23"/>
      <c r="F494" s="23"/>
    </row>
    <row r="495" ht="15.75" customHeight="1">
      <c r="A495" s="23"/>
      <c r="B495" s="23"/>
      <c r="C495" s="23"/>
      <c r="F495" s="23"/>
    </row>
    <row r="496" ht="15.75" customHeight="1">
      <c r="A496" s="23"/>
      <c r="B496" s="23"/>
      <c r="C496" s="23"/>
      <c r="F496" s="23"/>
    </row>
    <row r="497" ht="15.75" customHeight="1">
      <c r="A497" s="23"/>
      <c r="B497" s="23"/>
      <c r="C497" s="23"/>
      <c r="F497" s="23"/>
    </row>
    <row r="498" ht="15.75" customHeight="1">
      <c r="A498" s="23"/>
      <c r="B498" s="23"/>
      <c r="C498" s="23"/>
      <c r="F498" s="23"/>
    </row>
    <row r="499" ht="15.75" customHeight="1">
      <c r="A499" s="23"/>
      <c r="B499" s="23"/>
      <c r="C499" s="23"/>
      <c r="F499" s="23"/>
    </row>
    <row r="500" ht="15.75" customHeight="1">
      <c r="A500" s="23"/>
      <c r="B500" s="23"/>
      <c r="C500" s="23"/>
      <c r="F500" s="23"/>
    </row>
    <row r="501" ht="15.75" customHeight="1">
      <c r="A501" s="23"/>
      <c r="B501" s="23"/>
      <c r="C501" s="23"/>
      <c r="F501" s="23"/>
    </row>
    <row r="502" ht="15.75" customHeight="1">
      <c r="A502" s="23"/>
      <c r="B502" s="23"/>
      <c r="C502" s="23"/>
      <c r="F502" s="23"/>
    </row>
    <row r="503" ht="15.75" customHeight="1">
      <c r="A503" s="23"/>
      <c r="B503" s="23"/>
      <c r="C503" s="23"/>
      <c r="F503" s="23"/>
    </row>
    <row r="504" ht="15.75" customHeight="1">
      <c r="A504" s="23"/>
      <c r="B504" s="23"/>
      <c r="C504" s="23"/>
      <c r="F504" s="23"/>
    </row>
    <row r="505" ht="15.75" customHeight="1">
      <c r="A505" s="23"/>
      <c r="B505" s="23"/>
      <c r="C505" s="23"/>
      <c r="F505" s="23"/>
    </row>
    <row r="506" ht="15.75" customHeight="1">
      <c r="A506" s="23"/>
      <c r="B506" s="23"/>
      <c r="C506" s="23"/>
      <c r="F506" s="23"/>
    </row>
    <row r="507" ht="15.75" customHeight="1">
      <c r="A507" s="23"/>
      <c r="B507" s="23"/>
      <c r="C507" s="23"/>
      <c r="F507" s="23"/>
    </row>
    <row r="508" ht="15.75" customHeight="1">
      <c r="A508" s="23"/>
      <c r="B508" s="23"/>
      <c r="C508" s="23"/>
      <c r="F508" s="23"/>
    </row>
    <row r="509" ht="15.75" customHeight="1">
      <c r="A509" s="23"/>
      <c r="B509" s="23"/>
      <c r="C509" s="23"/>
      <c r="F509" s="23"/>
    </row>
    <row r="510" ht="15.75" customHeight="1">
      <c r="A510" s="23"/>
      <c r="B510" s="23"/>
      <c r="C510" s="23"/>
      <c r="F510" s="23"/>
    </row>
    <row r="511" ht="15.75" customHeight="1">
      <c r="A511" s="23"/>
      <c r="B511" s="23"/>
      <c r="C511" s="23"/>
      <c r="F511" s="23"/>
    </row>
    <row r="512" ht="15.75" customHeight="1">
      <c r="A512" s="23"/>
      <c r="B512" s="23"/>
      <c r="C512" s="23"/>
      <c r="F512" s="23"/>
    </row>
    <row r="513" ht="15.75" customHeight="1">
      <c r="A513" s="23"/>
      <c r="B513" s="23"/>
      <c r="C513" s="23"/>
      <c r="F513" s="23"/>
    </row>
    <row r="514" ht="15.75" customHeight="1">
      <c r="A514" s="23"/>
      <c r="B514" s="23"/>
      <c r="C514" s="23"/>
      <c r="F514" s="23"/>
    </row>
    <row r="515" ht="15.75" customHeight="1">
      <c r="A515" s="23"/>
      <c r="B515" s="23"/>
      <c r="C515" s="23"/>
      <c r="F515" s="23"/>
    </row>
    <row r="516" ht="15.75" customHeight="1">
      <c r="A516" s="23"/>
      <c r="B516" s="23"/>
      <c r="C516" s="23"/>
      <c r="F516" s="23"/>
    </row>
    <row r="517" ht="15.75" customHeight="1">
      <c r="A517" s="23"/>
      <c r="B517" s="23"/>
      <c r="C517" s="23"/>
      <c r="F517" s="23"/>
    </row>
    <row r="518" ht="15.75" customHeight="1">
      <c r="A518" s="23"/>
      <c r="B518" s="23"/>
      <c r="C518" s="23"/>
      <c r="F518" s="23"/>
    </row>
    <row r="519" ht="15.75" customHeight="1">
      <c r="A519" s="23"/>
      <c r="B519" s="23"/>
      <c r="C519" s="23"/>
      <c r="F519" s="23"/>
    </row>
    <row r="520" ht="15.75" customHeight="1">
      <c r="A520" s="23"/>
      <c r="B520" s="23"/>
      <c r="C520" s="23"/>
      <c r="F520" s="23"/>
    </row>
    <row r="521" ht="15.75" customHeight="1">
      <c r="A521" s="23"/>
      <c r="B521" s="23"/>
      <c r="C521" s="23"/>
      <c r="F521" s="23"/>
    </row>
    <row r="522" ht="15.75" customHeight="1">
      <c r="A522" s="23"/>
      <c r="B522" s="23"/>
      <c r="C522" s="23"/>
      <c r="F522" s="23"/>
    </row>
    <row r="523" ht="15.75" customHeight="1">
      <c r="A523" s="23"/>
      <c r="B523" s="23"/>
      <c r="C523" s="23"/>
      <c r="F523" s="23"/>
    </row>
    <row r="524" ht="15.75" customHeight="1">
      <c r="A524" s="23"/>
      <c r="B524" s="23"/>
      <c r="C524" s="23"/>
      <c r="F524" s="23"/>
    </row>
    <row r="525" ht="15.75" customHeight="1">
      <c r="A525" s="23"/>
      <c r="B525" s="23"/>
      <c r="C525" s="23"/>
      <c r="F525" s="23"/>
    </row>
    <row r="526" ht="15.75" customHeight="1">
      <c r="A526" s="23"/>
      <c r="B526" s="23"/>
      <c r="C526" s="23"/>
      <c r="F526" s="23"/>
    </row>
    <row r="527" ht="15.75" customHeight="1">
      <c r="A527" s="23"/>
      <c r="B527" s="23"/>
      <c r="C527" s="23"/>
      <c r="F527" s="23"/>
    </row>
    <row r="528" ht="15.75" customHeight="1">
      <c r="A528" s="23"/>
      <c r="B528" s="23"/>
      <c r="C528" s="23"/>
      <c r="F528" s="23"/>
    </row>
    <row r="529" ht="15.75" customHeight="1">
      <c r="A529" s="23"/>
      <c r="B529" s="23"/>
      <c r="C529" s="23"/>
      <c r="F529" s="23"/>
    </row>
    <row r="530" ht="15.75" customHeight="1">
      <c r="A530" s="23"/>
      <c r="B530" s="23"/>
      <c r="C530" s="23"/>
      <c r="F530" s="23"/>
    </row>
    <row r="531" ht="15.75" customHeight="1">
      <c r="A531" s="23"/>
      <c r="B531" s="23"/>
      <c r="C531" s="23"/>
      <c r="F531" s="23"/>
    </row>
    <row r="532" ht="15.75" customHeight="1">
      <c r="A532" s="23"/>
      <c r="B532" s="23"/>
      <c r="C532" s="23"/>
      <c r="F532" s="23"/>
    </row>
    <row r="533" ht="15.75" customHeight="1">
      <c r="A533" s="23"/>
      <c r="B533" s="23"/>
      <c r="C533" s="23"/>
      <c r="F533" s="23"/>
    </row>
    <row r="534" ht="15.75" customHeight="1">
      <c r="A534" s="23"/>
      <c r="B534" s="23"/>
      <c r="C534" s="23"/>
      <c r="F534" s="23"/>
    </row>
    <row r="535" ht="15.75" customHeight="1">
      <c r="A535" s="23"/>
      <c r="B535" s="23"/>
      <c r="C535" s="23"/>
      <c r="F535" s="23"/>
    </row>
    <row r="536" ht="15.75" customHeight="1">
      <c r="A536" s="23"/>
      <c r="B536" s="23"/>
      <c r="C536" s="23"/>
      <c r="F536" s="23"/>
    </row>
    <row r="537" ht="15.75" customHeight="1">
      <c r="A537" s="23"/>
      <c r="B537" s="23"/>
      <c r="C537" s="23"/>
      <c r="F537" s="23"/>
    </row>
    <row r="538" ht="15.75" customHeight="1">
      <c r="A538" s="23"/>
      <c r="B538" s="23"/>
      <c r="C538" s="23"/>
      <c r="F538" s="23"/>
    </row>
    <row r="539" ht="15.75" customHeight="1">
      <c r="A539" s="23"/>
      <c r="B539" s="23"/>
      <c r="C539" s="23"/>
      <c r="F539" s="23"/>
    </row>
    <row r="540" ht="15.75" customHeight="1">
      <c r="A540" s="23"/>
      <c r="B540" s="23"/>
      <c r="C540" s="23"/>
      <c r="F540" s="23"/>
    </row>
    <row r="541" ht="15.75" customHeight="1">
      <c r="A541" s="23"/>
      <c r="B541" s="23"/>
      <c r="C541" s="23"/>
      <c r="F541" s="23"/>
    </row>
    <row r="542" ht="15.75" customHeight="1">
      <c r="A542" s="23"/>
      <c r="B542" s="23"/>
      <c r="C542" s="23"/>
      <c r="F542" s="23"/>
    </row>
    <row r="543" ht="15.75" customHeight="1">
      <c r="A543" s="23"/>
      <c r="B543" s="23"/>
      <c r="C543" s="23"/>
      <c r="F543" s="23"/>
    </row>
    <row r="544" ht="15.75" customHeight="1">
      <c r="A544" s="23"/>
      <c r="B544" s="23"/>
      <c r="C544" s="23"/>
      <c r="F544" s="23"/>
    </row>
    <row r="545" ht="15.75" customHeight="1">
      <c r="A545" s="23"/>
      <c r="B545" s="23"/>
      <c r="C545" s="23"/>
      <c r="F545" s="23"/>
    </row>
    <row r="546" ht="15.75" customHeight="1">
      <c r="A546" s="23"/>
      <c r="B546" s="23"/>
      <c r="C546" s="23"/>
      <c r="F546" s="23"/>
    </row>
    <row r="547" ht="15.75" customHeight="1">
      <c r="A547" s="23"/>
      <c r="B547" s="23"/>
      <c r="C547" s="23"/>
      <c r="F547" s="23"/>
    </row>
    <row r="548" ht="15.75" customHeight="1">
      <c r="A548" s="23"/>
      <c r="B548" s="23"/>
      <c r="C548" s="23"/>
      <c r="F548" s="23"/>
    </row>
    <row r="549" ht="15.75" customHeight="1">
      <c r="A549" s="23"/>
      <c r="B549" s="23"/>
      <c r="C549" s="23"/>
      <c r="F549" s="23"/>
    </row>
    <row r="550" ht="15.75" customHeight="1">
      <c r="A550" s="23"/>
      <c r="B550" s="23"/>
      <c r="C550" s="23"/>
      <c r="F550" s="23"/>
    </row>
    <row r="551" ht="15.75" customHeight="1">
      <c r="A551" s="23"/>
      <c r="B551" s="23"/>
      <c r="C551" s="23"/>
      <c r="F551" s="23"/>
    </row>
    <row r="552" ht="15.75" customHeight="1">
      <c r="A552" s="23"/>
      <c r="B552" s="23"/>
      <c r="C552" s="23"/>
      <c r="F552" s="23"/>
    </row>
    <row r="553" ht="15.75" customHeight="1">
      <c r="A553" s="23"/>
      <c r="B553" s="23"/>
      <c r="C553" s="23"/>
      <c r="F553" s="23"/>
    </row>
    <row r="554" ht="15.75" customHeight="1">
      <c r="A554" s="23"/>
      <c r="B554" s="23"/>
      <c r="C554" s="23"/>
      <c r="F554" s="23"/>
    </row>
    <row r="555" ht="15.75" customHeight="1">
      <c r="A555" s="23"/>
      <c r="B555" s="23"/>
      <c r="C555" s="23"/>
      <c r="F555" s="23"/>
    </row>
    <row r="556" ht="15.75" customHeight="1">
      <c r="A556" s="23"/>
      <c r="B556" s="23"/>
      <c r="C556" s="23"/>
      <c r="F556" s="23"/>
    </row>
    <row r="557" ht="15.75" customHeight="1">
      <c r="A557" s="23"/>
      <c r="B557" s="23"/>
      <c r="C557" s="23"/>
      <c r="F557" s="23"/>
    </row>
    <row r="558" ht="15.75" customHeight="1">
      <c r="A558" s="23"/>
      <c r="B558" s="23"/>
      <c r="C558" s="23"/>
      <c r="F558" s="23"/>
    </row>
    <row r="559" ht="15.75" customHeight="1">
      <c r="A559" s="23"/>
      <c r="B559" s="23"/>
      <c r="C559" s="23"/>
      <c r="F559" s="23"/>
    </row>
    <row r="560" ht="15.75" customHeight="1">
      <c r="A560" s="23"/>
      <c r="B560" s="23"/>
      <c r="C560" s="23"/>
      <c r="F560" s="23"/>
    </row>
    <row r="561" ht="15.75" customHeight="1">
      <c r="A561" s="23"/>
      <c r="B561" s="23"/>
      <c r="C561" s="23"/>
      <c r="F561" s="23"/>
    </row>
    <row r="562" ht="15.75" customHeight="1">
      <c r="A562" s="23"/>
      <c r="B562" s="23"/>
      <c r="C562" s="23"/>
      <c r="F562" s="23"/>
    </row>
    <row r="563" ht="15.75" customHeight="1">
      <c r="A563" s="23"/>
      <c r="B563" s="23"/>
      <c r="C563" s="23"/>
      <c r="F563" s="23"/>
    </row>
    <row r="564" ht="15.75" customHeight="1">
      <c r="A564" s="23"/>
      <c r="B564" s="23"/>
      <c r="C564" s="23"/>
      <c r="F564" s="23"/>
    </row>
    <row r="565" ht="15.75" customHeight="1">
      <c r="A565" s="23"/>
      <c r="B565" s="23"/>
      <c r="C565" s="23"/>
      <c r="F565" s="23"/>
    </row>
    <row r="566" ht="15.75" customHeight="1">
      <c r="A566" s="23"/>
      <c r="B566" s="23"/>
      <c r="C566" s="23"/>
      <c r="F566" s="23"/>
    </row>
    <row r="567" ht="15.75" customHeight="1">
      <c r="A567" s="23"/>
      <c r="B567" s="23"/>
      <c r="C567" s="23"/>
      <c r="F567" s="23"/>
    </row>
    <row r="568" ht="15.75" customHeight="1">
      <c r="A568" s="23"/>
      <c r="B568" s="23"/>
      <c r="C568" s="23"/>
      <c r="F568" s="23"/>
    </row>
    <row r="569" ht="15.75" customHeight="1">
      <c r="A569" s="23"/>
      <c r="B569" s="23"/>
      <c r="C569" s="23"/>
      <c r="F569" s="23"/>
    </row>
    <row r="570" ht="15.75" customHeight="1">
      <c r="A570" s="23"/>
      <c r="B570" s="23"/>
      <c r="C570" s="23"/>
      <c r="F570" s="23"/>
    </row>
    <row r="571" ht="15.75" customHeight="1">
      <c r="A571" s="23"/>
      <c r="B571" s="23"/>
      <c r="C571" s="23"/>
      <c r="F571" s="23"/>
    </row>
    <row r="572" ht="15.75" customHeight="1">
      <c r="A572" s="23"/>
      <c r="B572" s="23"/>
      <c r="C572" s="23"/>
      <c r="F572" s="23"/>
    </row>
    <row r="573" ht="15.75" customHeight="1">
      <c r="A573" s="23"/>
      <c r="B573" s="23"/>
      <c r="C573" s="23"/>
      <c r="F573" s="23"/>
    </row>
    <row r="574" ht="15.75" customHeight="1">
      <c r="A574" s="23"/>
      <c r="B574" s="23"/>
      <c r="C574" s="23"/>
      <c r="F574" s="23"/>
    </row>
    <row r="575" ht="15.75" customHeight="1">
      <c r="A575" s="23"/>
      <c r="B575" s="23"/>
      <c r="C575" s="23"/>
      <c r="F575" s="23"/>
    </row>
    <row r="576" ht="15.75" customHeight="1">
      <c r="A576" s="23"/>
      <c r="B576" s="23"/>
      <c r="C576" s="23"/>
      <c r="F576" s="23"/>
    </row>
    <row r="577" ht="15.75" customHeight="1">
      <c r="A577" s="23"/>
      <c r="B577" s="23"/>
      <c r="C577" s="23"/>
      <c r="F577" s="23"/>
    </row>
    <row r="578" ht="15.75" customHeight="1">
      <c r="A578" s="23"/>
      <c r="B578" s="23"/>
      <c r="C578" s="23"/>
      <c r="F578" s="23"/>
    </row>
    <row r="579" ht="15.75" customHeight="1">
      <c r="A579" s="23"/>
      <c r="B579" s="23"/>
      <c r="C579" s="23"/>
      <c r="F579" s="23"/>
    </row>
    <row r="580" ht="15.75" customHeight="1">
      <c r="A580" s="23"/>
      <c r="B580" s="23"/>
      <c r="C580" s="23"/>
      <c r="F580" s="23"/>
    </row>
    <row r="581" ht="15.75" customHeight="1">
      <c r="A581" s="23"/>
      <c r="B581" s="23"/>
      <c r="C581" s="23"/>
      <c r="F581" s="23"/>
    </row>
    <row r="582" ht="15.75" customHeight="1">
      <c r="A582" s="23"/>
      <c r="B582" s="23"/>
      <c r="C582" s="23"/>
      <c r="F582" s="23"/>
    </row>
    <row r="583" ht="15.75" customHeight="1">
      <c r="A583" s="23"/>
      <c r="B583" s="23"/>
      <c r="C583" s="23"/>
      <c r="F583" s="23"/>
    </row>
    <row r="584" ht="15.75" customHeight="1">
      <c r="A584" s="23"/>
      <c r="B584" s="23"/>
      <c r="C584" s="23"/>
      <c r="F584" s="23"/>
    </row>
    <row r="585" ht="15.75" customHeight="1">
      <c r="A585" s="23"/>
      <c r="B585" s="23"/>
      <c r="C585" s="23"/>
      <c r="F585" s="23"/>
    </row>
    <row r="586" ht="15.75" customHeight="1">
      <c r="A586" s="23"/>
      <c r="B586" s="23"/>
      <c r="C586" s="23"/>
      <c r="F586" s="23"/>
    </row>
    <row r="587" ht="15.75" customHeight="1">
      <c r="A587" s="23"/>
      <c r="B587" s="23"/>
      <c r="C587" s="23"/>
      <c r="F587" s="23"/>
    </row>
    <row r="588" ht="15.75" customHeight="1">
      <c r="A588" s="23"/>
      <c r="B588" s="23"/>
      <c r="C588" s="23"/>
      <c r="F588" s="23"/>
    </row>
    <row r="589" ht="15.75" customHeight="1">
      <c r="A589" s="23"/>
      <c r="B589" s="23"/>
      <c r="C589" s="23"/>
      <c r="F589" s="23"/>
    </row>
    <row r="590" ht="15.75" customHeight="1">
      <c r="A590" s="23"/>
      <c r="B590" s="23"/>
      <c r="C590" s="23"/>
      <c r="F590" s="23"/>
    </row>
    <row r="591" ht="15.75" customHeight="1">
      <c r="A591" s="23"/>
      <c r="B591" s="23"/>
      <c r="C591" s="23"/>
      <c r="F591" s="23"/>
    </row>
    <row r="592" ht="15.75" customHeight="1">
      <c r="A592" s="23"/>
      <c r="B592" s="23"/>
      <c r="C592" s="23"/>
      <c r="F592" s="23"/>
    </row>
    <row r="593" ht="15.75" customHeight="1">
      <c r="A593" s="23"/>
      <c r="B593" s="23"/>
      <c r="C593" s="23"/>
      <c r="F593" s="23"/>
    </row>
    <row r="594" ht="15.75" customHeight="1">
      <c r="A594" s="23"/>
      <c r="B594" s="23"/>
      <c r="C594" s="23"/>
      <c r="F594" s="23"/>
    </row>
    <row r="595" ht="15.75" customHeight="1">
      <c r="A595" s="23"/>
      <c r="B595" s="23"/>
      <c r="C595" s="23"/>
      <c r="F595" s="23"/>
    </row>
    <row r="596" ht="15.75" customHeight="1">
      <c r="A596" s="23"/>
      <c r="B596" s="23"/>
      <c r="C596" s="23"/>
      <c r="F596" s="23"/>
    </row>
    <row r="597" ht="15.75" customHeight="1">
      <c r="A597" s="23"/>
      <c r="B597" s="23"/>
      <c r="C597" s="23"/>
      <c r="F597" s="23"/>
    </row>
    <row r="598" ht="15.75" customHeight="1">
      <c r="A598" s="23"/>
      <c r="B598" s="23"/>
      <c r="C598" s="23"/>
      <c r="F598" s="23"/>
    </row>
    <row r="599" ht="15.75" customHeight="1">
      <c r="A599" s="23"/>
      <c r="B599" s="23"/>
      <c r="C599" s="23"/>
      <c r="F599" s="23"/>
    </row>
    <row r="600" ht="15.75" customHeight="1">
      <c r="A600" s="23"/>
      <c r="B600" s="23"/>
      <c r="C600" s="23"/>
      <c r="F600" s="23"/>
    </row>
    <row r="601" ht="15.75" customHeight="1">
      <c r="A601" s="23"/>
      <c r="B601" s="23"/>
      <c r="C601" s="23"/>
      <c r="F601" s="23"/>
    </row>
    <row r="602" ht="15.75" customHeight="1">
      <c r="A602" s="23"/>
      <c r="B602" s="23"/>
      <c r="C602" s="23"/>
      <c r="F602" s="23"/>
    </row>
    <row r="603" ht="15.75" customHeight="1">
      <c r="A603" s="23"/>
      <c r="B603" s="23"/>
      <c r="C603" s="23"/>
      <c r="F603" s="23"/>
    </row>
    <row r="604" ht="15.75" customHeight="1">
      <c r="A604" s="23"/>
      <c r="B604" s="23"/>
      <c r="C604" s="23"/>
      <c r="F604" s="23"/>
    </row>
    <row r="605" ht="15.75" customHeight="1">
      <c r="A605" s="23"/>
      <c r="B605" s="23"/>
      <c r="C605" s="23"/>
      <c r="F605" s="23"/>
    </row>
    <row r="606" ht="15.75" customHeight="1">
      <c r="A606" s="23"/>
      <c r="B606" s="23"/>
      <c r="C606" s="23"/>
      <c r="F606" s="23"/>
    </row>
    <row r="607" ht="15.75" customHeight="1">
      <c r="A607" s="23"/>
      <c r="B607" s="23"/>
      <c r="C607" s="23"/>
      <c r="F607" s="23"/>
    </row>
    <row r="608" ht="15.75" customHeight="1">
      <c r="A608" s="23"/>
      <c r="B608" s="23"/>
      <c r="C608" s="23"/>
      <c r="F608" s="23"/>
    </row>
    <row r="609" ht="15.75" customHeight="1">
      <c r="A609" s="23"/>
      <c r="B609" s="23"/>
      <c r="C609" s="23"/>
      <c r="F609" s="23"/>
    </row>
    <row r="610" ht="15.75" customHeight="1">
      <c r="A610" s="23"/>
      <c r="B610" s="23"/>
      <c r="C610" s="23"/>
      <c r="F610" s="23"/>
    </row>
    <row r="611" ht="15.75" customHeight="1">
      <c r="A611" s="23"/>
      <c r="B611" s="23"/>
      <c r="C611" s="23"/>
      <c r="F611" s="23"/>
    </row>
    <row r="612" ht="15.75" customHeight="1">
      <c r="A612" s="23"/>
      <c r="B612" s="23"/>
      <c r="C612" s="23"/>
      <c r="F612" s="23"/>
    </row>
    <row r="613" ht="15.75" customHeight="1">
      <c r="A613" s="23"/>
      <c r="B613" s="23"/>
      <c r="C613" s="23"/>
      <c r="F613" s="23"/>
    </row>
    <row r="614" ht="15.75" customHeight="1">
      <c r="A614" s="23"/>
      <c r="B614" s="23"/>
      <c r="C614" s="23"/>
      <c r="F614" s="23"/>
    </row>
    <row r="615" ht="15.75" customHeight="1">
      <c r="A615" s="23"/>
      <c r="B615" s="23"/>
      <c r="C615" s="23"/>
      <c r="F615" s="23"/>
    </row>
    <row r="616" ht="15.75" customHeight="1">
      <c r="A616" s="23"/>
      <c r="B616" s="23"/>
      <c r="C616" s="23"/>
      <c r="F616" s="23"/>
    </row>
    <row r="617" ht="15.75" customHeight="1">
      <c r="A617" s="23"/>
      <c r="B617" s="23"/>
      <c r="C617" s="23"/>
      <c r="F617" s="23"/>
    </row>
    <row r="618" ht="15.75" customHeight="1">
      <c r="A618" s="23"/>
      <c r="B618" s="23"/>
      <c r="C618" s="23"/>
      <c r="F618" s="23"/>
    </row>
    <row r="619" ht="15.75" customHeight="1">
      <c r="A619" s="23"/>
      <c r="B619" s="23"/>
      <c r="C619" s="23"/>
      <c r="F619" s="23"/>
    </row>
    <row r="620" ht="15.75" customHeight="1">
      <c r="A620" s="23"/>
      <c r="B620" s="23"/>
      <c r="C620" s="23"/>
      <c r="F620" s="23"/>
    </row>
    <row r="621" ht="15.75" customHeight="1">
      <c r="A621" s="23"/>
      <c r="B621" s="23"/>
      <c r="C621" s="23"/>
      <c r="F621" s="23"/>
    </row>
    <row r="622" ht="15.75" customHeight="1">
      <c r="A622" s="23"/>
      <c r="B622" s="23"/>
      <c r="C622" s="23"/>
      <c r="F622" s="23"/>
    </row>
    <row r="623" ht="15.75" customHeight="1">
      <c r="A623" s="23"/>
      <c r="B623" s="23"/>
      <c r="C623" s="23"/>
      <c r="F623" s="23"/>
    </row>
    <row r="624" ht="15.75" customHeight="1">
      <c r="A624" s="23"/>
      <c r="B624" s="23"/>
      <c r="C624" s="23"/>
      <c r="F624" s="23"/>
    </row>
    <row r="625" ht="15.75" customHeight="1">
      <c r="A625" s="23"/>
      <c r="B625" s="23"/>
      <c r="C625" s="23"/>
      <c r="F625" s="23"/>
    </row>
    <row r="626" ht="15.75" customHeight="1">
      <c r="A626" s="23"/>
      <c r="B626" s="23"/>
      <c r="C626" s="23"/>
      <c r="F626" s="23"/>
    </row>
    <row r="627" ht="15.75" customHeight="1">
      <c r="A627" s="23"/>
      <c r="B627" s="23"/>
      <c r="C627" s="23"/>
      <c r="F627" s="23"/>
    </row>
    <row r="628" ht="15.75" customHeight="1">
      <c r="A628" s="23"/>
      <c r="B628" s="23"/>
      <c r="C628" s="23"/>
      <c r="F628" s="23"/>
    </row>
    <row r="629" ht="15.75" customHeight="1">
      <c r="A629" s="23"/>
      <c r="B629" s="23"/>
      <c r="C629" s="23"/>
      <c r="F629" s="23"/>
    </row>
    <row r="630" ht="15.75" customHeight="1">
      <c r="A630" s="23"/>
      <c r="B630" s="23"/>
      <c r="C630" s="23"/>
      <c r="F630" s="23"/>
    </row>
    <row r="631" ht="15.75" customHeight="1">
      <c r="A631" s="23"/>
      <c r="B631" s="23"/>
      <c r="C631" s="23"/>
      <c r="F631" s="23"/>
    </row>
    <row r="632" ht="15.75" customHeight="1">
      <c r="A632" s="23"/>
      <c r="B632" s="23"/>
      <c r="C632" s="23"/>
      <c r="F632" s="23"/>
    </row>
    <row r="633" ht="15.75" customHeight="1">
      <c r="A633" s="23"/>
      <c r="B633" s="23"/>
      <c r="C633" s="23"/>
      <c r="F633" s="23"/>
    </row>
    <row r="634" ht="15.75" customHeight="1">
      <c r="A634" s="23"/>
      <c r="B634" s="23"/>
      <c r="C634" s="23"/>
      <c r="F634" s="23"/>
    </row>
    <row r="635" ht="15.75" customHeight="1">
      <c r="A635" s="23"/>
      <c r="B635" s="23"/>
      <c r="C635" s="23"/>
      <c r="F635" s="23"/>
    </row>
    <row r="636" ht="15.75" customHeight="1">
      <c r="A636" s="23"/>
      <c r="B636" s="23"/>
      <c r="C636" s="23"/>
      <c r="F636" s="23"/>
    </row>
    <row r="637" ht="15.75" customHeight="1">
      <c r="A637" s="23"/>
      <c r="B637" s="23"/>
      <c r="C637" s="23"/>
      <c r="F637" s="23"/>
    </row>
    <row r="638" ht="15.75" customHeight="1">
      <c r="A638" s="23"/>
      <c r="B638" s="23"/>
      <c r="C638" s="23"/>
      <c r="F638" s="23"/>
    </row>
    <row r="639" ht="15.75" customHeight="1">
      <c r="A639" s="23"/>
      <c r="B639" s="23"/>
      <c r="C639" s="23"/>
      <c r="F639" s="23"/>
    </row>
    <row r="640" ht="15.75" customHeight="1">
      <c r="A640" s="23"/>
      <c r="B640" s="23"/>
      <c r="C640" s="23"/>
      <c r="F640" s="23"/>
    </row>
    <row r="641" ht="15.75" customHeight="1">
      <c r="A641" s="23"/>
      <c r="B641" s="23"/>
      <c r="C641" s="23"/>
      <c r="F641" s="23"/>
    </row>
    <row r="642" ht="15.75" customHeight="1">
      <c r="A642" s="23"/>
      <c r="B642" s="23"/>
      <c r="C642" s="23"/>
      <c r="F642" s="23"/>
    </row>
    <row r="643" ht="15.75" customHeight="1">
      <c r="A643" s="23"/>
      <c r="B643" s="23"/>
      <c r="C643" s="23"/>
      <c r="F643" s="23"/>
    </row>
    <row r="644" ht="15.75" customHeight="1">
      <c r="A644" s="23"/>
      <c r="B644" s="23"/>
      <c r="C644" s="23"/>
      <c r="F644" s="23"/>
    </row>
    <row r="645" ht="15.75" customHeight="1">
      <c r="A645" s="23"/>
      <c r="B645" s="23"/>
      <c r="C645" s="23"/>
      <c r="F645" s="23"/>
    </row>
    <row r="646" ht="15.75" customHeight="1">
      <c r="A646" s="23"/>
      <c r="B646" s="23"/>
      <c r="C646" s="23"/>
      <c r="F646" s="23"/>
    </row>
    <row r="647" ht="15.75" customHeight="1">
      <c r="A647" s="23"/>
      <c r="B647" s="23"/>
      <c r="C647" s="23"/>
      <c r="F647" s="23"/>
    </row>
    <row r="648" ht="15.75" customHeight="1">
      <c r="A648" s="23"/>
      <c r="B648" s="23"/>
      <c r="C648" s="23"/>
      <c r="F648" s="23"/>
    </row>
    <row r="649" ht="15.75" customHeight="1">
      <c r="A649" s="23"/>
      <c r="B649" s="23"/>
      <c r="C649" s="23"/>
      <c r="F649" s="23"/>
    </row>
    <row r="650" ht="15.75" customHeight="1">
      <c r="A650" s="23"/>
      <c r="B650" s="23"/>
      <c r="C650" s="23"/>
      <c r="F650" s="23"/>
    </row>
    <row r="651" ht="15.75" customHeight="1">
      <c r="A651" s="23"/>
      <c r="B651" s="23"/>
      <c r="C651" s="23"/>
      <c r="F651" s="23"/>
    </row>
    <row r="652" ht="15.75" customHeight="1">
      <c r="A652" s="23"/>
      <c r="B652" s="23"/>
      <c r="C652" s="23"/>
      <c r="F652" s="23"/>
    </row>
    <row r="653" ht="15.75" customHeight="1">
      <c r="A653" s="23"/>
      <c r="B653" s="23"/>
      <c r="C653" s="23"/>
      <c r="F653" s="23"/>
    </row>
    <row r="654" ht="15.75" customHeight="1">
      <c r="A654" s="23"/>
      <c r="B654" s="23"/>
      <c r="C654" s="23"/>
      <c r="F654" s="23"/>
    </row>
    <row r="655" ht="15.75" customHeight="1">
      <c r="A655" s="23"/>
      <c r="B655" s="23"/>
      <c r="C655" s="23"/>
      <c r="F655" s="23"/>
    </row>
    <row r="656" ht="15.75" customHeight="1">
      <c r="A656" s="23"/>
      <c r="B656" s="23"/>
      <c r="C656" s="23"/>
      <c r="F656" s="23"/>
    </row>
    <row r="657" ht="15.75" customHeight="1">
      <c r="A657" s="23"/>
      <c r="B657" s="23"/>
      <c r="C657" s="23"/>
      <c r="F657" s="23"/>
    </row>
    <row r="658" ht="15.75" customHeight="1">
      <c r="A658" s="23"/>
      <c r="B658" s="23"/>
      <c r="C658" s="23"/>
      <c r="F658" s="23"/>
    </row>
    <row r="659" ht="15.75" customHeight="1">
      <c r="A659" s="23"/>
      <c r="B659" s="23"/>
      <c r="C659" s="23"/>
      <c r="F659" s="23"/>
    </row>
    <row r="660" ht="15.75" customHeight="1">
      <c r="A660" s="23"/>
      <c r="B660" s="23"/>
      <c r="C660" s="23"/>
      <c r="F660" s="23"/>
    </row>
    <row r="661" ht="15.75" customHeight="1">
      <c r="A661" s="23"/>
      <c r="B661" s="23"/>
      <c r="C661" s="23"/>
      <c r="F661" s="23"/>
    </row>
    <row r="662" ht="15.75" customHeight="1">
      <c r="A662" s="23"/>
      <c r="B662" s="23"/>
      <c r="C662" s="23"/>
      <c r="F662" s="23"/>
    </row>
    <row r="663" ht="15.75" customHeight="1">
      <c r="A663" s="23"/>
      <c r="B663" s="23"/>
      <c r="C663" s="23"/>
      <c r="F663" s="23"/>
    </row>
    <row r="664" ht="15.75" customHeight="1">
      <c r="A664" s="23"/>
      <c r="B664" s="23"/>
      <c r="C664" s="23"/>
      <c r="F664" s="23"/>
    </row>
    <row r="665" ht="15.75" customHeight="1">
      <c r="A665" s="23"/>
      <c r="B665" s="23"/>
      <c r="C665" s="23"/>
      <c r="F665" s="23"/>
    </row>
    <row r="666" ht="15.75" customHeight="1">
      <c r="A666" s="23"/>
      <c r="B666" s="23"/>
      <c r="C666" s="23"/>
      <c r="F666" s="23"/>
    </row>
    <row r="667" ht="15.75" customHeight="1">
      <c r="A667" s="23"/>
      <c r="B667" s="23"/>
      <c r="C667" s="23"/>
      <c r="F667" s="23"/>
    </row>
    <row r="668" ht="15.75" customHeight="1">
      <c r="A668" s="23"/>
      <c r="B668" s="23"/>
      <c r="C668" s="23"/>
      <c r="F668" s="23"/>
    </row>
    <row r="669" ht="15.75" customHeight="1">
      <c r="A669" s="23"/>
      <c r="B669" s="23"/>
      <c r="C669" s="23"/>
      <c r="F669" s="23"/>
    </row>
    <row r="670" ht="15.75" customHeight="1">
      <c r="A670" s="23"/>
      <c r="B670" s="23"/>
      <c r="C670" s="23"/>
      <c r="F670" s="23"/>
    </row>
    <row r="671" ht="15.75" customHeight="1">
      <c r="A671" s="23"/>
      <c r="B671" s="23"/>
      <c r="C671" s="23"/>
      <c r="F671" s="23"/>
    </row>
    <row r="672" ht="15.75" customHeight="1">
      <c r="A672" s="23"/>
      <c r="B672" s="23"/>
      <c r="C672" s="23"/>
      <c r="F672" s="23"/>
    </row>
    <row r="673" ht="15.75" customHeight="1">
      <c r="A673" s="23"/>
      <c r="B673" s="23"/>
      <c r="C673" s="23"/>
      <c r="F673" s="23"/>
    </row>
    <row r="674" ht="15.75" customHeight="1">
      <c r="A674" s="23"/>
      <c r="B674" s="23"/>
      <c r="C674" s="23"/>
      <c r="F674" s="23"/>
    </row>
    <row r="675" ht="15.75" customHeight="1">
      <c r="A675" s="23"/>
      <c r="B675" s="23"/>
      <c r="C675" s="23"/>
      <c r="F675" s="23"/>
    </row>
    <row r="676" ht="15.75" customHeight="1">
      <c r="A676" s="23"/>
      <c r="B676" s="23"/>
      <c r="C676" s="23"/>
      <c r="F676" s="23"/>
    </row>
    <row r="677" ht="15.75" customHeight="1">
      <c r="A677" s="23"/>
      <c r="B677" s="23"/>
      <c r="C677" s="23"/>
      <c r="F677" s="23"/>
    </row>
    <row r="678" ht="15.75" customHeight="1">
      <c r="A678" s="23"/>
      <c r="B678" s="23"/>
      <c r="C678" s="23"/>
      <c r="F678" s="23"/>
    </row>
    <row r="679" ht="15.75" customHeight="1">
      <c r="A679" s="23"/>
      <c r="B679" s="23"/>
      <c r="C679" s="23"/>
      <c r="F679" s="23"/>
    </row>
    <row r="680" ht="15.75" customHeight="1">
      <c r="A680" s="23"/>
      <c r="B680" s="23"/>
      <c r="C680" s="23"/>
      <c r="F680" s="23"/>
    </row>
    <row r="681" ht="15.75" customHeight="1">
      <c r="A681" s="23"/>
      <c r="B681" s="23"/>
      <c r="C681" s="23"/>
      <c r="F681" s="23"/>
    </row>
    <row r="682" ht="15.75" customHeight="1">
      <c r="A682" s="23"/>
      <c r="B682" s="23"/>
      <c r="C682" s="23"/>
      <c r="F682" s="23"/>
    </row>
    <row r="683" ht="15.75" customHeight="1">
      <c r="A683" s="23"/>
      <c r="B683" s="23"/>
      <c r="C683" s="23"/>
      <c r="F683" s="23"/>
    </row>
    <row r="684" ht="15.75" customHeight="1">
      <c r="A684" s="23"/>
      <c r="B684" s="23"/>
      <c r="C684" s="23"/>
      <c r="F684" s="23"/>
    </row>
    <row r="685" ht="15.75" customHeight="1">
      <c r="A685" s="23"/>
      <c r="B685" s="23"/>
      <c r="C685" s="23"/>
      <c r="F685" s="23"/>
    </row>
    <row r="686" ht="15.75" customHeight="1">
      <c r="A686" s="23"/>
      <c r="B686" s="23"/>
      <c r="C686" s="23"/>
      <c r="F686" s="23"/>
    </row>
    <row r="687" ht="15.75" customHeight="1">
      <c r="A687" s="23"/>
      <c r="B687" s="23"/>
      <c r="C687" s="23"/>
      <c r="F687" s="23"/>
    </row>
    <row r="688" ht="15.75" customHeight="1">
      <c r="A688" s="23"/>
      <c r="B688" s="23"/>
      <c r="C688" s="23"/>
      <c r="F688" s="23"/>
    </row>
    <row r="689" ht="15.75" customHeight="1">
      <c r="A689" s="23"/>
      <c r="B689" s="23"/>
      <c r="C689" s="23"/>
      <c r="F689" s="23"/>
    </row>
    <row r="690" ht="15.75" customHeight="1">
      <c r="A690" s="23"/>
      <c r="B690" s="23"/>
      <c r="C690" s="23"/>
      <c r="F690" s="23"/>
    </row>
    <row r="691" ht="15.75" customHeight="1">
      <c r="A691" s="23"/>
      <c r="B691" s="23"/>
      <c r="C691" s="23"/>
      <c r="F691" s="23"/>
    </row>
    <row r="692" ht="15.75" customHeight="1">
      <c r="A692" s="23"/>
      <c r="B692" s="23"/>
      <c r="C692" s="23"/>
      <c r="F692" s="23"/>
    </row>
    <row r="693" ht="15.75" customHeight="1">
      <c r="A693" s="23"/>
      <c r="B693" s="23"/>
      <c r="C693" s="23"/>
      <c r="F693" s="23"/>
    </row>
    <row r="694" ht="15.75" customHeight="1">
      <c r="A694" s="23"/>
      <c r="B694" s="23"/>
      <c r="C694" s="23"/>
      <c r="F694" s="23"/>
    </row>
    <row r="695" ht="15.75" customHeight="1">
      <c r="A695" s="23"/>
      <c r="B695" s="23"/>
      <c r="C695" s="23"/>
      <c r="F695" s="23"/>
    </row>
    <row r="696" ht="15.75" customHeight="1">
      <c r="A696" s="23"/>
      <c r="B696" s="23"/>
      <c r="C696" s="23"/>
      <c r="F696" s="23"/>
    </row>
    <row r="697" ht="15.75" customHeight="1">
      <c r="A697" s="23"/>
      <c r="B697" s="23"/>
      <c r="C697" s="23"/>
      <c r="F697" s="23"/>
    </row>
    <row r="698" ht="15.75" customHeight="1">
      <c r="A698" s="23"/>
      <c r="B698" s="23"/>
      <c r="C698" s="23"/>
      <c r="F698" s="23"/>
    </row>
    <row r="699" ht="15.75" customHeight="1">
      <c r="A699" s="23"/>
      <c r="B699" s="23"/>
      <c r="C699" s="23"/>
      <c r="F699" s="23"/>
    </row>
    <row r="700" ht="15.75" customHeight="1">
      <c r="A700" s="23"/>
      <c r="B700" s="23"/>
      <c r="C700" s="23"/>
      <c r="F700" s="23"/>
    </row>
    <row r="701" ht="15.75" customHeight="1">
      <c r="A701" s="23"/>
      <c r="B701" s="23"/>
      <c r="C701" s="23"/>
      <c r="F701" s="23"/>
    </row>
    <row r="702" ht="15.75" customHeight="1">
      <c r="A702" s="23"/>
      <c r="B702" s="23"/>
      <c r="C702" s="23"/>
      <c r="F702" s="23"/>
    </row>
    <row r="703" ht="15.75" customHeight="1">
      <c r="A703" s="23"/>
      <c r="B703" s="23"/>
      <c r="C703" s="23"/>
      <c r="F703" s="23"/>
    </row>
    <row r="704" ht="15.75" customHeight="1">
      <c r="A704" s="23"/>
      <c r="B704" s="23"/>
      <c r="C704" s="23"/>
      <c r="F704" s="23"/>
    </row>
    <row r="705" ht="15.75" customHeight="1">
      <c r="A705" s="23"/>
      <c r="B705" s="23"/>
      <c r="C705" s="23"/>
      <c r="F705" s="23"/>
    </row>
    <row r="706" ht="15.75" customHeight="1">
      <c r="A706" s="23"/>
      <c r="B706" s="23"/>
      <c r="C706" s="23"/>
      <c r="F706" s="23"/>
    </row>
    <row r="707" ht="15.75" customHeight="1">
      <c r="A707" s="23"/>
      <c r="B707" s="23"/>
      <c r="C707" s="23"/>
      <c r="F707" s="23"/>
    </row>
    <row r="708" ht="15.75" customHeight="1">
      <c r="A708" s="23"/>
      <c r="B708" s="23"/>
      <c r="C708" s="23"/>
      <c r="F708" s="23"/>
    </row>
    <row r="709" ht="15.75" customHeight="1">
      <c r="A709" s="23"/>
      <c r="B709" s="23"/>
      <c r="C709" s="23"/>
      <c r="F709" s="23"/>
    </row>
    <row r="710" ht="15.75" customHeight="1">
      <c r="A710" s="23"/>
      <c r="B710" s="23"/>
      <c r="C710" s="23"/>
      <c r="F710" s="23"/>
    </row>
    <row r="711" ht="15.75" customHeight="1">
      <c r="A711" s="23"/>
      <c r="B711" s="23"/>
      <c r="C711" s="23"/>
      <c r="F711" s="23"/>
    </row>
    <row r="712" ht="15.75" customHeight="1">
      <c r="A712" s="23"/>
      <c r="B712" s="23"/>
      <c r="C712" s="23"/>
      <c r="F712" s="23"/>
    </row>
    <row r="713" ht="15.75" customHeight="1">
      <c r="A713" s="23"/>
      <c r="B713" s="23"/>
      <c r="C713" s="23"/>
      <c r="F713" s="23"/>
    </row>
    <row r="714" ht="15.75" customHeight="1">
      <c r="A714" s="23"/>
      <c r="B714" s="23"/>
      <c r="C714" s="23"/>
      <c r="F714" s="23"/>
    </row>
    <row r="715" ht="15.75" customHeight="1">
      <c r="A715" s="23"/>
      <c r="B715" s="23"/>
      <c r="C715" s="23"/>
      <c r="F715" s="23"/>
    </row>
    <row r="716" ht="15.75" customHeight="1">
      <c r="A716" s="23"/>
      <c r="B716" s="23"/>
      <c r="C716" s="23"/>
      <c r="F716" s="23"/>
    </row>
    <row r="717" ht="15.75" customHeight="1">
      <c r="A717" s="23"/>
      <c r="B717" s="23"/>
      <c r="C717" s="23"/>
      <c r="F717" s="23"/>
    </row>
    <row r="718" ht="15.75" customHeight="1">
      <c r="A718" s="23"/>
      <c r="B718" s="23"/>
      <c r="C718" s="23"/>
      <c r="F718" s="23"/>
    </row>
    <row r="719" ht="15.75" customHeight="1">
      <c r="A719" s="23"/>
      <c r="B719" s="23"/>
      <c r="C719" s="23"/>
      <c r="F719" s="23"/>
    </row>
    <row r="720" ht="15.75" customHeight="1">
      <c r="A720" s="23"/>
      <c r="B720" s="23"/>
      <c r="C720" s="23"/>
      <c r="F720" s="23"/>
    </row>
    <row r="721" ht="15.75" customHeight="1">
      <c r="A721" s="23"/>
      <c r="B721" s="23"/>
      <c r="C721" s="23"/>
      <c r="F721" s="23"/>
    </row>
    <row r="722" ht="15.75" customHeight="1">
      <c r="A722" s="23"/>
      <c r="B722" s="23"/>
      <c r="C722" s="23"/>
      <c r="F722" s="23"/>
    </row>
    <row r="723" ht="15.75" customHeight="1">
      <c r="A723" s="23"/>
      <c r="B723" s="23"/>
      <c r="C723" s="23"/>
      <c r="F723" s="23"/>
    </row>
    <row r="724" ht="15.75" customHeight="1">
      <c r="A724" s="23"/>
      <c r="B724" s="23"/>
      <c r="C724" s="23"/>
      <c r="F724" s="23"/>
    </row>
    <row r="725" ht="15.75" customHeight="1">
      <c r="A725" s="23"/>
      <c r="B725" s="23"/>
      <c r="C725" s="23"/>
      <c r="F725" s="23"/>
    </row>
    <row r="726" ht="15.75" customHeight="1">
      <c r="A726" s="23"/>
      <c r="B726" s="23"/>
      <c r="C726" s="23"/>
      <c r="F726" s="23"/>
    </row>
    <row r="727" ht="15.75" customHeight="1">
      <c r="A727" s="23"/>
      <c r="B727" s="23"/>
      <c r="C727" s="23"/>
      <c r="F727" s="23"/>
    </row>
    <row r="728" ht="15.75" customHeight="1">
      <c r="A728" s="23"/>
      <c r="B728" s="23"/>
      <c r="C728" s="23"/>
      <c r="F728" s="23"/>
    </row>
    <row r="729" ht="15.75" customHeight="1">
      <c r="A729" s="23"/>
      <c r="B729" s="23"/>
      <c r="C729" s="23"/>
      <c r="F729" s="23"/>
    </row>
    <row r="730" ht="15.75" customHeight="1">
      <c r="A730" s="23"/>
      <c r="B730" s="23"/>
      <c r="C730" s="23"/>
      <c r="F730" s="23"/>
    </row>
    <row r="731" ht="15.75" customHeight="1">
      <c r="A731" s="23"/>
      <c r="B731" s="23"/>
      <c r="C731" s="23"/>
      <c r="F731" s="23"/>
    </row>
    <row r="732" ht="15.75" customHeight="1">
      <c r="A732" s="23"/>
      <c r="B732" s="23"/>
      <c r="C732" s="23"/>
      <c r="F732" s="23"/>
    </row>
    <row r="733" ht="15.75" customHeight="1">
      <c r="A733" s="23"/>
      <c r="B733" s="23"/>
      <c r="C733" s="23"/>
      <c r="F733" s="23"/>
    </row>
    <row r="734" ht="15.75" customHeight="1">
      <c r="A734" s="23"/>
      <c r="B734" s="23"/>
      <c r="C734" s="23"/>
      <c r="F734" s="23"/>
    </row>
    <row r="735" ht="15.75" customHeight="1">
      <c r="A735" s="23"/>
      <c r="B735" s="23"/>
      <c r="C735" s="23"/>
      <c r="F735" s="23"/>
    </row>
    <row r="736" ht="15.75" customHeight="1">
      <c r="A736" s="23"/>
      <c r="B736" s="23"/>
      <c r="C736" s="23"/>
      <c r="F736" s="23"/>
    </row>
    <row r="737" ht="15.75" customHeight="1">
      <c r="A737" s="23"/>
      <c r="B737" s="23"/>
      <c r="C737" s="23"/>
      <c r="F737" s="23"/>
    </row>
    <row r="738" ht="15.75" customHeight="1">
      <c r="A738" s="23"/>
      <c r="B738" s="23"/>
      <c r="C738" s="23"/>
      <c r="F738" s="23"/>
    </row>
    <row r="739" ht="15.75" customHeight="1">
      <c r="A739" s="23"/>
      <c r="B739" s="23"/>
      <c r="C739" s="23"/>
      <c r="F739" s="23"/>
    </row>
    <row r="740" ht="15.75" customHeight="1">
      <c r="A740" s="23"/>
      <c r="B740" s="23"/>
      <c r="C740" s="23"/>
      <c r="F740" s="23"/>
    </row>
    <row r="741" ht="15.75" customHeight="1">
      <c r="A741" s="23"/>
      <c r="B741" s="23"/>
      <c r="C741" s="23"/>
      <c r="F741" s="23"/>
    </row>
    <row r="742" ht="15.75" customHeight="1">
      <c r="A742" s="23"/>
      <c r="B742" s="23"/>
      <c r="C742" s="23"/>
      <c r="F742" s="23"/>
    </row>
    <row r="743" ht="15.75" customHeight="1">
      <c r="A743" s="23"/>
      <c r="B743" s="23"/>
      <c r="C743" s="23"/>
      <c r="F743" s="23"/>
    </row>
    <row r="744" ht="15.75" customHeight="1">
      <c r="A744" s="23"/>
      <c r="B744" s="23"/>
      <c r="C744" s="23"/>
      <c r="F744" s="23"/>
    </row>
    <row r="745" ht="15.75" customHeight="1">
      <c r="A745" s="23"/>
      <c r="B745" s="23"/>
      <c r="C745" s="23"/>
      <c r="F745" s="23"/>
    </row>
    <row r="746" ht="15.75" customHeight="1">
      <c r="A746" s="23"/>
      <c r="B746" s="23"/>
      <c r="C746" s="23"/>
      <c r="F746" s="23"/>
    </row>
    <row r="747" ht="15.75" customHeight="1">
      <c r="A747" s="23"/>
      <c r="B747" s="23"/>
      <c r="C747" s="23"/>
      <c r="F747" s="23"/>
    </row>
    <row r="748" ht="15.75" customHeight="1">
      <c r="A748" s="23"/>
      <c r="B748" s="23"/>
      <c r="C748" s="23"/>
      <c r="F748" s="23"/>
    </row>
    <row r="749" ht="15.75" customHeight="1">
      <c r="A749" s="23"/>
      <c r="B749" s="23"/>
      <c r="C749" s="23"/>
      <c r="F749" s="23"/>
    </row>
    <row r="750" ht="15.75" customHeight="1">
      <c r="A750" s="23"/>
      <c r="B750" s="23"/>
      <c r="C750" s="23"/>
      <c r="F750" s="23"/>
    </row>
    <row r="751" ht="15.75" customHeight="1">
      <c r="A751" s="23"/>
      <c r="B751" s="23"/>
      <c r="C751" s="23"/>
      <c r="F751" s="23"/>
    </row>
    <row r="752" ht="15.75" customHeight="1">
      <c r="A752" s="23"/>
      <c r="B752" s="23"/>
      <c r="C752" s="23"/>
      <c r="F752" s="23"/>
    </row>
    <row r="753" ht="15.75" customHeight="1">
      <c r="A753" s="23"/>
      <c r="B753" s="23"/>
      <c r="C753" s="23"/>
      <c r="F753" s="23"/>
    </row>
    <row r="754" ht="15.75" customHeight="1">
      <c r="A754" s="23"/>
      <c r="B754" s="23"/>
      <c r="C754" s="23"/>
      <c r="F754" s="23"/>
    </row>
    <row r="755" ht="15.75" customHeight="1">
      <c r="A755" s="23"/>
      <c r="B755" s="23"/>
      <c r="C755" s="23"/>
      <c r="F755" s="23"/>
    </row>
    <row r="756" ht="15.75" customHeight="1">
      <c r="A756" s="23"/>
      <c r="B756" s="23"/>
      <c r="C756" s="23"/>
      <c r="F756" s="23"/>
    </row>
    <row r="757" ht="15.75" customHeight="1">
      <c r="A757" s="23"/>
      <c r="B757" s="23"/>
      <c r="C757" s="23"/>
      <c r="F757" s="23"/>
    </row>
    <row r="758" ht="15.75" customHeight="1">
      <c r="A758" s="23"/>
      <c r="B758" s="23"/>
      <c r="C758" s="23"/>
      <c r="F758" s="23"/>
    </row>
    <row r="759" ht="15.75" customHeight="1">
      <c r="A759" s="23"/>
      <c r="B759" s="23"/>
      <c r="C759" s="23"/>
      <c r="F759" s="23"/>
    </row>
    <row r="760" ht="15.75" customHeight="1">
      <c r="A760" s="23"/>
      <c r="B760" s="23"/>
      <c r="C760" s="23"/>
      <c r="F760" s="23"/>
    </row>
    <row r="761" ht="15.75" customHeight="1">
      <c r="A761" s="23"/>
      <c r="B761" s="23"/>
      <c r="C761" s="23"/>
      <c r="F761" s="23"/>
    </row>
    <row r="762" ht="15.75" customHeight="1">
      <c r="A762" s="23"/>
      <c r="B762" s="23"/>
      <c r="C762" s="23"/>
      <c r="F762" s="23"/>
    </row>
    <row r="763" ht="15.75" customHeight="1">
      <c r="A763" s="23"/>
      <c r="B763" s="23"/>
      <c r="C763" s="23"/>
      <c r="F763" s="23"/>
    </row>
    <row r="764" ht="15.75" customHeight="1">
      <c r="A764" s="23"/>
      <c r="B764" s="23"/>
      <c r="C764" s="23"/>
      <c r="F764" s="23"/>
    </row>
    <row r="765" ht="15.75" customHeight="1">
      <c r="A765" s="23"/>
      <c r="B765" s="23"/>
      <c r="C765" s="23"/>
      <c r="F765" s="23"/>
    </row>
    <row r="766" ht="15.75" customHeight="1">
      <c r="A766" s="23"/>
      <c r="B766" s="23"/>
      <c r="C766" s="23"/>
      <c r="F766" s="23"/>
    </row>
    <row r="767" ht="15.75" customHeight="1">
      <c r="A767" s="23"/>
      <c r="B767" s="23"/>
      <c r="C767" s="23"/>
      <c r="F767" s="23"/>
    </row>
    <row r="768" ht="15.75" customHeight="1">
      <c r="A768" s="23"/>
      <c r="B768" s="23"/>
      <c r="C768" s="23"/>
      <c r="F768" s="23"/>
    </row>
    <row r="769" ht="15.75" customHeight="1">
      <c r="A769" s="23"/>
      <c r="B769" s="23"/>
      <c r="C769" s="23"/>
      <c r="F769" s="23"/>
    </row>
    <row r="770" ht="15.75" customHeight="1">
      <c r="A770" s="23"/>
      <c r="B770" s="23"/>
      <c r="C770" s="23"/>
      <c r="F770" s="23"/>
    </row>
    <row r="771" ht="15.75" customHeight="1">
      <c r="A771" s="23"/>
      <c r="B771" s="23"/>
      <c r="C771" s="23"/>
      <c r="F771" s="23"/>
    </row>
    <row r="772" ht="15.75" customHeight="1">
      <c r="A772" s="23"/>
      <c r="B772" s="23"/>
      <c r="C772" s="23"/>
      <c r="F772" s="23"/>
    </row>
    <row r="773" ht="15.75" customHeight="1">
      <c r="A773" s="23"/>
      <c r="B773" s="23"/>
      <c r="C773" s="23"/>
      <c r="F773" s="23"/>
    </row>
    <row r="774" ht="15.75" customHeight="1">
      <c r="A774" s="23"/>
      <c r="B774" s="23"/>
      <c r="C774" s="23"/>
      <c r="F774" s="23"/>
    </row>
    <row r="775" ht="15.75" customHeight="1">
      <c r="A775" s="23"/>
      <c r="B775" s="23"/>
      <c r="C775" s="23"/>
      <c r="F775" s="23"/>
    </row>
    <row r="776" ht="15.75" customHeight="1">
      <c r="A776" s="23"/>
      <c r="B776" s="23"/>
      <c r="C776" s="23"/>
      <c r="F776" s="23"/>
    </row>
    <row r="777" ht="15.75" customHeight="1">
      <c r="A777" s="23"/>
      <c r="B777" s="23"/>
      <c r="C777" s="23"/>
      <c r="F777" s="23"/>
    </row>
    <row r="778" ht="15.75" customHeight="1">
      <c r="A778" s="23"/>
      <c r="B778" s="23"/>
      <c r="C778" s="23"/>
      <c r="F778" s="23"/>
    </row>
    <row r="779" ht="15.75" customHeight="1">
      <c r="A779" s="23"/>
      <c r="B779" s="23"/>
      <c r="C779" s="23"/>
      <c r="F779" s="23"/>
    </row>
    <row r="780" ht="15.75" customHeight="1">
      <c r="A780" s="23"/>
      <c r="B780" s="23"/>
      <c r="C780" s="23"/>
      <c r="F780" s="23"/>
    </row>
    <row r="781" ht="15.75" customHeight="1">
      <c r="A781" s="23"/>
      <c r="B781" s="23"/>
      <c r="C781" s="23"/>
      <c r="F781" s="23"/>
    </row>
    <row r="782" ht="15.75" customHeight="1">
      <c r="A782" s="23"/>
      <c r="B782" s="23"/>
      <c r="C782" s="23"/>
      <c r="F782" s="23"/>
    </row>
    <row r="783" ht="15.75" customHeight="1">
      <c r="A783" s="23"/>
      <c r="B783" s="23"/>
      <c r="C783" s="23"/>
      <c r="F783" s="23"/>
    </row>
    <row r="784" ht="15.75" customHeight="1">
      <c r="A784" s="23"/>
      <c r="B784" s="23"/>
      <c r="C784" s="23"/>
      <c r="F784" s="23"/>
    </row>
    <row r="785" ht="15.75" customHeight="1">
      <c r="A785" s="23"/>
      <c r="B785" s="23"/>
      <c r="C785" s="23"/>
      <c r="F785" s="23"/>
    </row>
    <row r="786" ht="15.75" customHeight="1">
      <c r="A786" s="23"/>
      <c r="B786" s="23"/>
      <c r="C786" s="23"/>
      <c r="F786" s="23"/>
    </row>
    <row r="787" ht="15.75" customHeight="1">
      <c r="A787" s="23"/>
      <c r="B787" s="23"/>
      <c r="C787" s="23"/>
      <c r="F787" s="23"/>
    </row>
    <row r="788" ht="15.75" customHeight="1">
      <c r="A788" s="23"/>
      <c r="B788" s="23"/>
      <c r="C788" s="23"/>
      <c r="F788" s="23"/>
    </row>
    <row r="789" ht="15.75" customHeight="1">
      <c r="A789" s="23"/>
      <c r="B789" s="23"/>
      <c r="C789" s="23"/>
      <c r="F789" s="23"/>
    </row>
    <row r="790" ht="15.75" customHeight="1">
      <c r="A790" s="23"/>
      <c r="B790" s="23"/>
      <c r="C790" s="23"/>
      <c r="F790" s="23"/>
    </row>
    <row r="791" ht="15.75" customHeight="1">
      <c r="A791" s="23"/>
      <c r="B791" s="23"/>
      <c r="C791" s="23"/>
      <c r="F791" s="23"/>
    </row>
    <row r="792" ht="15.75" customHeight="1">
      <c r="A792" s="23"/>
      <c r="B792" s="23"/>
      <c r="C792" s="23"/>
      <c r="F792" s="23"/>
    </row>
    <row r="793" ht="15.75" customHeight="1">
      <c r="A793" s="23"/>
      <c r="B793" s="23"/>
      <c r="C793" s="23"/>
      <c r="F793" s="23"/>
    </row>
    <row r="794" ht="15.75" customHeight="1">
      <c r="A794" s="23"/>
      <c r="B794" s="23"/>
      <c r="C794" s="23"/>
      <c r="F794" s="23"/>
    </row>
    <row r="795" ht="15.75" customHeight="1">
      <c r="A795" s="23"/>
      <c r="B795" s="23"/>
      <c r="C795" s="23"/>
      <c r="F795" s="23"/>
    </row>
    <row r="796" ht="15.75" customHeight="1">
      <c r="A796" s="23"/>
      <c r="B796" s="23"/>
      <c r="C796" s="23"/>
      <c r="F796" s="23"/>
    </row>
    <row r="797" ht="15.75" customHeight="1">
      <c r="A797" s="23"/>
      <c r="B797" s="23"/>
      <c r="C797" s="23"/>
      <c r="F797" s="23"/>
    </row>
    <row r="798" ht="15.75" customHeight="1">
      <c r="A798" s="23"/>
      <c r="B798" s="23"/>
      <c r="C798" s="23"/>
      <c r="F798" s="23"/>
    </row>
    <row r="799" ht="15.75" customHeight="1">
      <c r="A799" s="23"/>
      <c r="B799" s="23"/>
      <c r="C799" s="23"/>
      <c r="F799" s="23"/>
    </row>
    <row r="800" ht="15.75" customHeight="1">
      <c r="A800" s="23"/>
      <c r="B800" s="23"/>
      <c r="C800" s="23"/>
      <c r="F800" s="23"/>
    </row>
    <row r="801" ht="15.75" customHeight="1">
      <c r="A801" s="23"/>
      <c r="B801" s="23"/>
      <c r="C801" s="23"/>
      <c r="F801" s="23"/>
    </row>
    <row r="802" ht="15.75" customHeight="1">
      <c r="A802" s="23"/>
      <c r="B802" s="23"/>
      <c r="C802" s="23"/>
      <c r="F802" s="23"/>
    </row>
    <row r="803" ht="15.75" customHeight="1">
      <c r="A803" s="23"/>
      <c r="B803" s="23"/>
      <c r="C803" s="23"/>
      <c r="F803" s="23"/>
    </row>
    <row r="804" ht="15.75" customHeight="1">
      <c r="A804" s="23"/>
      <c r="B804" s="23"/>
      <c r="C804" s="23"/>
      <c r="F804" s="23"/>
    </row>
    <row r="805" ht="15.75" customHeight="1">
      <c r="A805" s="23"/>
      <c r="B805" s="23"/>
      <c r="C805" s="23"/>
      <c r="F805" s="23"/>
    </row>
    <row r="806" ht="15.75" customHeight="1">
      <c r="A806" s="23"/>
      <c r="B806" s="23"/>
      <c r="C806" s="23"/>
      <c r="F806" s="23"/>
    </row>
    <row r="807" ht="15.75" customHeight="1">
      <c r="A807" s="23"/>
      <c r="B807" s="23"/>
      <c r="C807" s="23"/>
      <c r="F807" s="23"/>
    </row>
    <row r="808" ht="15.75" customHeight="1">
      <c r="A808" s="23"/>
      <c r="B808" s="23"/>
      <c r="C808" s="23"/>
      <c r="F808" s="23"/>
    </row>
    <row r="809" ht="15.75" customHeight="1">
      <c r="A809" s="23"/>
      <c r="B809" s="23"/>
      <c r="C809" s="23"/>
      <c r="F809" s="23"/>
    </row>
    <row r="810" ht="15.75" customHeight="1">
      <c r="A810" s="23"/>
      <c r="B810" s="23"/>
      <c r="C810" s="23"/>
      <c r="F810" s="23"/>
    </row>
    <row r="811" ht="15.75" customHeight="1">
      <c r="A811" s="23"/>
      <c r="B811" s="23"/>
      <c r="C811" s="23"/>
      <c r="F811" s="23"/>
    </row>
    <row r="812" ht="15.75" customHeight="1">
      <c r="A812" s="23"/>
      <c r="B812" s="23"/>
      <c r="C812" s="23"/>
      <c r="F812" s="23"/>
    </row>
    <row r="813" ht="15.75" customHeight="1">
      <c r="A813" s="23"/>
      <c r="B813" s="23"/>
      <c r="C813" s="23"/>
      <c r="F813" s="23"/>
    </row>
    <row r="814" ht="15.75" customHeight="1">
      <c r="A814" s="23"/>
      <c r="B814" s="23"/>
      <c r="C814" s="23"/>
      <c r="F814" s="23"/>
    </row>
    <row r="815" ht="15.75" customHeight="1">
      <c r="A815" s="23"/>
      <c r="B815" s="23"/>
      <c r="C815" s="23"/>
      <c r="F815" s="23"/>
    </row>
    <row r="816" ht="15.75" customHeight="1">
      <c r="A816" s="23"/>
      <c r="B816" s="23"/>
      <c r="C816" s="23"/>
      <c r="F816" s="23"/>
    </row>
    <row r="817" ht="15.75" customHeight="1">
      <c r="A817" s="23"/>
      <c r="B817" s="23"/>
      <c r="C817" s="23"/>
      <c r="F817" s="23"/>
    </row>
    <row r="818" ht="15.75" customHeight="1">
      <c r="A818" s="23"/>
      <c r="B818" s="23"/>
      <c r="C818" s="23"/>
      <c r="F818" s="23"/>
    </row>
    <row r="819" ht="15.75" customHeight="1">
      <c r="A819" s="23"/>
      <c r="B819" s="23"/>
      <c r="C819" s="23"/>
      <c r="F819" s="23"/>
    </row>
    <row r="820" ht="15.75" customHeight="1">
      <c r="A820" s="23"/>
      <c r="B820" s="23"/>
      <c r="C820" s="23"/>
      <c r="F820" s="23"/>
    </row>
    <row r="821" ht="15.75" customHeight="1">
      <c r="A821" s="23"/>
      <c r="B821" s="23"/>
      <c r="C821" s="23"/>
      <c r="F821" s="23"/>
    </row>
    <row r="822" ht="15.75" customHeight="1">
      <c r="A822" s="23"/>
      <c r="B822" s="23"/>
      <c r="C822" s="23"/>
      <c r="F822" s="23"/>
    </row>
    <row r="823" ht="15.75" customHeight="1">
      <c r="A823" s="23"/>
      <c r="B823" s="23"/>
      <c r="C823" s="23"/>
      <c r="F823" s="23"/>
    </row>
    <row r="824" ht="15.75" customHeight="1">
      <c r="A824" s="23"/>
      <c r="B824" s="23"/>
      <c r="C824" s="23"/>
      <c r="F824" s="23"/>
    </row>
    <row r="825" ht="15.75" customHeight="1">
      <c r="A825" s="23"/>
      <c r="B825" s="23"/>
      <c r="C825" s="23"/>
      <c r="F825" s="23"/>
    </row>
    <row r="826" ht="15.75" customHeight="1">
      <c r="A826" s="23"/>
      <c r="B826" s="23"/>
      <c r="C826" s="23"/>
      <c r="F826" s="23"/>
    </row>
    <row r="827" ht="15.75" customHeight="1">
      <c r="A827" s="23"/>
      <c r="B827" s="23"/>
      <c r="C827" s="23"/>
      <c r="F827" s="23"/>
    </row>
    <row r="828" ht="15.75" customHeight="1">
      <c r="A828" s="23"/>
      <c r="B828" s="23"/>
      <c r="C828" s="23"/>
      <c r="F828" s="23"/>
    </row>
    <row r="829" ht="15.75" customHeight="1">
      <c r="A829" s="23"/>
      <c r="B829" s="23"/>
      <c r="C829" s="23"/>
      <c r="F829" s="23"/>
    </row>
    <row r="830" ht="15.75" customHeight="1">
      <c r="A830" s="23"/>
      <c r="B830" s="23"/>
      <c r="C830" s="23"/>
      <c r="F830" s="23"/>
    </row>
    <row r="831" ht="15.75" customHeight="1">
      <c r="A831" s="23"/>
      <c r="B831" s="23"/>
      <c r="C831" s="23"/>
      <c r="F831" s="23"/>
    </row>
    <row r="832" ht="15.75" customHeight="1">
      <c r="A832" s="23"/>
      <c r="B832" s="23"/>
      <c r="C832" s="23"/>
      <c r="F832" s="23"/>
    </row>
    <row r="833" ht="15.75" customHeight="1">
      <c r="A833" s="23"/>
      <c r="B833" s="23"/>
      <c r="C833" s="23"/>
      <c r="F833" s="23"/>
    </row>
    <row r="834" ht="15.75" customHeight="1">
      <c r="A834" s="23"/>
      <c r="B834" s="23"/>
      <c r="C834" s="23"/>
      <c r="F834" s="23"/>
    </row>
    <row r="835" ht="15.75" customHeight="1">
      <c r="A835" s="23"/>
      <c r="B835" s="23"/>
      <c r="C835" s="23"/>
      <c r="F835" s="23"/>
    </row>
    <row r="836" ht="15.75" customHeight="1">
      <c r="A836" s="23"/>
      <c r="B836" s="23"/>
      <c r="C836" s="23"/>
      <c r="F836" s="23"/>
    </row>
    <row r="837" ht="15.75" customHeight="1">
      <c r="A837" s="23"/>
      <c r="B837" s="23"/>
      <c r="C837" s="23"/>
      <c r="F837" s="23"/>
    </row>
    <row r="838" ht="15.75" customHeight="1">
      <c r="A838" s="23"/>
      <c r="B838" s="23"/>
      <c r="C838" s="23"/>
      <c r="F838" s="23"/>
    </row>
    <row r="839" ht="15.75" customHeight="1">
      <c r="A839" s="23"/>
      <c r="B839" s="23"/>
      <c r="C839" s="23"/>
      <c r="F839" s="23"/>
    </row>
    <row r="840" ht="15.75" customHeight="1">
      <c r="A840" s="23"/>
      <c r="B840" s="23"/>
      <c r="C840" s="23"/>
      <c r="F840" s="23"/>
    </row>
    <row r="841" ht="15.75" customHeight="1">
      <c r="A841" s="23"/>
      <c r="B841" s="23"/>
      <c r="C841" s="23"/>
      <c r="F841" s="23"/>
    </row>
    <row r="842" ht="15.75" customHeight="1">
      <c r="A842" s="23"/>
      <c r="B842" s="23"/>
      <c r="C842" s="23"/>
      <c r="F842" s="23"/>
    </row>
    <row r="843" ht="15.75" customHeight="1">
      <c r="A843" s="23"/>
      <c r="B843" s="23"/>
      <c r="C843" s="23"/>
      <c r="F843" s="23"/>
    </row>
    <row r="844" ht="15.75" customHeight="1">
      <c r="A844" s="23"/>
      <c r="B844" s="23"/>
      <c r="C844" s="23"/>
      <c r="F844" s="23"/>
    </row>
    <row r="845" ht="15.75" customHeight="1">
      <c r="A845" s="23"/>
      <c r="B845" s="23"/>
      <c r="C845" s="23"/>
      <c r="F845" s="23"/>
    </row>
    <row r="846" ht="15.75" customHeight="1">
      <c r="A846" s="23"/>
      <c r="B846" s="23"/>
      <c r="C846" s="23"/>
      <c r="F846" s="23"/>
    </row>
    <row r="847" ht="15.75" customHeight="1">
      <c r="A847" s="23"/>
      <c r="B847" s="23"/>
      <c r="C847" s="23"/>
      <c r="F847" s="23"/>
    </row>
    <row r="848" ht="15.75" customHeight="1">
      <c r="A848" s="23"/>
      <c r="B848" s="23"/>
      <c r="C848" s="23"/>
      <c r="F848" s="23"/>
    </row>
    <row r="849" ht="15.75" customHeight="1">
      <c r="A849" s="23"/>
      <c r="B849" s="23"/>
      <c r="C849" s="23"/>
      <c r="F849" s="23"/>
    </row>
    <row r="850" ht="15.75" customHeight="1">
      <c r="A850" s="23"/>
      <c r="B850" s="23"/>
      <c r="C850" s="23"/>
      <c r="F850" s="23"/>
    </row>
    <row r="851" ht="15.75" customHeight="1">
      <c r="A851" s="23"/>
      <c r="B851" s="23"/>
      <c r="C851" s="23"/>
      <c r="F851" s="23"/>
    </row>
    <row r="852" ht="15.75" customHeight="1">
      <c r="A852" s="23"/>
      <c r="B852" s="23"/>
      <c r="C852" s="23"/>
      <c r="F852" s="23"/>
    </row>
    <row r="853" ht="15.75" customHeight="1">
      <c r="A853" s="23"/>
      <c r="B853" s="23"/>
      <c r="C853" s="23"/>
      <c r="F853" s="23"/>
    </row>
    <row r="854" ht="15.75" customHeight="1">
      <c r="A854" s="23"/>
      <c r="B854" s="23"/>
      <c r="C854" s="23"/>
      <c r="F854" s="23"/>
    </row>
    <row r="855" ht="15.75" customHeight="1">
      <c r="A855" s="23"/>
      <c r="B855" s="23"/>
      <c r="C855" s="23"/>
      <c r="F855" s="23"/>
    </row>
    <row r="856" ht="15.75" customHeight="1">
      <c r="A856" s="23"/>
      <c r="B856" s="23"/>
      <c r="C856" s="23"/>
      <c r="F856" s="23"/>
    </row>
    <row r="857" ht="15.75" customHeight="1">
      <c r="A857" s="23"/>
      <c r="B857" s="23"/>
      <c r="C857" s="23"/>
      <c r="F857" s="23"/>
    </row>
    <row r="858" ht="15.75" customHeight="1">
      <c r="A858" s="23"/>
      <c r="B858" s="23"/>
      <c r="C858" s="23"/>
      <c r="F858" s="23"/>
    </row>
    <row r="859" ht="15.75" customHeight="1">
      <c r="A859" s="23"/>
      <c r="B859" s="23"/>
      <c r="C859" s="23"/>
      <c r="F859" s="23"/>
    </row>
    <row r="860" ht="15.75" customHeight="1">
      <c r="A860" s="23"/>
      <c r="B860" s="23"/>
      <c r="C860" s="23"/>
      <c r="F860" s="23"/>
    </row>
    <row r="861" ht="15.75" customHeight="1">
      <c r="A861" s="23"/>
      <c r="B861" s="23"/>
      <c r="C861" s="23"/>
      <c r="F861" s="23"/>
    </row>
    <row r="862" ht="15.75" customHeight="1">
      <c r="A862" s="23"/>
      <c r="B862" s="23"/>
      <c r="C862" s="23"/>
      <c r="F862" s="23"/>
    </row>
    <row r="863" ht="15.75" customHeight="1">
      <c r="A863" s="23"/>
      <c r="B863" s="23"/>
      <c r="C863" s="23"/>
      <c r="F863" s="23"/>
    </row>
    <row r="864" ht="15.75" customHeight="1">
      <c r="A864" s="23"/>
      <c r="B864" s="23"/>
      <c r="C864" s="23"/>
      <c r="F864" s="23"/>
    </row>
    <row r="865" ht="15.75" customHeight="1">
      <c r="A865" s="23"/>
      <c r="B865" s="23"/>
      <c r="C865" s="23"/>
      <c r="F865" s="23"/>
    </row>
    <row r="866" ht="15.75" customHeight="1">
      <c r="A866" s="23"/>
      <c r="B866" s="23"/>
      <c r="C866" s="23"/>
      <c r="F866" s="23"/>
    </row>
    <row r="867" ht="15.75" customHeight="1">
      <c r="A867" s="23"/>
      <c r="B867" s="23"/>
      <c r="C867" s="23"/>
      <c r="F867" s="23"/>
    </row>
    <row r="868" ht="15.75" customHeight="1">
      <c r="A868" s="23"/>
      <c r="B868" s="23"/>
      <c r="C868" s="23"/>
      <c r="F868" s="23"/>
    </row>
    <row r="869" ht="15.75" customHeight="1">
      <c r="A869" s="23"/>
      <c r="B869" s="23"/>
      <c r="C869" s="23"/>
      <c r="F869" s="23"/>
    </row>
    <row r="870" ht="15.75" customHeight="1">
      <c r="A870" s="23"/>
      <c r="B870" s="23"/>
      <c r="C870" s="23"/>
      <c r="F870" s="23"/>
    </row>
    <row r="871" ht="15.75" customHeight="1">
      <c r="A871" s="23"/>
      <c r="B871" s="23"/>
      <c r="C871" s="23"/>
      <c r="F871" s="23"/>
    </row>
    <row r="872" ht="15.75" customHeight="1">
      <c r="A872" s="23"/>
      <c r="B872" s="23"/>
      <c r="C872" s="23"/>
      <c r="F872" s="23"/>
    </row>
    <row r="873" ht="15.75" customHeight="1">
      <c r="A873" s="23"/>
      <c r="B873" s="23"/>
      <c r="C873" s="23"/>
      <c r="F873" s="23"/>
    </row>
    <row r="874" ht="15.75" customHeight="1">
      <c r="A874" s="23"/>
      <c r="B874" s="23"/>
      <c r="C874" s="23"/>
      <c r="F874" s="23"/>
    </row>
    <row r="875" ht="15.75" customHeight="1">
      <c r="A875" s="23"/>
      <c r="B875" s="23"/>
      <c r="C875" s="23"/>
      <c r="F875" s="23"/>
    </row>
    <row r="876" ht="15.75" customHeight="1">
      <c r="A876" s="23"/>
      <c r="B876" s="23"/>
      <c r="C876" s="23"/>
      <c r="F876" s="23"/>
    </row>
    <row r="877" ht="15.75" customHeight="1">
      <c r="A877" s="23"/>
      <c r="B877" s="23"/>
      <c r="C877" s="23"/>
      <c r="F877" s="23"/>
    </row>
    <row r="878" ht="15.75" customHeight="1">
      <c r="A878" s="23"/>
      <c r="B878" s="23"/>
      <c r="C878" s="23"/>
      <c r="F878" s="23"/>
    </row>
    <row r="879" ht="15.75" customHeight="1">
      <c r="A879" s="23"/>
      <c r="B879" s="23"/>
      <c r="C879" s="23"/>
      <c r="F879" s="23"/>
    </row>
    <row r="880" ht="15.75" customHeight="1">
      <c r="A880" s="23"/>
      <c r="B880" s="23"/>
      <c r="C880" s="23"/>
      <c r="F880" s="23"/>
    </row>
    <row r="881" ht="15.75" customHeight="1">
      <c r="A881" s="23"/>
      <c r="B881" s="23"/>
      <c r="C881" s="23"/>
      <c r="F881" s="23"/>
    </row>
    <row r="882" ht="15.75" customHeight="1">
      <c r="A882" s="23"/>
      <c r="B882" s="23"/>
      <c r="C882" s="23"/>
      <c r="F882" s="23"/>
    </row>
    <row r="883" ht="15.75" customHeight="1">
      <c r="A883" s="23"/>
      <c r="B883" s="23"/>
      <c r="C883" s="23"/>
      <c r="F883" s="23"/>
    </row>
    <row r="884" ht="15.75" customHeight="1">
      <c r="A884" s="23"/>
      <c r="B884" s="23"/>
      <c r="C884" s="23"/>
      <c r="F884" s="23"/>
    </row>
    <row r="885" ht="15.75" customHeight="1">
      <c r="A885" s="23"/>
      <c r="B885" s="23"/>
      <c r="C885" s="23"/>
      <c r="F885" s="23"/>
    </row>
    <row r="886" ht="15.75" customHeight="1">
      <c r="A886" s="23"/>
      <c r="B886" s="23"/>
      <c r="C886" s="23"/>
      <c r="F886" s="23"/>
    </row>
    <row r="887" ht="15.75" customHeight="1">
      <c r="A887" s="23"/>
      <c r="B887" s="23"/>
      <c r="C887" s="23"/>
      <c r="F887" s="23"/>
    </row>
    <row r="888" ht="15.75" customHeight="1">
      <c r="A888" s="23"/>
      <c r="B888" s="23"/>
      <c r="C888" s="23"/>
      <c r="F888" s="23"/>
    </row>
    <row r="889" ht="15.75" customHeight="1">
      <c r="A889" s="23"/>
      <c r="B889" s="23"/>
      <c r="C889" s="23"/>
      <c r="F889" s="23"/>
    </row>
    <row r="890" ht="15.75" customHeight="1">
      <c r="A890" s="23"/>
      <c r="B890" s="23"/>
      <c r="C890" s="23"/>
      <c r="F890" s="23"/>
    </row>
    <row r="891" ht="15.75" customHeight="1">
      <c r="A891" s="23"/>
      <c r="B891" s="23"/>
      <c r="C891" s="23"/>
      <c r="F891" s="23"/>
    </row>
    <row r="892" ht="15.75" customHeight="1">
      <c r="A892" s="23"/>
      <c r="B892" s="23"/>
      <c r="C892" s="23"/>
      <c r="F892" s="23"/>
    </row>
    <row r="893" ht="15.75" customHeight="1">
      <c r="A893" s="23"/>
      <c r="B893" s="23"/>
      <c r="C893" s="23"/>
      <c r="F893" s="23"/>
    </row>
    <row r="894" ht="15.75" customHeight="1">
      <c r="A894" s="23"/>
      <c r="B894" s="23"/>
      <c r="C894" s="23"/>
      <c r="F894" s="23"/>
    </row>
    <row r="895" ht="15.75" customHeight="1">
      <c r="A895" s="23"/>
      <c r="B895" s="23"/>
      <c r="C895" s="23"/>
      <c r="F895" s="23"/>
    </row>
    <row r="896" ht="15.75" customHeight="1">
      <c r="A896" s="23"/>
      <c r="B896" s="23"/>
      <c r="C896" s="23"/>
      <c r="F896" s="23"/>
    </row>
    <row r="897" ht="15.75" customHeight="1">
      <c r="A897" s="23"/>
      <c r="B897" s="23"/>
      <c r="C897" s="23"/>
      <c r="F897" s="23"/>
    </row>
    <row r="898" ht="15.75" customHeight="1">
      <c r="A898" s="23"/>
      <c r="B898" s="23"/>
      <c r="C898" s="23"/>
      <c r="F898" s="23"/>
    </row>
    <row r="899" ht="15.75" customHeight="1">
      <c r="A899" s="23"/>
      <c r="B899" s="23"/>
      <c r="C899" s="23"/>
      <c r="F899" s="23"/>
    </row>
    <row r="900" ht="15.75" customHeight="1">
      <c r="A900" s="23"/>
      <c r="B900" s="23"/>
      <c r="C900" s="23"/>
      <c r="F900" s="23"/>
    </row>
    <row r="901" ht="15.75" customHeight="1">
      <c r="A901" s="23"/>
      <c r="B901" s="23"/>
      <c r="C901" s="23"/>
      <c r="F901" s="23"/>
    </row>
    <row r="902" ht="15.75" customHeight="1">
      <c r="A902" s="23"/>
      <c r="B902" s="23"/>
      <c r="C902" s="23"/>
      <c r="F902" s="23"/>
    </row>
    <row r="903" ht="15.75" customHeight="1">
      <c r="A903" s="23"/>
      <c r="B903" s="23"/>
      <c r="C903" s="23"/>
      <c r="F903" s="23"/>
    </row>
    <row r="904" ht="15.75" customHeight="1">
      <c r="A904" s="23"/>
      <c r="B904" s="23"/>
      <c r="C904" s="23"/>
      <c r="F904" s="23"/>
    </row>
    <row r="905" ht="15.75" customHeight="1">
      <c r="A905" s="23"/>
      <c r="B905" s="23"/>
      <c r="C905" s="23"/>
      <c r="F905" s="23"/>
    </row>
    <row r="906" ht="15.75" customHeight="1">
      <c r="A906" s="23"/>
      <c r="B906" s="23"/>
      <c r="C906" s="23"/>
      <c r="F906" s="23"/>
    </row>
    <row r="907" ht="15.75" customHeight="1">
      <c r="A907" s="23"/>
      <c r="B907" s="23"/>
      <c r="C907" s="23"/>
      <c r="F907" s="23"/>
    </row>
    <row r="908" ht="15.75" customHeight="1">
      <c r="A908" s="23"/>
      <c r="B908" s="23"/>
      <c r="C908" s="23"/>
      <c r="F908" s="23"/>
    </row>
    <row r="909" ht="15.75" customHeight="1">
      <c r="A909" s="23"/>
      <c r="B909" s="23"/>
      <c r="C909" s="23"/>
      <c r="F909" s="23"/>
    </row>
    <row r="910" ht="15.75" customHeight="1">
      <c r="A910" s="23"/>
      <c r="B910" s="23"/>
      <c r="C910" s="23"/>
      <c r="F910" s="23"/>
    </row>
    <row r="911" ht="15.75" customHeight="1">
      <c r="A911" s="23"/>
      <c r="B911" s="23"/>
      <c r="C911" s="23"/>
      <c r="F911" s="23"/>
    </row>
    <row r="912" ht="15.75" customHeight="1">
      <c r="A912" s="23"/>
      <c r="B912" s="23"/>
      <c r="C912" s="23"/>
      <c r="F912" s="23"/>
    </row>
    <row r="913" ht="15.75" customHeight="1">
      <c r="A913" s="23"/>
      <c r="B913" s="23"/>
      <c r="C913" s="23"/>
      <c r="F913" s="23"/>
    </row>
    <row r="914" ht="15.75" customHeight="1">
      <c r="A914" s="23"/>
      <c r="B914" s="23"/>
      <c r="C914" s="23"/>
      <c r="F914" s="23"/>
    </row>
    <row r="915" ht="15.75" customHeight="1">
      <c r="A915" s="23"/>
      <c r="B915" s="23"/>
      <c r="C915" s="23"/>
      <c r="F915" s="23"/>
    </row>
    <row r="916" ht="15.75" customHeight="1">
      <c r="A916" s="23"/>
      <c r="B916" s="23"/>
      <c r="C916" s="23"/>
      <c r="F916" s="23"/>
    </row>
    <row r="917" ht="15.75" customHeight="1">
      <c r="A917" s="23"/>
      <c r="B917" s="23"/>
      <c r="C917" s="23"/>
      <c r="F917" s="23"/>
    </row>
    <row r="918" ht="15.75" customHeight="1">
      <c r="A918" s="23"/>
      <c r="B918" s="23"/>
      <c r="C918" s="23"/>
      <c r="F918" s="23"/>
    </row>
    <row r="919" ht="15.75" customHeight="1">
      <c r="A919" s="23"/>
      <c r="B919" s="23"/>
      <c r="C919" s="23"/>
      <c r="F919" s="23"/>
    </row>
    <row r="920" ht="15.75" customHeight="1">
      <c r="A920" s="23"/>
      <c r="B920" s="23"/>
      <c r="C920" s="23"/>
      <c r="F920" s="23"/>
    </row>
    <row r="921" ht="15.75" customHeight="1">
      <c r="A921" s="23"/>
      <c r="B921" s="23"/>
      <c r="C921" s="23"/>
      <c r="F921" s="23"/>
    </row>
    <row r="922" ht="15.75" customHeight="1">
      <c r="A922" s="23"/>
      <c r="B922" s="23"/>
      <c r="C922" s="23"/>
      <c r="F922" s="23"/>
    </row>
    <row r="923" ht="15.75" customHeight="1">
      <c r="A923" s="23"/>
      <c r="B923" s="23"/>
      <c r="C923" s="23"/>
      <c r="F923" s="23"/>
    </row>
    <row r="924" ht="15.75" customHeight="1">
      <c r="A924" s="23"/>
      <c r="B924" s="23"/>
      <c r="C924" s="23"/>
      <c r="F924" s="23"/>
    </row>
    <row r="925" ht="15.75" customHeight="1">
      <c r="A925" s="23"/>
      <c r="B925" s="23"/>
      <c r="C925" s="23"/>
      <c r="F925" s="23"/>
    </row>
    <row r="926" ht="15.75" customHeight="1">
      <c r="A926" s="23"/>
      <c r="B926" s="23"/>
      <c r="C926" s="23"/>
      <c r="F926" s="23"/>
    </row>
    <row r="927" ht="15.75" customHeight="1">
      <c r="A927" s="23"/>
      <c r="B927" s="23"/>
      <c r="C927" s="23"/>
      <c r="F927" s="23"/>
    </row>
    <row r="928" ht="15.75" customHeight="1">
      <c r="A928" s="23"/>
      <c r="B928" s="23"/>
      <c r="C928" s="23"/>
      <c r="F928" s="23"/>
    </row>
    <row r="929" ht="15.75" customHeight="1">
      <c r="A929" s="23"/>
      <c r="B929" s="23"/>
      <c r="C929" s="23"/>
      <c r="F929" s="23"/>
    </row>
    <row r="930" ht="15.75" customHeight="1">
      <c r="A930" s="23"/>
      <c r="B930" s="23"/>
      <c r="C930" s="23"/>
      <c r="F930" s="23"/>
    </row>
    <row r="931" ht="15.75" customHeight="1">
      <c r="A931" s="23"/>
      <c r="B931" s="23"/>
      <c r="C931" s="23"/>
      <c r="F931" s="23"/>
    </row>
    <row r="932" ht="15.75" customHeight="1">
      <c r="A932" s="23"/>
      <c r="B932" s="23"/>
      <c r="C932" s="23"/>
      <c r="F932" s="23"/>
    </row>
    <row r="933" ht="15.75" customHeight="1">
      <c r="A933" s="23"/>
      <c r="B933" s="23"/>
      <c r="C933" s="23"/>
      <c r="F933" s="23"/>
    </row>
    <row r="934" ht="15.75" customHeight="1">
      <c r="A934" s="23"/>
      <c r="B934" s="23"/>
      <c r="C934" s="23"/>
      <c r="F934" s="23"/>
    </row>
    <row r="935" ht="15.75" customHeight="1">
      <c r="A935" s="23"/>
      <c r="B935" s="23"/>
      <c r="C935" s="23"/>
      <c r="F935" s="23"/>
    </row>
    <row r="936" ht="15.75" customHeight="1">
      <c r="A936" s="23"/>
      <c r="B936" s="23"/>
      <c r="C936" s="23"/>
      <c r="F936" s="23"/>
    </row>
    <row r="937" ht="15.75" customHeight="1">
      <c r="A937" s="23"/>
      <c r="B937" s="23"/>
      <c r="C937" s="23"/>
      <c r="F937" s="23"/>
    </row>
    <row r="938" ht="15.75" customHeight="1">
      <c r="A938" s="23"/>
      <c r="B938" s="23"/>
      <c r="C938" s="23"/>
      <c r="F938" s="23"/>
    </row>
    <row r="939" ht="15.75" customHeight="1">
      <c r="A939" s="23"/>
      <c r="B939" s="23"/>
      <c r="C939" s="23"/>
      <c r="F939" s="23"/>
    </row>
    <row r="940" ht="15.75" customHeight="1">
      <c r="A940" s="23"/>
      <c r="B940" s="23"/>
      <c r="C940" s="23"/>
      <c r="F940" s="23"/>
    </row>
    <row r="941" ht="15.75" customHeight="1">
      <c r="A941" s="23"/>
      <c r="B941" s="23"/>
      <c r="C941" s="23"/>
      <c r="F941" s="23"/>
    </row>
    <row r="942" ht="15.75" customHeight="1">
      <c r="A942" s="23"/>
      <c r="B942" s="23"/>
      <c r="C942" s="23"/>
      <c r="F942" s="23"/>
    </row>
    <row r="943" ht="15.75" customHeight="1">
      <c r="A943" s="23"/>
      <c r="B943" s="23"/>
      <c r="C943" s="23"/>
      <c r="F943" s="23"/>
    </row>
    <row r="944" ht="15.75" customHeight="1">
      <c r="A944" s="23"/>
      <c r="B944" s="23"/>
      <c r="C944" s="23"/>
      <c r="F944" s="23"/>
    </row>
    <row r="945" ht="15.75" customHeight="1">
      <c r="A945" s="23"/>
      <c r="B945" s="23"/>
      <c r="C945" s="23"/>
      <c r="F945" s="23"/>
    </row>
    <row r="946" ht="15.75" customHeight="1">
      <c r="A946" s="23"/>
      <c r="B946" s="23"/>
      <c r="C946" s="23"/>
      <c r="F946" s="23"/>
    </row>
    <row r="947" ht="15.75" customHeight="1">
      <c r="A947" s="23"/>
      <c r="B947" s="23"/>
      <c r="C947" s="23"/>
      <c r="F947" s="23"/>
    </row>
    <row r="948" ht="15.75" customHeight="1">
      <c r="A948" s="23"/>
      <c r="B948" s="23"/>
      <c r="C948" s="23"/>
      <c r="F948" s="23"/>
    </row>
    <row r="949" ht="15.75" customHeight="1">
      <c r="A949" s="23"/>
      <c r="B949" s="23"/>
      <c r="C949" s="23"/>
      <c r="F949" s="23"/>
    </row>
    <row r="950" ht="15.75" customHeight="1">
      <c r="A950" s="23"/>
      <c r="B950" s="23"/>
      <c r="C950" s="23"/>
      <c r="F950" s="23"/>
    </row>
    <row r="951" ht="15.75" customHeight="1">
      <c r="A951" s="23"/>
      <c r="B951" s="23"/>
      <c r="C951" s="23"/>
      <c r="F951" s="23"/>
    </row>
    <row r="952" ht="15.75" customHeight="1">
      <c r="A952" s="23"/>
      <c r="B952" s="23"/>
      <c r="C952" s="23"/>
      <c r="F952" s="23"/>
    </row>
    <row r="953" ht="15.75" customHeight="1">
      <c r="A953" s="23"/>
      <c r="B953" s="23"/>
      <c r="C953" s="23"/>
      <c r="F953" s="23"/>
    </row>
    <row r="954" ht="15.75" customHeight="1">
      <c r="A954" s="23"/>
      <c r="B954" s="23"/>
      <c r="C954" s="23"/>
      <c r="F954" s="23"/>
    </row>
    <row r="955" ht="15.75" customHeight="1">
      <c r="A955" s="23"/>
      <c r="B955" s="23"/>
      <c r="C955" s="23"/>
      <c r="F955" s="23"/>
    </row>
    <row r="956" ht="15.75" customHeight="1">
      <c r="A956" s="23"/>
      <c r="B956" s="23"/>
      <c r="C956" s="23"/>
      <c r="F956" s="23"/>
    </row>
    <row r="957" ht="15.75" customHeight="1">
      <c r="A957" s="23"/>
      <c r="B957" s="23"/>
      <c r="C957" s="23"/>
      <c r="F957" s="23"/>
    </row>
    <row r="958" ht="15.75" customHeight="1">
      <c r="A958" s="23"/>
      <c r="B958" s="23"/>
      <c r="C958" s="23"/>
      <c r="F958" s="23"/>
    </row>
    <row r="959" ht="15.75" customHeight="1">
      <c r="A959" s="23"/>
      <c r="B959" s="23"/>
      <c r="C959" s="23"/>
      <c r="F959" s="23"/>
    </row>
    <row r="960" ht="15.75" customHeight="1">
      <c r="A960" s="23"/>
      <c r="B960" s="23"/>
      <c r="C960" s="23"/>
      <c r="F960" s="23"/>
    </row>
    <row r="961" ht="15.75" customHeight="1">
      <c r="A961" s="23"/>
      <c r="B961" s="23"/>
      <c r="C961" s="23"/>
      <c r="F961" s="23"/>
    </row>
    <row r="962" ht="15.75" customHeight="1">
      <c r="A962" s="23"/>
      <c r="B962" s="23"/>
      <c r="C962" s="23"/>
      <c r="F962" s="23"/>
    </row>
    <row r="963" ht="15.75" customHeight="1">
      <c r="A963" s="23"/>
      <c r="B963" s="23"/>
      <c r="C963" s="23"/>
      <c r="F963" s="23"/>
    </row>
    <row r="964" ht="15.75" customHeight="1">
      <c r="A964" s="23"/>
      <c r="B964" s="23"/>
      <c r="C964" s="23"/>
      <c r="F964" s="23"/>
    </row>
    <row r="965" ht="15.75" customHeight="1">
      <c r="A965" s="23"/>
      <c r="B965" s="23"/>
      <c r="C965" s="23"/>
      <c r="F965" s="23"/>
    </row>
    <row r="966" ht="15.75" customHeight="1">
      <c r="A966" s="23"/>
      <c r="B966" s="23"/>
      <c r="C966" s="23"/>
      <c r="F966" s="23"/>
    </row>
    <row r="967" ht="15.75" customHeight="1">
      <c r="A967" s="23"/>
      <c r="B967" s="23"/>
      <c r="C967" s="23"/>
      <c r="F967" s="23"/>
    </row>
    <row r="968" ht="15.75" customHeight="1">
      <c r="A968" s="23"/>
      <c r="B968" s="23"/>
      <c r="C968" s="23"/>
      <c r="F968" s="23"/>
    </row>
    <row r="969" ht="15.75" customHeight="1">
      <c r="A969" s="23"/>
      <c r="B969" s="23"/>
      <c r="C969" s="23"/>
      <c r="F969" s="23"/>
    </row>
    <row r="970" ht="15.75" customHeight="1">
      <c r="A970" s="23"/>
      <c r="B970" s="23"/>
      <c r="C970" s="23"/>
      <c r="F970" s="23"/>
    </row>
    <row r="971" ht="15.75" customHeight="1">
      <c r="A971" s="23"/>
      <c r="B971" s="23"/>
      <c r="C971" s="23"/>
      <c r="F971" s="23"/>
    </row>
    <row r="972" ht="15.75" customHeight="1">
      <c r="A972" s="23"/>
      <c r="B972" s="23"/>
      <c r="C972" s="23"/>
      <c r="F972" s="23"/>
    </row>
    <row r="973" ht="15.75" customHeight="1">
      <c r="A973" s="23"/>
      <c r="B973" s="23"/>
      <c r="C973" s="23"/>
      <c r="F973" s="23"/>
    </row>
    <row r="974" ht="15.75" customHeight="1">
      <c r="A974" s="23"/>
      <c r="B974" s="23"/>
      <c r="C974" s="23"/>
      <c r="F974" s="23"/>
    </row>
    <row r="975" ht="15.75" customHeight="1">
      <c r="A975" s="23"/>
      <c r="B975" s="23"/>
      <c r="C975" s="23"/>
      <c r="F975" s="23"/>
    </row>
    <row r="976" ht="15.75" customHeight="1">
      <c r="A976" s="23"/>
      <c r="B976" s="23"/>
      <c r="C976" s="23"/>
      <c r="F976" s="23"/>
    </row>
    <row r="977" ht="15.75" customHeight="1">
      <c r="A977" s="23"/>
      <c r="B977" s="23"/>
      <c r="C977" s="23"/>
      <c r="F977" s="23"/>
    </row>
    <row r="978" ht="15.75" customHeight="1">
      <c r="A978" s="23"/>
      <c r="B978" s="23"/>
      <c r="C978" s="23"/>
      <c r="F978" s="23"/>
    </row>
    <row r="979" ht="15.75" customHeight="1">
      <c r="A979" s="23"/>
      <c r="B979" s="23"/>
      <c r="C979" s="23"/>
      <c r="F979" s="23"/>
    </row>
    <row r="980" ht="15.75" customHeight="1">
      <c r="A980" s="23"/>
      <c r="B980" s="23"/>
      <c r="C980" s="23"/>
      <c r="F980" s="23"/>
    </row>
    <row r="981" ht="15.75" customHeight="1">
      <c r="A981" s="23"/>
      <c r="B981" s="23"/>
      <c r="C981" s="23"/>
      <c r="F981" s="23"/>
    </row>
    <row r="982" ht="15.75" customHeight="1">
      <c r="A982" s="23"/>
      <c r="B982" s="23"/>
      <c r="C982" s="23"/>
      <c r="F982" s="23"/>
    </row>
    <row r="983" ht="15.75" customHeight="1">
      <c r="A983" s="23"/>
      <c r="B983" s="23"/>
      <c r="C983" s="23"/>
      <c r="F983" s="23"/>
    </row>
    <row r="984" ht="15.75" customHeight="1">
      <c r="A984" s="23"/>
      <c r="B984" s="23"/>
      <c r="C984" s="23"/>
      <c r="F984" s="23"/>
    </row>
    <row r="985" ht="15.75" customHeight="1">
      <c r="A985" s="23"/>
      <c r="B985" s="23"/>
      <c r="C985" s="23"/>
      <c r="F985" s="23"/>
    </row>
    <row r="986" ht="15.75" customHeight="1">
      <c r="A986" s="23"/>
      <c r="B986" s="23"/>
      <c r="C986" s="23"/>
      <c r="F986" s="23"/>
    </row>
    <row r="987" ht="15.75" customHeight="1">
      <c r="A987" s="23"/>
      <c r="B987" s="23"/>
      <c r="C987" s="23"/>
      <c r="F987" s="23"/>
    </row>
    <row r="988" ht="15.75" customHeight="1">
      <c r="A988" s="23"/>
      <c r="B988" s="23"/>
      <c r="C988" s="23"/>
      <c r="F988" s="23"/>
    </row>
    <row r="989" ht="15.75" customHeight="1">
      <c r="A989" s="23"/>
      <c r="B989" s="23"/>
      <c r="C989" s="23"/>
      <c r="F989" s="23"/>
    </row>
    <row r="990" ht="15.75" customHeight="1">
      <c r="A990" s="23"/>
      <c r="B990" s="23"/>
      <c r="C990" s="23"/>
      <c r="F990" s="23"/>
    </row>
    <row r="991" ht="15.75" customHeight="1">
      <c r="A991" s="23"/>
      <c r="B991" s="23"/>
      <c r="C991" s="23"/>
      <c r="F991" s="23"/>
    </row>
    <row r="992" ht="15.75" customHeight="1">
      <c r="A992" s="23"/>
      <c r="B992" s="23"/>
      <c r="C992" s="23"/>
      <c r="F992" s="23"/>
    </row>
    <row r="993" ht="15.75" customHeight="1">
      <c r="A993" s="23"/>
      <c r="B993" s="23"/>
      <c r="C993" s="23"/>
      <c r="F993" s="23"/>
    </row>
    <row r="994" ht="15.75" customHeight="1">
      <c r="A994" s="23"/>
      <c r="B994" s="23"/>
      <c r="C994" s="23"/>
      <c r="F994" s="23"/>
    </row>
    <row r="995" ht="15.75" customHeight="1">
      <c r="A995" s="23"/>
      <c r="B995" s="23"/>
      <c r="C995" s="23"/>
      <c r="F995" s="23"/>
    </row>
    <row r="996" ht="15.75" customHeight="1">
      <c r="A996" s="23"/>
      <c r="B996" s="23"/>
      <c r="C996" s="23"/>
      <c r="F996" s="23"/>
    </row>
    <row r="997" ht="15.75" customHeight="1">
      <c r="A997" s="23"/>
      <c r="B997" s="23"/>
      <c r="C997" s="23"/>
      <c r="F997" s="23"/>
    </row>
    <row r="998" ht="15.75" customHeight="1">
      <c r="A998" s="23"/>
      <c r="B998" s="23"/>
      <c r="C998" s="23"/>
      <c r="F998" s="23"/>
    </row>
    <row r="999" ht="15.75" customHeight="1">
      <c r="A999" s="23"/>
      <c r="B999" s="23"/>
      <c r="C999" s="23"/>
      <c r="F999" s="23"/>
    </row>
    <row r="1000" ht="15.75" customHeight="1">
      <c r="A1000" s="23"/>
      <c r="B1000" s="23"/>
      <c r="C1000" s="23"/>
      <c r="F1000" s="23"/>
    </row>
  </sheetData>
  <dataValidations>
    <dataValidation type="list" allowBlank="1" sqref="B3:B22">
      <formula1>"CEO,CTO,Engineer,Support,Customer success,Sales,Marketing,Not Applicable"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3.63"/>
    <col customWidth="1" min="3" max="14" width="10.88"/>
  </cols>
  <sheetData>
    <row r="1" ht="15.75" customHeight="1">
      <c r="A1" s="43"/>
      <c r="B1" s="43"/>
      <c r="C1" s="50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  <c r="O1" s="50" t="s">
        <v>1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2"/>
    </row>
    <row r="2" ht="15.75" customHeight="1">
      <c r="A2" s="43" t="s">
        <v>52</v>
      </c>
      <c r="B2" s="43"/>
      <c r="C2" s="53">
        <v>42736.0</v>
      </c>
      <c r="D2" s="54">
        <v>42767.0</v>
      </c>
      <c r="E2" s="54">
        <v>42795.0</v>
      </c>
      <c r="F2" s="54">
        <v>42826.0</v>
      </c>
      <c r="G2" s="54">
        <v>42856.0</v>
      </c>
      <c r="H2" s="54">
        <v>42887.0</v>
      </c>
      <c r="I2" s="54">
        <v>42917.0</v>
      </c>
      <c r="J2" s="54">
        <v>42948.0</v>
      </c>
      <c r="K2" s="54">
        <v>42979.0</v>
      </c>
      <c r="L2" s="54">
        <v>43009.0</v>
      </c>
      <c r="M2" s="54">
        <v>43040.0</v>
      </c>
      <c r="N2" s="55">
        <v>43070.0</v>
      </c>
      <c r="O2" s="53">
        <v>43101.0</v>
      </c>
      <c r="P2" s="54">
        <v>43132.0</v>
      </c>
      <c r="Q2" s="54">
        <v>43160.0</v>
      </c>
      <c r="R2" s="54">
        <v>43191.0</v>
      </c>
      <c r="S2" s="54">
        <v>43221.0</v>
      </c>
      <c r="T2" s="54">
        <v>43252.0</v>
      </c>
      <c r="U2" s="54">
        <v>43282.0</v>
      </c>
      <c r="V2" s="54">
        <v>43313.0</v>
      </c>
      <c r="W2" s="54">
        <v>43344.0</v>
      </c>
      <c r="X2" s="54">
        <v>43374.0</v>
      </c>
      <c r="Y2" s="54">
        <v>43405.0</v>
      </c>
      <c r="Z2" s="55">
        <v>43435.0</v>
      </c>
    </row>
    <row r="3" ht="15.75" customHeight="1">
      <c r="A3" s="43" t="s">
        <v>53</v>
      </c>
      <c r="B3" s="43"/>
      <c r="C3" s="56">
        <v>1.0</v>
      </c>
      <c r="D3" s="43">
        <v>2.0</v>
      </c>
      <c r="E3" s="43">
        <v>3.0</v>
      </c>
      <c r="F3" s="43">
        <v>4.0</v>
      </c>
      <c r="G3" s="43">
        <v>5.0</v>
      </c>
      <c r="H3" s="43">
        <v>6.0</v>
      </c>
      <c r="I3" s="43">
        <v>7.0</v>
      </c>
      <c r="J3" s="43">
        <v>8.0</v>
      </c>
      <c r="K3" s="43">
        <v>9.0</v>
      </c>
      <c r="L3" s="43">
        <v>10.0</v>
      </c>
      <c r="M3" s="43">
        <v>11.0</v>
      </c>
      <c r="N3" s="57">
        <v>12.0</v>
      </c>
      <c r="O3" s="56">
        <v>13.0</v>
      </c>
      <c r="P3" s="43">
        <v>14.0</v>
      </c>
      <c r="Q3" s="43">
        <v>15.0</v>
      </c>
      <c r="R3" s="43">
        <v>16.0</v>
      </c>
      <c r="S3" s="43">
        <v>17.0</v>
      </c>
      <c r="T3" s="43">
        <v>18.0</v>
      </c>
      <c r="U3" s="43">
        <v>19.0</v>
      </c>
      <c r="V3" s="43">
        <v>20.0</v>
      </c>
      <c r="W3" s="43">
        <v>21.0</v>
      </c>
      <c r="X3" s="43">
        <v>22.0</v>
      </c>
      <c r="Y3" s="43">
        <v>23.0</v>
      </c>
      <c r="Z3" s="57">
        <v>24.0</v>
      </c>
    </row>
    <row r="4" ht="15.75" customHeight="1">
      <c r="A4" s="58" t="s">
        <v>54</v>
      </c>
    </row>
    <row r="5" ht="9.0" customHeight="1">
      <c r="A5" s="42"/>
      <c r="B5" s="42"/>
      <c r="C5" s="56"/>
      <c r="D5" s="23"/>
      <c r="E5" s="23"/>
      <c r="F5" s="23"/>
      <c r="G5" s="23"/>
      <c r="H5" s="23"/>
      <c r="I5" s="23"/>
      <c r="J5" s="23"/>
      <c r="K5" s="23"/>
      <c r="L5" s="23"/>
      <c r="M5" s="23"/>
      <c r="N5" s="57"/>
      <c r="O5" s="56"/>
      <c r="Z5" s="57"/>
    </row>
    <row r="6" ht="15.75" customHeight="1">
      <c r="A6" s="42" t="s">
        <v>55</v>
      </c>
      <c r="B6" s="42"/>
      <c r="C6" s="56"/>
      <c r="D6" s="23"/>
      <c r="E6" s="23"/>
      <c r="F6" s="23"/>
      <c r="G6" s="23"/>
      <c r="H6" s="23"/>
      <c r="I6" s="23"/>
      <c r="J6" s="23"/>
      <c r="K6" s="23"/>
      <c r="L6" s="23"/>
      <c r="M6" s="23"/>
      <c r="N6" s="57"/>
      <c r="O6" s="56"/>
      <c r="Z6" s="57"/>
    </row>
    <row r="7" ht="15.75" customHeight="1">
      <c r="A7" s="43"/>
      <c r="B7" s="43" t="s">
        <v>56</v>
      </c>
      <c r="C7" s="59">
        <f>'Growth Hypotheses'!B3</f>
        <v>2500</v>
      </c>
      <c r="D7" s="60">
        <f>'Growth Hypotheses'!B3</f>
        <v>2500</v>
      </c>
      <c r="E7" s="60">
        <f>'Growth Hypotheses'!B3</f>
        <v>2500</v>
      </c>
      <c r="F7" s="60">
        <f>'Growth Hypotheses'!C3</f>
        <v>2500</v>
      </c>
      <c r="G7" s="60">
        <f>'Growth Hypotheses'!C3</f>
        <v>2500</v>
      </c>
      <c r="H7" s="60">
        <f>'Growth Hypotheses'!C3</f>
        <v>2500</v>
      </c>
      <c r="I7" s="60">
        <f>'Growth Hypotheses'!D3</f>
        <v>2500</v>
      </c>
      <c r="J7" s="60">
        <f>'Growth Hypotheses'!D3</f>
        <v>2500</v>
      </c>
      <c r="K7" s="60">
        <f>'Growth Hypotheses'!D3</f>
        <v>2500</v>
      </c>
      <c r="L7" s="60">
        <f>'Growth Hypotheses'!E3</f>
        <v>2500</v>
      </c>
      <c r="M7" s="60">
        <f>'Growth Hypotheses'!E3</f>
        <v>2500</v>
      </c>
      <c r="N7" s="61">
        <f>'Growth Hypotheses'!E3</f>
        <v>2500</v>
      </c>
      <c r="O7" s="59">
        <f>'Growth Hypotheses'!F3</f>
        <v>2900</v>
      </c>
      <c r="P7" s="60">
        <f>'Growth Hypotheses'!F3</f>
        <v>2900</v>
      </c>
      <c r="Q7" s="60">
        <f>'Growth Hypotheses'!F3</f>
        <v>2900</v>
      </c>
      <c r="R7" s="60">
        <f>'Growth Hypotheses'!G3</f>
        <v>2900</v>
      </c>
      <c r="S7" s="60">
        <f>'Growth Hypotheses'!G3</f>
        <v>2900</v>
      </c>
      <c r="T7" s="60">
        <f>'Growth Hypotheses'!G3</f>
        <v>2900</v>
      </c>
      <c r="U7" s="60">
        <f>'Growth Hypotheses'!H3</f>
        <v>2900</v>
      </c>
      <c r="V7" s="60">
        <f>'Growth Hypotheses'!H3</f>
        <v>2900</v>
      </c>
      <c r="W7" s="60">
        <f>'Growth Hypotheses'!H3</f>
        <v>2900</v>
      </c>
      <c r="X7" s="60">
        <f>'Growth Hypotheses'!I3</f>
        <v>2900</v>
      </c>
      <c r="Y7" s="60">
        <f>'Growth Hypotheses'!I3</f>
        <v>2900</v>
      </c>
      <c r="Z7" s="61">
        <f>'Growth Hypotheses'!I3</f>
        <v>2900</v>
      </c>
    </row>
    <row r="8" ht="15.75" customHeight="1">
      <c r="A8" s="62"/>
      <c r="B8" s="62" t="s">
        <v>57</v>
      </c>
      <c r="C8" s="63">
        <f>'Growth Hypotheses'!B8+('Growth Hypotheses'!B8*'Growth Hypotheses'!B4)</f>
        <v>1.15</v>
      </c>
      <c r="D8" s="62">
        <f>C8+(C8*'Growth Hypotheses'!B4)</f>
        <v>1.3225</v>
      </c>
      <c r="E8" s="62">
        <f>D8+(D8*'Growth Hypotheses'!B4)</f>
        <v>1.520875</v>
      </c>
      <c r="F8" s="62">
        <f>E8+(E8*'Growth Hypotheses'!C4)</f>
        <v>1.70338</v>
      </c>
      <c r="G8" s="62">
        <f>F8+(F8*'Growth Hypotheses'!C4)</f>
        <v>1.9077856</v>
      </c>
      <c r="H8" s="62">
        <f>G8+(G8*'Growth Hypotheses'!C4)</f>
        <v>2.136719872</v>
      </c>
      <c r="I8" s="62">
        <f>H8+(H8*'Growth Hypotheses'!D4)</f>
        <v>2.350391859</v>
      </c>
      <c r="J8" s="62">
        <f>I8+(I8*'Growth Hypotheses'!D4)</f>
        <v>2.585431045</v>
      </c>
      <c r="K8" s="62">
        <f>J8+(J8*'Growth Hypotheses'!D4)</f>
        <v>2.84397415</v>
      </c>
      <c r="L8" s="62">
        <f>K8+(K8*'Growth Hypotheses'!E4)</f>
        <v>3.071492082</v>
      </c>
      <c r="M8" s="62">
        <f>L8+(L8*'Growth Hypotheses'!E4)</f>
        <v>3.317211448</v>
      </c>
      <c r="N8" s="64">
        <f>M8+(M8*'Growth Hypotheses'!E4)</f>
        <v>3.582588364</v>
      </c>
      <c r="O8" s="63">
        <f>N8+(N8*'Growth Hypotheses'!F4)</f>
        <v>3.869195433</v>
      </c>
      <c r="P8" s="62">
        <f>O8+(O8*'Growth Hypotheses'!F4)</f>
        <v>4.178731068</v>
      </c>
      <c r="Q8" s="62">
        <f>P8+(P8*'Growth Hypotheses'!F4)</f>
        <v>4.513029553</v>
      </c>
      <c r="R8" s="62">
        <f>Q8+(Q8*'Growth Hypotheses'!G4)</f>
        <v>4.828941622</v>
      </c>
      <c r="S8" s="62">
        <f>R8+(R8*'Growth Hypotheses'!G4)</f>
        <v>5.166967535</v>
      </c>
      <c r="T8" s="62">
        <f>S8+(S8*'Growth Hypotheses'!G4)</f>
        <v>5.528655263</v>
      </c>
      <c r="U8" s="62">
        <f>T8+(T8*'Growth Hypotheses'!H4)</f>
        <v>5.860374579</v>
      </c>
      <c r="V8" s="62">
        <f>U8+(U8*'Growth Hypotheses'!H4)</f>
        <v>6.211997053</v>
      </c>
      <c r="W8" s="62">
        <f>V8+(V8*'Growth Hypotheses'!H4)</f>
        <v>6.584716877</v>
      </c>
      <c r="X8" s="62">
        <f>W8+(W8*'Growth Hypotheses'!I4)</f>
        <v>6.91395272</v>
      </c>
      <c r="Y8" s="62">
        <f>X8+(X8*'Growth Hypotheses'!I4)</f>
        <v>7.259650356</v>
      </c>
      <c r="Z8" s="64">
        <f>Y8+(Y8*'Growth Hypotheses'!I4)</f>
        <v>7.622632874</v>
      </c>
    </row>
    <row r="9" ht="15.75" customHeight="1">
      <c r="A9" s="43"/>
      <c r="B9" s="43" t="s">
        <v>58</v>
      </c>
      <c r="C9" s="65">
        <f>'Growth Hypotheses'!B5</f>
        <v>0.003</v>
      </c>
      <c r="D9" s="37">
        <f>'Growth Hypotheses'!B5</f>
        <v>0.003</v>
      </c>
      <c r="E9" s="37">
        <f>'Growth Hypotheses'!B5</f>
        <v>0.003</v>
      </c>
      <c r="F9" s="37">
        <f>'Growth Hypotheses'!C5</f>
        <v>0.003</v>
      </c>
      <c r="G9" s="37">
        <f>'Growth Hypotheses'!C5</f>
        <v>0.003</v>
      </c>
      <c r="H9" s="37">
        <f>'Growth Hypotheses'!C5</f>
        <v>0.003</v>
      </c>
      <c r="I9" s="37">
        <f>'Growth Hypotheses'!D5</f>
        <v>0.004</v>
      </c>
      <c r="J9" s="37">
        <f>'Growth Hypotheses'!D5</f>
        <v>0.004</v>
      </c>
      <c r="K9" s="37">
        <f>'Growth Hypotheses'!D5</f>
        <v>0.004</v>
      </c>
      <c r="L9" s="37">
        <f>'Growth Hypotheses'!E5</f>
        <v>0.004</v>
      </c>
      <c r="M9" s="37">
        <f>'Growth Hypotheses'!E5</f>
        <v>0.004</v>
      </c>
      <c r="N9" s="66">
        <f>'Growth Hypotheses'!E5</f>
        <v>0.004</v>
      </c>
      <c r="O9" s="65">
        <f>'Growth Hypotheses'!F5</f>
        <v>0.004</v>
      </c>
      <c r="P9" s="37">
        <f>'Growth Hypotheses'!F5</f>
        <v>0.004</v>
      </c>
      <c r="Q9" s="37">
        <f>'Growth Hypotheses'!F5</f>
        <v>0.004</v>
      </c>
      <c r="R9" s="37">
        <f>'Growth Hypotheses'!G5</f>
        <v>0.004</v>
      </c>
      <c r="S9" s="37">
        <f>'Growth Hypotheses'!G5</f>
        <v>0.004</v>
      </c>
      <c r="T9" s="37">
        <f>'Growth Hypotheses'!G5</f>
        <v>0.004</v>
      </c>
      <c r="U9" s="37">
        <f>'Growth Hypotheses'!H5</f>
        <v>0.004</v>
      </c>
      <c r="V9" s="37">
        <f>'Growth Hypotheses'!H5</f>
        <v>0.004</v>
      </c>
      <c r="W9" s="37">
        <f>'Growth Hypotheses'!H5</f>
        <v>0.004</v>
      </c>
      <c r="X9" s="37">
        <f>'Growth Hypotheses'!I5</f>
        <v>0.004</v>
      </c>
      <c r="Y9" s="37">
        <f>'Growth Hypotheses'!I5</f>
        <v>0.004</v>
      </c>
      <c r="Z9" s="66">
        <f>'Growth Hypotheses'!I5</f>
        <v>0.004</v>
      </c>
    </row>
    <row r="10" ht="15.75" customHeight="1">
      <c r="A10" s="42" t="s">
        <v>59</v>
      </c>
      <c r="B10" s="43"/>
      <c r="C10" s="67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9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9"/>
    </row>
    <row r="11" ht="15.75" customHeight="1">
      <c r="A11" s="60"/>
      <c r="B11" s="60" t="s">
        <v>60</v>
      </c>
      <c r="C11" s="70">
        <f t="shared" ref="C11:Z11" si="1">C8*C7</f>
        <v>2875</v>
      </c>
      <c r="D11" s="71">
        <f t="shared" si="1"/>
        <v>3306.25</v>
      </c>
      <c r="E11" s="71">
        <f t="shared" si="1"/>
        <v>3802.1875</v>
      </c>
      <c r="F11" s="71">
        <f t="shared" si="1"/>
        <v>4258.45</v>
      </c>
      <c r="G11" s="71">
        <f t="shared" si="1"/>
        <v>4769.464</v>
      </c>
      <c r="H11" s="71">
        <f t="shared" si="1"/>
        <v>5341.79968</v>
      </c>
      <c r="I11" s="71">
        <f t="shared" si="1"/>
        <v>5875.979648</v>
      </c>
      <c r="J11" s="71">
        <f t="shared" si="1"/>
        <v>6463.577613</v>
      </c>
      <c r="K11" s="71">
        <f t="shared" si="1"/>
        <v>7109.935374</v>
      </c>
      <c r="L11" s="71">
        <f t="shared" si="1"/>
        <v>7678.730204</v>
      </c>
      <c r="M11" s="71">
        <f t="shared" si="1"/>
        <v>8293.02862</v>
      </c>
      <c r="N11" s="72">
        <f t="shared" si="1"/>
        <v>8956.47091</v>
      </c>
      <c r="O11" s="70">
        <f t="shared" si="1"/>
        <v>11220.66676</v>
      </c>
      <c r="P11" s="71">
        <f t="shared" si="1"/>
        <v>12118.3201</v>
      </c>
      <c r="Q11" s="71">
        <f t="shared" si="1"/>
        <v>13087.7857</v>
      </c>
      <c r="R11" s="71">
        <f t="shared" si="1"/>
        <v>14003.9307</v>
      </c>
      <c r="S11" s="71">
        <f t="shared" si="1"/>
        <v>14984.20585</v>
      </c>
      <c r="T11" s="71">
        <f t="shared" si="1"/>
        <v>16033.10026</v>
      </c>
      <c r="U11" s="71">
        <f t="shared" si="1"/>
        <v>16995.08628</v>
      </c>
      <c r="V11" s="71">
        <f t="shared" si="1"/>
        <v>18014.79145</v>
      </c>
      <c r="W11" s="71">
        <f t="shared" si="1"/>
        <v>19095.67894</v>
      </c>
      <c r="X11" s="71">
        <f t="shared" si="1"/>
        <v>20050.46289</v>
      </c>
      <c r="Y11" s="71">
        <f t="shared" si="1"/>
        <v>21052.98603</v>
      </c>
      <c r="Z11" s="72">
        <f t="shared" si="1"/>
        <v>22105.63534</v>
      </c>
    </row>
    <row r="12" ht="15.75" customHeight="1">
      <c r="A12" s="60"/>
      <c r="B12" s="60" t="s">
        <v>61</v>
      </c>
      <c r="C12" s="73">
        <f t="shared" ref="C12:Z12" si="2">C13*C9</f>
        <v>7.5</v>
      </c>
      <c r="D12" s="74">
        <f t="shared" si="2"/>
        <v>16.1025</v>
      </c>
      <c r="E12" s="74">
        <f t="shared" si="2"/>
        <v>25.9729425</v>
      </c>
      <c r="F12" s="74">
        <f t="shared" si="2"/>
        <v>37.30158617</v>
      </c>
      <c r="G12" s="74">
        <f t="shared" si="2"/>
        <v>49.96503141</v>
      </c>
      <c r="H12" s="74">
        <f t="shared" si="2"/>
        <v>64.12352832</v>
      </c>
      <c r="I12" s="74">
        <f t="shared" si="2"/>
        <v>106.6087424</v>
      </c>
      <c r="J12" s="74">
        <f t="shared" si="2"/>
        <v>129.686226</v>
      </c>
      <c r="K12" s="74">
        <f t="shared" si="2"/>
        <v>155.0217915</v>
      </c>
      <c r="L12" s="74">
        <f t="shared" si="2"/>
        <v>182.8414459</v>
      </c>
      <c r="M12" s="74">
        <f t="shared" si="2"/>
        <v>212.8250009</v>
      </c>
      <c r="N12" s="75">
        <f t="shared" si="2"/>
        <v>245.1458154</v>
      </c>
      <c r="O12" s="73">
        <f t="shared" si="2"/>
        <v>279.9911158</v>
      </c>
      <c r="P12" s="74">
        <f t="shared" si="2"/>
        <v>323.7538183</v>
      </c>
      <c r="Q12" s="74">
        <f t="shared" si="2"/>
        <v>370.9320834</v>
      </c>
      <c r="R12" s="74">
        <f t="shared" si="2"/>
        <v>421.7994979</v>
      </c>
      <c r="S12" s="74">
        <f t="shared" si="2"/>
        <v>476.1280227</v>
      </c>
      <c r="T12" s="74">
        <f t="shared" si="2"/>
        <v>534.1603341</v>
      </c>
      <c r="U12" s="74">
        <f t="shared" si="2"/>
        <v>596.1560938</v>
      </c>
      <c r="V12" s="74">
        <f t="shared" si="2"/>
        <v>661.7518145</v>
      </c>
      <c r="W12" s="74">
        <f t="shared" si="2"/>
        <v>731.1639731</v>
      </c>
      <c r="X12" s="74">
        <f t="shared" si="2"/>
        <v>804.6220329</v>
      </c>
      <c r="Y12" s="74">
        <f t="shared" si="2"/>
        <v>881.6053964</v>
      </c>
      <c r="Z12" s="75">
        <f t="shared" si="2"/>
        <v>962.2909189</v>
      </c>
    </row>
    <row r="13" ht="15.75" customHeight="1">
      <c r="A13" s="60"/>
      <c r="B13" s="60" t="s">
        <v>62</v>
      </c>
      <c r="C13" s="59">
        <f>'Growth Hypotheses'!B9</f>
        <v>2500</v>
      </c>
      <c r="D13" s="60">
        <f t="shared" ref="D13:Z13" si="3">C14</f>
        <v>5367.5</v>
      </c>
      <c r="E13" s="60">
        <f t="shared" si="3"/>
        <v>8657.6475</v>
      </c>
      <c r="F13" s="60">
        <f t="shared" si="3"/>
        <v>12433.86206</v>
      </c>
      <c r="G13" s="60">
        <f t="shared" si="3"/>
        <v>16655.01047</v>
      </c>
      <c r="H13" s="60">
        <f t="shared" si="3"/>
        <v>21374.50944</v>
      </c>
      <c r="I13" s="60">
        <f t="shared" si="3"/>
        <v>26652.18559</v>
      </c>
      <c r="J13" s="60">
        <f t="shared" si="3"/>
        <v>32421.5565</v>
      </c>
      <c r="K13" s="60">
        <f t="shared" si="3"/>
        <v>38755.44788</v>
      </c>
      <c r="L13" s="60">
        <f t="shared" si="3"/>
        <v>45710.36147</v>
      </c>
      <c r="M13" s="60">
        <f t="shared" si="3"/>
        <v>53206.25022</v>
      </c>
      <c r="N13" s="61">
        <f t="shared" si="3"/>
        <v>61286.45384</v>
      </c>
      <c r="O13" s="59">
        <f t="shared" si="3"/>
        <v>69997.77894</v>
      </c>
      <c r="P13" s="60">
        <f t="shared" si="3"/>
        <v>80938.45458</v>
      </c>
      <c r="Q13" s="60">
        <f t="shared" si="3"/>
        <v>92733.02086</v>
      </c>
      <c r="R13" s="60">
        <f t="shared" si="3"/>
        <v>105449.8745</v>
      </c>
      <c r="S13" s="60">
        <f t="shared" si="3"/>
        <v>119032.0057</v>
      </c>
      <c r="T13" s="60">
        <f t="shared" si="3"/>
        <v>133540.0835</v>
      </c>
      <c r="U13" s="60">
        <f t="shared" si="3"/>
        <v>149039.0234</v>
      </c>
      <c r="V13" s="60">
        <f t="shared" si="3"/>
        <v>165437.9536</v>
      </c>
      <c r="W13" s="60">
        <f t="shared" si="3"/>
        <v>182790.9933</v>
      </c>
      <c r="X13" s="60">
        <f t="shared" si="3"/>
        <v>201155.5082</v>
      </c>
      <c r="Y13" s="60">
        <f t="shared" si="3"/>
        <v>220401.3491</v>
      </c>
      <c r="Z13" s="61">
        <f t="shared" si="3"/>
        <v>240572.7297</v>
      </c>
    </row>
    <row r="14" ht="15.75" customHeight="1">
      <c r="A14" s="76"/>
      <c r="B14" s="76" t="s">
        <v>63</v>
      </c>
      <c r="C14" s="77">
        <f t="shared" ref="C14:Z14" si="4">C13+C11-C12</f>
        <v>5367.5</v>
      </c>
      <c r="D14" s="76">
        <f t="shared" si="4"/>
        <v>8657.6475</v>
      </c>
      <c r="E14" s="76">
        <f t="shared" si="4"/>
        <v>12433.86206</v>
      </c>
      <c r="F14" s="76">
        <f t="shared" si="4"/>
        <v>16655.01047</v>
      </c>
      <c r="G14" s="76">
        <f t="shared" si="4"/>
        <v>21374.50944</v>
      </c>
      <c r="H14" s="76">
        <f t="shared" si="4"/>
        <v>26652.18559</v>
      </c>
      <c r="I14" s="76">
        <f t="shared" si="4"/>
        <v>32421.5565</v>
      </c>
      <c r="J14" s="76">
        <f t="shared" si="4"/>
        <v>38755.44788</v>
      </c>
      <c r="K14" s="76">
        <f t="shared" si="4"/>
        <v>45710.36147</v>
      </c>
      <c r="L14" s="76">
        <f t="shared" si="4"/>
        <v>53206.25022</v>
      </c>
      <c r="M14" s="76">
        <f t="shared" si="4"/>
        <v>61286.45384</v>
      </c>
      <c r="N14" s="78">
        <f t="shared" si="4"/>
        <v>69997.77894</v>
      </c>
      <c r="O14" s="77">
        <f t="shared" si="4"/>
        <v>80938.45458</v>
      </c>
      <c r="P14" s="76">
        <f t="shared" si="4"/>
        <v>92733.02086</v>
      </c>
      <c r="Q14" s="76">
        <f t="shared" si="4"/>
        <v>105449.8745</v>
      </c>
      <c r="R14" s="76">
        <f t="shared" si="4"/>
        <v>119032.0057</v>
      </c>
      <c r="S14" s="76">
        <f t="shared" si="4"/>
        <v>133540.0835</v>
      </c>
      <c r="T14" s="76">
        <f t="shared" si="4"/>
        <v>149039.0234</v>
      </c>
      <c r="U14" s="76">
        <f t="shared" si="4"/>
        <v>165437.9536</v>
      </c>
      <c r="V14" s="76">
        <f t="shared" si="4"/>
        <v>182790.9933</v>
      </c>
      <c r="W14" s="76">
        <f t="shared" si="4"/>
        <v>201155.5082</v>
      </c>
      <c r="X14" s="76">
        <f t="shared" si="4"/>
        <v>220401.3491</v>
      </c>
      <c r="Y14" s="76">
        <f t="shared" si="4"/>
        <v>240572.7297</v>
      </c>
      <c r="Z14" s="78">
        <f t="shared" si="4"/>
        <v>261716.0741</v>
      </c>
    </row>
    <row r="15" ht="15.75" customHeight="1">
      <c r="A15" s="79"/>
      <c r="B15" s="79" t="s">
        <v>64</v>
      </c>
      <c r="C15" s="80"/>
      <c r="D15" s="79">
        <f t="shared" ref="D15:Z15" si="5">(D14-C14)/C14</f>
        <v>0.6129757802</v>
      </c>
      <c r="E15" s="79">
        <f t="shared" si="5"/>
        <v>0.4361709757</v>
      </c>
      <c r="F15" s="79">
        <f t="shared" si="5"/>
        <v>0.3394881167</v>
      </c>
      <c r="G15" s="79">
        <f t="shared" si="5"/>
        <v>0.2833681178</v>
      </c>
      <c r="H15" s="79">
        <f t="shared" si="5"/>
        <v>0.2469144925</v>
      </c>
      <c r="I15" s="79">
        <f t="shared" si="5"/>
        <v>0.2164689603</v>
      </c>
      <c r="J15" s="79">
        <f t="shared" si="5"/>
        <v>0.1953604969</v>
      </c>
      <c r="K15" s="79">
        <f t="shared" si="5"/>
        <v>0.179456411</v>
      </c>
      <c r="L15" s="79">
        <f t="shared" si="5"/>
        <v>0.1639866437</v>
      </c>
      <c r="M15" s="79">
        <f t="shared" si="5"/>
        <v>0.1518656847</v>
      </c>
      <c r="N15" s="79">
        <f t="shared" si="5"/>
        <v>0.1421411184</v>
      </c>
      <c r="O15" s="80">
        <f t="shared" si="5"/>
        <v>0.1563003256</v>
      </c>
      <c r="P15" s="79">
        <f t="shared" si="5"/>
        <v>0.1457226523</v>
      </c>
      <c r="Q15" s="79">
        <f t="shared" si="5"/>
        <v>0.1371340382</v>
      </c>
      <c r="R15" s="79">
        <f t="shared" si="5"/>
        <v>0.1288017769</v>
      </c>
      <c r="S15" s="79">
        <f t="shared" si="5"/>
        <v>0.1218838391</v>
      </c>
      <c r="T15" s="79">
        <f t="shared" si="5"/>
        <v>0.1160620805</v>
      </c>
      <c r="U15" s="79">
        <f t="shared" si="5"/>
        <v>0.1100311167</v>
      </c>
      <c r="V15" s="79">
        <f t="shared" si="5"/>
        <v>0.1048915274</v>
      </c>
      <c r="W15" s="79">
        <f t="shared" si="5"/>
        <v>0.1004672858</v>
      </c>
      <c r="X15" s="79">
        <f t="shared" si="5"/>
        <v>0.09567642977</v>
      </c>
      <c r="Y15" s="79">
        <f t="shared" si="5"/>
        <v>0.09152113052</v>
      </c>
      <c r="Z15" s="81">
        <f t="shared" si="5"/>
        <v>0.08788753588</v>
      </c>
    </row>
    <row r="16" ht="15.75" customHeight="1">
      <c r="A16" s="79"/>
      <c r="B16" s="60" t="s">
        <v>65</v>
      </c>
      <c r="C16" s="82">
        <f>C14*'Costs Hypotheses'!$D$30</f>
        <v>161.025</v>
      </c>
      <c r="D16" s="83">
        <f>D14*'Costs Hypotheses'!$D$30</f>
        <v>259.729425</v>
      </c>
      <c r="E16" s="83">
        <f>E14*'Costs Hypotheses'!$D$30</f>
        <v>373.0158617</v>
      </c>
      <c r="F16" s="83">
        <f>F14*'Costs Hypotheses'!$D$30</f>
        <v>499.6503141</v>
      </c>
      <c r="G16" s="83">
        <f>G14*'Costs Hypotheses'!$D$30</f>
        <v>641.2352832</v>
      </c>
      <c r="H16" s="83">
        <f>H14*'Costs Hypotheses'!$D$30</f>
        <v>799.5655677</v>
      </c>
      <c r="I16" s="83">
        <f>I14*'Costs Hypotheses'!$D$30</f>
        <v>972.6466949</v>
      </c>
      <c r="J16" s="83">
        <f>J14*'Costs Hypotheses'!$D$30</f>
        <v>1162.663437</v>
      </c>
      <c r="K16" s="83">
        <f>K14*'Costs Hypotheses'!$D$30</f>
        <v>1371.310844</v>
      </c>
      <c r="L16" s="83">
        <f>L14*'Costs Hypotheses'!$D$30</f>
        <v>1596.187507</v>
      </c>
      <c r="M16" s="83">
        <f>M14*'Costs Hypotheses'!$D$30</f>
        <v>1838.593615</v>
      </c>
      <c r="N16" s="83">
        <f>N14*'Costs Hypotheses'!$D$30</f>
        <v>2099.933368</v>
      </c>
      <c r="O16" s="82">
        <f>O14*'Costs Hypotheses'!$D$30</f>
        <v>2428.153637</v>
      </c>
      <c r="P16" s="83">
        <f>P14*'Costs Hypotheses'!$D$30</f>
        <v>2781.990626</v>
      </c>
      <c r="Q16" s="83">
        <f>Q14*'Costs Hypotheses'!$D$30</f>
        <v>3163.496234</v>
      </c>
      <c r="R16" s="83">
        <f>R14*'Costs Hypotheses'!$D$30</f>
        <v>3570.960171</v>
      </c>
      <c r="S16" s="83">
        <f>S14*'Costs Hypotheses'!$D$30</f>
        <v>4006.202505</v>
      </c>
      <c r="T16" s="83">
        <f>T14*'Costs Hypotheses'!$D$30</f>
        <v>4471.170703</v>
      </c>
      <c r="U16" s="83">
        <f>U14*'Costs Hypotheses'!$D$30</f>
        <v>4963.138609</v>
      </c>
      <c r="V16" s="83">
        <f>V14*'Costs Hypotheses'!$D$30</f>
        <v>5483.729798</v>
      </c>
      <c r="W16" s="83">
        <f>W14*'Costs Hypotheses'!$D$30</f>
        <v>6034.665247</v>
      </c>
      <c r="X16" s="83">
        <f>X14*'Costs Hypotheses'!$D$30</f>
        <v>6612.040473</v>
      </c>
      <c r="Y16" s="83">
        <f>Y14*'Costs Hypotheses'!$D$30</f>
        <v>7217.181892</v>
      </c>
      <c r="Z16" s="84">
        <f>Z14*'Costs Hypotheses'!$D$30</f>
        <v>7851.482224</v>
      </c>
    </row>
    <row r="17" ht="15.75" customHeight="1">
      <c r="A17" s="85"/>
      <c r="B17" s="85" t="s">
        <v>66</v>
      </c>
      <c r="C17" s="86">
        <f t="shared" ref="C17:Z17" si="6">C14-C16</f>
        <v>5206.475</v>
      </c>
      <c r="D17" s="85">
        <f t="shared" si="6"/>
        <v>8397.918075</v>
      </c>
      <c r="E17" s="85">
        <f t="shared" si="6"/>
        <v>12060.8462</v>
      </c>
      <c r="F17" s="85">
        <f t="shared" si="6"/>
        <v>16155.36016</v>
      </c>
      <c r="G17" s="85">
        <f t="shared" si="6"/>
        <v>20733.27416</v>
      </c>
      <c r="H17" s="85">
        <f t="shared" si="6"/>
        <v>25852.62002</v>
      </c>
      <c r="I17" s="85">
        <f t="shared" si="6"/>
        <v>31448.9098</v>
      </c>
      <c r="J17" s="85">
        <f t="shared" si="6"/>
        <v>37592.78445</v>
      </c>
      <c r="K17" s="85">
        <f t="shared" si="6"/>
        <v>44339.05062</v>
      </c>
      <c r="L17" s="85">
        <f t="shared" si="6"/>
        <v>51610.06272</v>
      </c>
      <c r="M17" s="85">
        <f t="shared" si="6"/>
        <v>59447.86023</v>
      </c>
      <c r="N17" s="85">
        <f t="shared" si="6"/>
        <v>67897.84557</v>
      </c>
      <c r="O17" s="86">
        <f t="shared" si="6"/>
        <v>78510.30094</v>
      </c>
      <c r="P17" s="85">
        <f t="shared" si="6"/>
        <v>89951.03023</v>
      </c>
      <c r="Q17" s="85">
        <f t="shared" si="6"/>
        <v>102286.3782</v>
      </c>
      <c r="R17" s="85">
        <f t="shared" si="6"/>
        <v>115461.0455</v>
      </c>
      <c r="S17" s="85">
        <f t="shared" si="6"/>
        <v>129533.881</v>
      </c>
      <c r="T17" s="85">
        <f t="shared" si="6"/>
        <v>144567.8527</v>
      </c>
      <c r="U17" s="85">
        <f t="shared" si="6"/>
        <v>160474.815</v>
      </c>
      <c r="V17" s="85">
        <f t="shared" si="6"/>
        <v>177307.2635</v>
      </c>
      <c r="W17" s="85">
        <f t="shared" si="6"/>
        <v>195120.843</v>
      </c>
      <c r="X17" s="85">
        <f t="shared" si="6"/>
        <v>213789.3086</v>
      </c>
      <c r="Y17" s="85">
        <f t="shared" si="6"/>
        <v>233355.5478</v>
      </c>
      <c r="Z17" s="87">
        <f t="shared" si="6"/>
        <v>253864.5919</v>
      </c>
    </row>
    <row r="18" ht="15.75" customHeight="1">
      <c r="A18" s="23"/>
      <c r="B18" s="23"/>
      <c r="C18" s="56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57"/>
      <c r="O18" s="56"/>
      <c r="Z18" s="57"/>
    </row>
    <row r="19" ht="15.75" customHeight="1">
      <c r="A19" s="58" t="s">
        <v>67</v>
      </c>
    </row>
    <row r="20" ht="9.75" customHeight="1">
      <c r="A20" s="23"/>
      <c r="B20" s="23"/>
      <c r="C20" s="56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57"/>
      <c r="O20" s="56"/>
      <c r="Z20" s="57"/>
    </row>
    <row r="21" ht="15.75" customHeight="1">
      <c r="A21" s="42" t="s">
        <v>24</v>
      </c>
      <c r="B21" s="23"/>
      <c r="C21" s="56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57"/>
      <c r="O21" s="56"/>
      <c r="Z21" s="57"/>
    </row>
    <row r="22" ht="15.75" customHeight="1">
      <c r="A22" s="23"/>
      <c r="B22" s="44" t="str">
        <f>+CONCATENATE('Costs Hypotheses'!B3," - ",'Costs Hypotheses'!C3)</f>
        <v>CEO - David Youssef</v>
      </c>
      <c r="C22" s="88">
        <f>if('Costs Hypotheses'!$E3&lt;=C$3,('Costs Hypotheses'!$D3/12),0)</f>
        <v>10000</v>
      </c>
      <c r="D22" s="49">
        <f>if('Costs Hypotheses'!$E3&lt;=D$3,('Costs Hypotheses'!$D3/12),0)</f>
        <v>10000</v>
      </c>
      <c r="E22" s="49">
        <f>if('Costs Hypotheses'!$E3&lt;=E$3,('Costs Hypotheses'!$D3/12),0)</f>
        <v>10000</v>
      </c>
      <c r="F22" s="49">
        <f>if('Costs Hypotheses'!$E3&lt;=F$3,('Costs Hypotheses'!$D3/12),0)</f>
        <v>10000</v>
      </c>
      <c r="G22" s="49">
        <f>if('Costs Hypotheses'!$E3&lt;=G$3,('Costs Hypotheses'!$D3/12),0)</f>
        <v>10000</v>
      </c>
      <c r="H22" s="49">
        <f>if('Costs Hypotheses'!$E3&lt;=H$3,('Costs Hypotheses'!$D3/12),0)</f>
        <v>10000</v>
      </c>
      <c r="I22" s="49">
        <f>if('Costs Hypotheses'!$E3&lt;=I$3,('Costs Hypotheses'!$D3/12),0)</f>
        <v>10000</v>
      </c>
      <c r="J22" s="49">
        <f>if('Costs Hypotheses'!$E3&lt;=J$3,('Costs Hypotheses'!$D3/12),0)</f>
        <v>10000</v>
      </c>
      <c r="K22" s="49">
        <f>if('Costs Hypotheses'!$E3&lt;=K$3,('Costs Hypotheses'!$D3/12),0)</f>
        <v>10000</v>
      </c>
      <c r="L22" s="49">
        <f>if('Costs Hypotheses'!$E3&lt;=L$3,('Costs Hypotheses'!$D3/12),0)</f>
        <v>10000</v>
      </c>
      <c r="M22" s="49">
        <f>if('Costs Hypotheses'!$E3&lt;=M$3,('Costs Hypotheses'!$D3/12),0)</f>
        <v>10000</v>
      </c>
      <c r="N22" s="49">
        <f>if('Costs Hypotheses'!$E3&lt;=N$3,('Costs Hypotheses'!$D3/12),0)</f>
        <v>10000</v>
      </c>
      <c r="O22" s="88">
        <f>if('Costs Hypotheses'!$E3&lt;=O$3,('Costs Hypotheses'!$D3/12),0)</f>
        <v>10000</v>
      </c>
      <c r="P22" s="49">
        <f>if('Costs Hypotheses'!$E3&lt;=P$3,('Costs Hypotheses'!$D3/12),0)</f>
        <v>10000</v>
      </c>
      <c r="Q22" s="49">
        <f>if('Costs Hypotheses'!$E3&lt;=Q$3,('Costs Hypotheses'!$D3/12),0)</f>
        <v>10000</v>
      </c>
      <c r="R22" s="49">
        <f>if('Costs Hypotheses'!$E3&lt;=R$3,('Costs Hypotheses'!$D3/12),0)</f>
        <v>10000</v>
      </c>
      <c r="S22" s="49">
        <f>if('Costs Hypotheses'!$E3&lt;=S$3,('Costs Hypotheses'!$D3/12),0)</f>
        <v>10000</v>
      </c>
      <c r="T22" s="49">
        <f>if('Costs Hypotheses'!$E3&lt;=T$3,('Costs Hypotheses'!$D3/12),0)</f>
        <v>10000</v>
      </c>
      <c r="U22" s="49">
        <f>if('Costs Hypotheses'!$E3&lt;=U$3,('Costs Hypotheses'!$D3/12),0)</f>
        <v>10000</v>
      </c>
      <c r="V22" s="49">
        <f>if('Costs Hypotheses'!$E3&lt;=V$3,('Costs Hypotheses'!$D3/12),0)</f>
        <v>10000</v>
      </c>
      <c r="W22" s="49">
        <f>if('Costs Hypotheses'!$E3&lt;=W$3,('Costs Hypotheses'!$D3/12),0)</f>
        <v>10000</v>
      </c>
      <c r="X22" s="49">
        <f>if('Costs Hypotheses'!$E3&lt;=X$3,('Costs Hypotheses'!$D3/12),0)</f>
        <v>10000</v>
      </c>
      <c r="Y22" s="49">
        <f>if('Costs Hypotheses'!$E3&lt;=Y$3,('Costs Hypotheses'!$D3/12),0)</f>
        <v>10000</v>
      </c>
      <c r="Z22" s="89">
        <f>if('Costs Hypotheses'!$E3&lt;=Z$3,('Costs Hypotheses'!$D3/12),0)</f>
        <v>10000</v>
      </c>
    </row>
    <row r="23" ht="15.75" customHeight="1">
      <c r="A23" s="23"/>
      <c r="B23" s="44" t="str">
        <f>+CONCATENATE('Costs Hypotheses'!B4," - ",'Costs Hypotheses'!C4)</f>
        <v>Engineer - Igor Malovitsa (CTO)</v>
      </c>
      <c r="C23" s="88">
        <f>if('Costs Hypotheses'!$E4&lt;=C$3,('Costs Hypotheses'!$D4/12),0)</f>
        <v>10000</v>
      </c>
      <c r="D23" s="49">
        <f>if('Costs Hypotheses'!$E4&lt;=D$3,('Costs Hypotheses'!$D4/12),0)</f>
        <v>10000</v>
      </c>
      <c r="E23" s="49">
        <f>if('Costs Hypotheses'!$E4&lt;=E$3,('Costs Hypotheses'!$D4/12),0)</f>
        <v>10000</v>
      </c>
      <c r="F23" s="49">
        <f>if('Costs Hypotheses'!$E4&lt;=F$3,('Costs Hypotheses'!$D4/12),0)</f>
        <v>10000</v>
      </c>
      <c r="G23" s="49">
        <f>if('Costs Hypotheses'!$E4&lt;=G$3,('Costs Hypotheses'!$D4/12),0)</f>
        <v>10000</v>
      </c>
      <c r="H23" s="49">
        <f>if('Costs Hypotheses'!$E4&lt;=H$3,('Costs Hypotheses'!$D4/12),0)</f>
        <v>10000</v>
      </c>
      <c r="I23" s="49">
        <f>if('Costs Hypotheses'!$E4&lt;=I$3,('Costs Hypotheses'!$D4/12),0)</f>
        <v>10000</v>
      </c>
      <c r="J23" s="49">
        <f>if('Costs Hypotheses'!$E4&lt;=J$3,('Costs Hypotheses'!$D4/12),0)</f>
        <v>10000</v>
      </c>
      <c r="K23" s="49">
        <f>if('Costs Hypotheses'!$E4&lt;=K$3,('Costs Hypotheses'!$D4/12),0)</f>
        <v>10000</v>
      </c>
      <c r="L23" s="49">
        <f>if('Costs Hypotheses'!$E4&lt;=L$3,('Costs Hypotheses'!$D4/12),0)</f>
        <v>10000</v>
      </c>
      <c r="M23" s="49">
        <f>if('Costs Hypotheses'!$E4&lt;=M$3,('Costs Hypotheses'!$D4/12),0)</f>
        <v>10000</v>
      </c>
      <c r="N23" s="49">
        <f>if('Costs Hypotheses'!$E4&lt;=N$3,('Costs Hypotheses'!$D4/12),0)</f>
        <v>10000</v>
      </c>
      <c r="O23" s="88">
        <f>if('Costs Hypotheses'!$E4&lt;=O$3,('Costs Hypotheses'!$D4/12),0)</f>
        <v>10000</v>
      </c>
      <c r="P23" s="49">
        <f>if('Costs Hypotheses'!$E4&lt;=P$3,('Costs Hypotheses'!$D4/12),0)</f>
        <v>10000</v>
      </c>
      <c r="Q23" s="49">
        <f>if('Costs Hypotheses'!$E4&lt;=Q$3,('Costs Hypotheses'!$D4/12),0)</f>
        <v>10000</v>
      </c>
      <c r="R23" s="49">
        <f>if('Costs Hypotheses'!$E4&lt;=R$3,('Costs Hypotheses'!$D4/12),0)</f>
        <v>10000</v>
      </c>
      <c r="S23" s="49">
        <f>if('Costs Hypotheses'!$E4&lt;=S$3,('Costs Hypotheses'!$D4/12),0)</f>
        <v>10000</v>
      </c>
      <c r="T23" s="49">
        <f>if('Costs Hypotheses'!$E4&lt;=T$3,('Costs Hypotheses'!$D4/12),0)</f>
        <v>10000</v>
      </c>
      <c r="U23" s="49">
        <f>if('Costs Hypotheses'!$E4&lt;=U$3,('Costs Hypotheses'!$D4/12),0)</f>
        <v>10000</v>
      </c>
      <c r="V23" s="49">
        <f>if('Costs Hypotheses'!$E4&lt;=V$3,('Costs Hypotheses'!$D4/12),0)</f>
        <v>10000</v>
      </c>
      <c r="W23" s="49">
        <f>if('Costs Hypotheses'!$E4&lt;=W$3,('Costs Hypotheses'!$D4/12),0)</f>
        <v>10000</v>
      </c>
      <c r="X23" s="49">
        <f>if('Costs Hypotheses'!$E4&lt;=X$3,('Costs Hypotheses'!$D4/12),0)</f>
        <v>10000</v>
      </c>
      <c r="Y23" s="49">
        <f>if('Costs Hypotheses'!$E4&lt;=Y$3,('Costs Hypotheses'!$D4/12),0)</f>
        <v>10000</v>
      </c>
      <c r="Z23" s="89">
        <f>if('Costs Hypotheses'!$E4&lt;=Z$3,('Costs Hypotheses'!$D4/12),0)</f>
        <v>10000</v>
      </c>
    </row>
    <row r="24" ht="15.75" customHeight="1">
      <c r="A24" s="23"/>
      <c r="B24" s="44" t="str">
        <f>+CONCATENATE('Costs Hypotheses'!B5," - ",'Costs Hypotheses'!C5)</f>
        <v>Engineer - Eng Hire #1</v>
      </c>
      <c r="C24" s="88">
        <f>if('Costs Hypotheses'!$E5&lt;=C$3,('Costs Hypotheses'!$D5/12),0)</f>
        <v>0</v>
      </c>
      <c r="D24" s="49">
        <f>if('Costs Hypotheses'!$E5&lt;=D$3,('Costs Hypotheses'!$D5/12),0)</f>
        <v>0</v>
      </c>
      <c r="E24" s="49">
        <f>if('Costs Hypotheses'!$E5&lt;=E$3,('Costs Hypotheses'!$D5/12),0)</f>
        <v>0</v>
      </c>
      <c r="F24" s="49">
        <f>if('Costs Hypotheses'!$E5&lt;=F$3,('Costs Hypotheses'!$D5/12),0)</f>
        <v>10000</v>
      </c>
      <c r="G24" s="49">
        <f>if('Costs Hypotheses'!$E5&lt;=G$3,('Costs Hypotheses'!$D5/12),0)</f>
        <v>10000</v>
      </c>
      <c r="H24" s="49">
        <f>if('Costs Hypotheses'!$E5&lt;=H$3,('Costs Hypotheses'!$D5/12),0)</f>
        <v>10000</v>
      </c>
      <c r="I24" s="49">
        <f>if('Costs Hypotheses'!$E5&lt;=I$3,('Costs Hypotheses'!$D5/12),0)</f>
        <v>10000</v>
      </c>
      <c r="J24" s="49">
        <f>if('Costs Hypotheses'!$E5&lt;=J$3,('Costs Hypotheses'!$D5/12),0)</f>
        <v>10000</v>
      </c>
      <c r="K24" s="49">
        <f>if('Costs Hypotheses'!$E5&lt;=K$3,('Costs Hypotheses'!$D5/12),0)</f>
        <v>10000</v>
      </c>
      <c r="L24" s="49">
        <f>if('Costs Hypotheses'!$E5&lt;=L$3,('Costs Hypotheses'!$D5/12),0)</f>
        <v>10000</v>
      </c>
      <c r="M24" s="49">
        <f>if('Costs Hypotheses'!$E5&lt;=M$3,('Costs Hypotheses'!$D5/12),0)</f>
        <v>10000</v>
      </c>
      <c r="N24" s="49">
        <f>if('Costs Hypotheses'!$E5&lt;=N$3,('Costs Hypotheses'!$D5/12),0)</f>
        <v>10000</v>
      </c>
      <c r="O24" s="88">
        <f>if('Costs Hypotheses'!$E5&lt;=O$3,('Costs Hypotheses'!$D5/12),0)</f>
        <v>10000</v>
      </c>
      <c r="P24" s="49">
        <f>if('Costs Hypotheses'!$E5&lt;=P$3,('Costs Hypotheses'!$D5/12),0)</f>
        <v>10000</v>
      </c>
      <c r="Q24" s="49">
        <f>if('Costs Hypotheses'!$E5&lt;=Q$3,('Costs Hypotheses'!$D5/12),0)</f>
        <v>10000</v>
      </c>
      <c r="R24" s="49">
        <f>if('Costs Hypotheses'!$E5&lt;=R$3,('Costs Hypotheses'!$D5/12),0)</f>
        <v>10000</v>
      </c>
      <c r="S24" s="49">
        <f>if('Costs Hypotheses'!$E5&lt;=S$3,('Costs Hypotheses'!$D5/12),0)</f>
        <v>10000</v>
      </c>
      <c r="T24" s="49">
        <f>if('Costs Hypotheses'!$E5&lt;=T$3,('Costs Hypotheses'!$D5/12),0)</f>
        <v>10000</v>
      </c>
      <c r="U24" s="49">
        <f>if('Costs Hypotheses'!$E5&lt;=U$3,('Costs Hypotheses'!$D5/12),0)</f>
        <v>10000</v>
      </c>
      <c r="V24" s="49">
        <f>if('Costs Hypotheses'!$E5&lt;=V$3,('Costs Hypotheses'!$D5/12),0)</f>
        <v>10000</v>
      </c>
      <c r="W24" s="49">
        <f>if('Costs Hypotheses'!$E5&lt;=W$3,('Costs Hypotheses'!$D5/12),0)</f>
        <v>10000</v>
      </c>
      <c r="X24" s="49">
        <f>if('Costs Hypotheses'!$E5&lt;=X$3,('Costs Hypotheses'!$D5/12),0)</f>
        <v>10000</v>
      </c>
      <c r="Y24" s="49">
        <f>if('Costs Hypotheses'!$E5&lt;=Y$3,('Costs Hypotheses'!$D5/12),0)</f>
        <v>10000</v>
      </c>
      <c r="Z24" s="89">
        <f>if('Costs Hypotheses'!$E5&lt;=Z$3,('Costs Hypotheses'!$D5/12),0)</f>
        <v>10000</v>
      </c>
    </row>
    <row r="25" ht="15.75" customHeight="1">
      <c r="A25" s="23"/>
      <c r="B25" s="44" t="str">
        <f>+CONCATENATE('Costs Hypotheses'!B6," - ",'Costs Hypotheses'!C6)</f>
        <v>Engineer - Eng Hire #2</v>
      </c>
      <c r="C25" s="88">
        <f>if('Costs Hypotheses'!$E6&lt;=C$3,('Costs Hypotheses'!$D6/12),0)</f>
        <v>0</v>
      </c>
      <c r="D25" s="49">
        <f>if('Costs Hypotheses'!$E6&lt;=D$3,('Costs Hypotheses'!$D6/12),0)</f>
        <v>0</v>
      </c>
      <c r="E25" s="49">
        <f>if('Costs Hypotheses'!$E6&lt;=E$3,('Costs Hypotheses'!$D6/12),0)</f>
        <v>0</v>
      </c>
      <c r="F25" s="49">
        <f>if('Costs Hypotheses'!$E6&lt;=F$3,('Costs Hypotheses'!$D6/12),0)</f>
        <v>0</v>
      </c>
      <c r="G25" s="49">
        <f>if('Costs Hypotheses'!$E6&lt;=G$3,('Costs Hypotheses'!$D6/12),0)</f>
        <v>0</v>
      </c>
      <c r="H25" s="49">
        <f>if('Costs Hypotheses'!$E6&lt;=H$3,('Costs Hypotheses'!$D6/12),0)</f>
        <v>0</v>
      </c>
      <c r="I25" s="49">
        <f>if('Costs Hypotheses'!$E6&lt;=I$3,('Costs Hypotheses'!$D6/12),0)</f>
        <v>0</v>
      </c>
      <c r="J25" s="49">
        <f>if('Costs Hypotheses'!$E6&lt;=J$3,('Costs Hypotheses'!$D6/12),0)</f>
        <v>0</v>
      </c>
      <c r="K25" s="49">
        <f>if('Costs Hypotheses'!$E6&lt;=K$3,('Costs Hypotheses'!$D6/12),0)</f>
        <v>0</v>
      </c>
      <c r="L25" s="49">
        <f>if('Costs Hypotheses'!$E6&lt;=L$3,('Costs Hypotheses'!$D6/12),0)</f>
        <v>10000</v>
      </c>
      <c r="M25" s="49">
        <f>if('Costs Hypotheses'!$E6&lt;=M$3,('Costs Hypotheses'!$D6/12),0)</f>
        <v>10000</v>
      </c>
      <c r="N25" s="49">
        <f>if('Costs Hypotheses'!$E6&lt;=N$3,('Costs Hypotheses'!$D6/12),0)</f>
        <v>10000</v>
      </c>
      <c r="O25" s="88">
        <f>if('Costs Hypotheses'!$E6&lt;=O$3,('Costs Hypotheses'!$D6/12),0)</f>
        <v>10000</v>
      </c>
      <c r="P25" s="49">
        <f>if('Costs Hypotheses'!$E6&lt;=P$3,('Costs Hypotheses'!$D6/12),0)</f>
        <v>10000</v>
      </c>
      <c r="Q25" s="49">
        <f>if('Costs Hypotheses'!$E6&lt;=Q$3,('Costs Hypotheses'!$D6/12),0)</f>
        <v>10000</v>
      </c>
      <c r="R25" s="49">
        <f>if('Costs Hypotheses'!$E6&lt;=R$3,('Costs Hypotheses'!$D6/12),0)</f>
        <v>10000</v>
      </c>
      <c r="S25" s="49">
        <f>if('Costs Hypotheses'!$E6&lt;=S$3,('Costs Hypotheses'!$D6/12),0)</f>
        <v>10000</v>
      </c>
      <c r="T25" s="49">
        <f>if('Costs Hypotheses'!$E6&lt;=T$3,('Costs Hypotheses'!$D6/12),0)</f>
        <v>10000</v>
      </c>
      <c r="U25" s="49">
        <f>if('Costs Hypotheses'!$E6&lt;=U$3,('Costs Hypotheses'!$D6/12),0)</f>
        <v>10000</v>
      </c>
      <c r="V25" s="49">
        <f>if('Costs Hypotheses'!$E6&lt;=V$3,('Costs Hypotheses'!$D6/12),0)</f>
        <v>10000</v>
      </c>
      <c r="W25" s="49">
        <f>if('Costs Hypotheses'!$E6&lt;=W$3,('Costs Hypotheses'!$D6/12),0)</f>
        <v>10000</v>
      </c>
      <c r="X25" s="49">
        <f>if('Costs Hypotheses'!$E6&lt;=X$3,('Costs Hypotheses'!$D6/12),0)</f>
        <v>10000</v>
      </c>
      <c r="Y25" s="49">
        <f>if('Costs Hypotheses'!$E6&lt;=Y$3,('Costs Hypotheses'!$D6/12),0)</f>
        <v>10000</v>
      </c>
      <c r="Z25" s="89">
        <f>if('Costs Hypotheses'!$E6&lt;=Z$3,('Costs Hypotheses'!$D6/12),0)</f>
        <v>10000</v>
      </c>
    </row>
    <row r="26" ht="15.75" customHeight="1">
      <c r="A26" s="23"/>
      <c r="B26" s="44" t="str">
        <f>+CONCATENATE('Costs Hypotheses'!B7," - ",'Costs Hypotheses'!C7)</f>
        <v> - </v>
      </c>
      <c r="C26" s="56">
        <f>if('Costs Hypotheses'!$E7&lt;=C$3,('Costs Hypotheses'!$D7/12),0)</f>
        <v>0</v>
      </c>
      <c r="D26" s="44">
        <f>if('Costs Hypotheses'!$E7&lt;=D$3,('Costs Hypotheses'!$D7/12),0)</f>
        <v>0</v>
      </c>
      <c r="E26" s="44">
        <f>if('Costs Hypotheses'!$E7&lt;=E$3,('Costs Hypotheses'!$D7/12),0)</f>
        <v>0</v>
      </c>
      <c r="F26" s="44">
        <f>if('Costs Hypotheses'!$E7&lt;=F$3,('Costs Hypotheses'!$D7/12),0)</f>
        <v>0</v>
      </c>
      <c r="G26" s="49">
        <f>if('Costs Hypotheses'!$E7&lt;=G$3,('Costs Hypotheses'!$D7/12),0)</f>
        <v>0</v>
      </c>
      <c r="H26" s="49">
        <f>if('Costs Hypotheses'!$E7&lt;=H$3,('Costs Hypotheses'!$D7/12),0)</f>
        <v>0</v>
      </c>
      <c r="I26" s="49">
        <f>if('Costs Hypotheses'!$E7&lt;=I$3,('Costs Hypotheses'!$D7/12),0)</f>
        <v>0</v>
      </c>
      <c r="J26" s="49">
        <f>if('Costs Hypotheses'!$E7&lt;=J$3,('Costs Hypotheses'!$D7/12),0)</f>
        <v>0</v>
      </c>
      <c r="K26" s="49">
        <f>if('Costs Hypotheses'!$E7&lt;=K$3,('Costs Hypotheses'!$D7/12),0)</f>
        <v>0</v>
      </c>
      <c r="L26" s="49">
        <f>if('Costs Hypotheses'!$E7&lt;=L$3,('Costs Hypotheses'!$D7/12),0)</f>
        <v>0</v>
      </c>
      <c r="M26" s="49">
        <f>if('Costs Hypotheses'!$E7&lt;=M$3,('Costs Hypotheses'!$D7/12),0)</f>
        <v>0</v>
      </c>
      <c r="N26" s="49">
        <f>if('Costs Hypotheses'!$E7&lt;=N$3,('Costs Hypotheses'!$D7/12),0)</f>
        <v>0</v>
      </c>
      <c r="O26" s="88">
        <f>if('Costs Hypotheses'!$E7&lt;=O$3,('Costs Hypotheses'!$D7/12),0)</f>
        <v>0</v>
      </c>
      <c r="P26" s="49">
        <f>if('Costs Hypotheses'!$E7&lt;=P$3,('Costs Hypotheses'!$D7/12),0)</f>
        <v>0</v>
      </c>
      <c r="Q26" s="49">
        <f>if('Costs Hypotheses'!$E7&lt;=Q$3,('Costs Hypotheses'!$D7/12),0)</f>
        <v>0</v>
      </c>
      <c r="R26" s="49">
        <f>if('Costs Hypotheses'!$E7&lt;=R$3,('Costs Hypotheses'!$D7/12),0)</f>
        <v>0</v>
      </c>
      <c r="S26" s="49">
        <f>if('Costs Hypotheses'!$E7&lt;=S$3,('Costs Hypotheses'!$D7/12),0)</f>
        <v>0</v>
      </c>
      <c r="T26" s="49">
        <f>if('Costs Hypotheses'!$E7&lt;=T$3,('Costs Hypotheses'!$D7/12),0)</f>
        <v>0</v>
      </c>
      <c r="U26" s="49">
        <f>if('Costs Hypotheses'!$E7&lt;=U$3,('Costs Hypotheses'!$D7/12),0)</f>
        <v>0</v>
      </c>
      <c r="V26" s="49">
        <f>if('Costs Hypotheses'!$E7&lt;=V$3,('Costs Hypotheses'!$D7/12),0)</f>
        <v>0</v>
      </c>
      <c r="W26" s="49">
        <f>if('Costs Hypotheses'!$E7&lt;=W$3,('Costs Hypotheses'!$D7/12),0)</f>
        <v>0</v>
      </c>
      <c r="X26" s="49">
        <f>if('Costs Hypotheses'!$E7&lt;=X$3,('Costs Hypotheses'!$D7/12),0)</f>
        <v>0</v>
      </c>
      <c r="Y26" s="49">
        <f>if('Costs Hypotheses'!$E7&lt;=Y$3,('Costs Hypotheses'!$D7/12),0)</f>
        <v>0</v>
      </c>
      <c r="Z26" s="89">
        <f>if('Costs Hypotheses'!$E7&lt;=Z$3,('Costs Hypotheses'!$D7/12),0)</f>
        <v>0</v>
      </c>
    </row>
    <row r="27" ht="15.75" customHeight="1">
      <c r="A27" s="23"/>
      <c r="B27" s="44" t="str">
        <f>+CONCATENATE('Costs Hypotheses'!B8," - ",'Costs Hypotheses'!C8)</f>
        <v> - </v>
      </c>
      <c r="C27" s="56">
        <f>if('Costs Hypotheses'!$E8&lt;=C$3,('Costs Hypotheses'!$D8/12),0)</f>
        <v>0</v>
      </c>
      <c r="D27" s="44">
        <f>if('Costs Hypotheses'!$E8&lt;=D$3,('Costs Hypotheses'!$D8/12),0)</f>
        <v>0</v>
      </c>
      <c r="E27" s="44">
        <f>if('Costs Hypotheses'!$E8&lt;=E$3,('Costs Hypotheses'!$D8/12),0)</f>
        <v>0</v>
      </c>
      <c r="F27" s="44">
        <f>if('Costs Hypotheses'!$E8&lt;=F$3,('Costs Hypotheses'!$D8/12),0)</f>
        <v>0</v>
      </c>
      <c r="G27" s="49">
        <f>if('Costs Hypotheses'!$E8&lt;=G$3,('Costs Hypotheses'!$D8/12),0)</f>
        <v>0</v>
      </c>
      <c r="H27" s="49">
        <f>if('Costs Hypotheses'!$E8&lt;=H$3,('Costs Hypotheses'!$D8/12),0)</f>
        <v>0</v>
      </c>
      <c r="I27" s="49">
        <f>if('Costs Hypotheses'!$E8&lt;=I$3,('Costs Hypotheses'!$D8/12),0)</f>
        <v>0</v>
      </c>
      <c r="J27" s="49">
        <f>if('Costs Hypotheses'!$E8&lt;=J$3,('Costs Hypotheses'!$D8/12),0)</f>
        <v>0</v>
      </c>
      <c r="K27" s="49">
        <f>if('Costs Hypotheses'!$E8&lt;=K$3,('Costs Hypotheses'!$D8/12),0)</f>
        <v>0</v>
      </c>
      <c r="L27" s="49">
        <f>if('Costs Hypotheses'!$E8&lt;=L$3,('Costs Hypotheses'!$D8/12),0)</f>
        <v>0</v>
      </c>
      <c r="M27" s="49">
        <f>if('Costs Hypotheses'!$E8&lt;=M$3,('Costs Hypotheses'!$D8/12),0)</f>
        <v>0</v>
      </c>
      <c r="N27" s="49">
        <f>if('Costs Hypotheses'!$E8&lt;=N$3,('Costs Hypotheses'!$D8/12),0)</f>
        <v>0</v>
      </c>
      <c r="O27" s="88">
        <f>if('Costs Hypotheses'!$E8&lt;=O$3,('Costs Hypotheses'!$D8/12),0)</f>
        <v>0</v>
      </c>
      <c r="P27" s="49">
        <f>if('Costs Hypotheses'!$E8&lt;=P$3,('Costs Hypotheses'!$D8/12),0)</f>
        <v>0</v>
      </c>
      <c r="Q27" s="49">
        <f>if('Costs Hypotheses'!$E8&lt;=Q$3,('Costs Hypotheses'!$D8/12),0)</f>
        <v>0</v>
      </c>
      <c r="R27" s="49">
        <f>if('Costs Hypotheses'!$E8&lt;=R$3,('Costs Hypotheses'!$D8/12),0)</f>
        <v>0</v>
      </c>
      <c r="S27" s="49">
        <f>if('Costs Hypotheses'!$E8&lt;=S$3,('Costs Hypotheses'!$D8/12),0)</f>
        <v>0</v>
      </c>
      <c r="T27" s="49">
        <f>if('Costs Hypotheses'!$E8&lt;=T$3,('Costs Hypotheses'!$D8/12),0)</f>
        <v>0</v>
      </c>
      <c r="U27" s="49">
        <f>if('Costs Hypotheses'!$E8&lt;=U$3,('Costs Hypotheses'!$D8/12),0)</f>
        <v>0</v>
      </c>
      <c r="V27" s="49">
        <f>if('Costs Hypotheses'!$E8&lt;=V$3,('Costs Hypotheses'!$D8/12),0)</f>
        <v>0</v>
      </c>
      <c r="W27" s="49">
        <f>if('Costs Hypotheses'!$E8&lt;=W$3,('Costs Hypotheses'!$D8/12),0)</f>
        <v>0</v>
      </c>
      <c r="X27" s="49">
        <f>if('Costs Hypotheses'!$E8&lt;=X$3,('Costs Hypotheses'!$D8/12),0)</f>
        <v>0</v>
      </c>
      <c r="Y27" s="49">
        <f>if('Costs Hypotheses'!$E8&lt;=Y$3,('Costs Hypotheses'!$D8/12),0)</f>
        <v>0</v>
      </c>
      <c r="Z27" s="89">
        <f>if('Costs Hypotheses'!$E8&lt;=Z$3,('Costs Hypotheses'!$D8/12),0)</f>
        <v>0</v>
      </c>
    </row>
    <row r="28" ht="15.75" customHeight="1">
      <c r="A28" s="23"/>
      <c r="B28" s="44" t="str">
        <f>+CONCATENATE('Costs Hypotheses'!B9," - ",'Costs Hypotheses'!C9)</f>
        <v> - </v>
      </c>
      <c r="C28" s="56">
        <f>if('Costs Hypotheses'!$E9&lt;=C$3,('Costs Hypotheses'!$D9/12),0)</f>
        <v>0</v>
      </c>
      <c r="D28" s="44">
        <f>if('Costs Hypotheses'!$E9&lt;=D$3,('Costs Hypotheses'!$D9/12),0)</f>
        <v>0</v>
      </c>
      <c r="E28" s="44">
        <f>if('Costs Hypotheses'!$E9&lt;=E$3,('Costs Hypotheses'!$D9/12),0)</f>
        <v>0</v>
      </c>
      <c r="F28" s="44">
        <f>if('Costs Hypotheses'!$E9&lt;=F$3,('Costs Hypotheses'!$D9/12),0)</f>
        <v>0</v>
      </c>
      <c r="G28" s="44">
        <f>if('Costs Hypotheses'!$E9&lt;=G$3,('Costs Hypotheses'!$D9/12),0)</f>
        <v>0</v>
      </c>
      <c r="H28" s="44">
        <f>if('Costs Hypotheses'!$E9&lt;=H$3,('Costs Hypotheses'!$D9/12),0)</f>
        <v>0</v>
      </c>
      <c r="I28" s="44">
        <f>if('Costs Hypotheses'!$E9&lt;=I$3,('Costs Hypotheses'!$D9/12),0)</f>
        <v>0</v>
      </c>
      <c r="J28" s="44">
        <f>if('Costs Hypotheses'!$E9&lt;=J$3,('Costs Hypotheses'!$D9/12),0)</f>
        <v>0</v>
      </c>
      <c r="K28" s="44">
        <f>if('Costs Hypotheses'!$E9&lt;=K$3,('Costs Hypotheses'!$D9/12),0)</f>
        <v>0</v>
      </c>
      <c r="L28" s="44">
        <f>if('Costs Hypotheses'!$E9&lt;=L$3,('Costs Hypotheses'!$D9/12),0)</f>
        <v>0</v>
      </c>
      <c r="M28" s="44">
        <f>if('Costs Hypotheses'!$E9&lt;=M$3,('Costs Hypotheses'!$D9/12),0)</f>
        <v>0</v>
      </c>
      <c r="N28" s="44">
        <f>if('Costs Hypotheses'!$E9&lt;=N$3,('Costs Hypotheses'!$D9/12),0)</f>
        <v>0</v>
      </c>
      <c r="O28" s="88">
        <f>if('Costs Hypotheses'!$E9&lt;=O$3,('Costs Hypotheses'!$D9/12),0)</f>
        <v>0</v>
      </c>
      <c r="P28" s="49">
        <f>if('Costs Hypotheses'!$E9&lt;=P$3,('Costs Hypotheses'!$D9/12),0)</f>
        <v>0</v>
      </c>
      <c r="Q28" s="49">
        <f>if('Costs Hypotheses'!$E9&lt;=Q$3,('Costs Hypotheses'!$D9/12),0)</f>
        <v>0</v>
      </c>
      <c r="R28" s="49">
        <f>if('Costs Hypotheses'!$E9&lt;=R$3,('Costs Hypotheses'!$D9/12),0)</f>
        <v>0</v>
      </c>
      <c r="S28" s="49">
        <f>if('Costs Hypotheses'!$E9&lt;=S$3,('Costs Hypotheses'!$D9/12),0)</f>
        <v>0</v>
      </c>
      <c r="T28" s="49">
        <f>if('Costs Hypotheses'!$E9&lt;=T$3,('Costs Hypotheses'!$D9/12),0)</f>
        <v>0</v>
      </c>
      <c r="U28" s="49">
        <f>if('Costs Hypotheses'!$E9&lt;=U$3,('Costs Hypotheses'!$D9/12),0)</f>
        <v>0</v>
      </c>
      <c r="V28" s="49">
        <f>if('Costs Hypotheses'!$E9&lt;=V$3,('Costs Hypotheses'!$D9/12),0)</f>
        <v>0</v>
      </c>
      <c r="W28" s="49">
        <f>if('Costs Hypotheses'!$E9&lt;=W$3,('Costs Hypotheses'!$D9/12),0)</f>
        <v>0</v>
      </c>
      <c r="X28" s="49">
        <f>if('Costs Hypotheses'!$E9&lt;=X$3,('Costs Hypotheses'!$D9/12),0)</f>
        <v>0</v>
      </c>
      <c r="Y28" s="49">
        <f>if('Costs Hypotheses'!$E9&lt;=Y$3,('Costs Hypotheses'!$D9/12),0)</f>
        <v>0</v>
      </c>
      <c r="Z28" s="89">
        <f>if('Costs Hypotheses'!$E9&lt;=Z$3,('Costs Hypotheses'!$D9/12),0)</f>
        <v>0</v>
      </c>
    </row>
    <row r="29" ht="15.75" customHeight="1">
      <c r="A29" s="23"/>
      <c r="B29" s="44" t="str">
        <f>+CONCATENATE('Costs Hypotheses'!B10," - ",'Costs Hypotheses'!C10)</f>
        <v> - </v>
      </c>
      <c r="C29" s="56">
        <f>if('Costs Hypotheses'!$E10&lt;=C$3,('Costs Hypotheses'!$D10/12),0)</f>
        <v>0</v>
      </c>
      <c r="D29" s="44">
        <f>if('Costs Hypotheses'!$E10&lt;=D$3,('Costs Hypotheses'!$D10/12),0)</f>
        <v>0</v>
      </c>
      <c r="E29" s="44">
        <f>if('Costs Hypotheses'!$E10&lt;=E$3,('Costs Hypotheses'!$D10/12),0)</f>
        <v>0</v>
      </c>
      <c r="F29" s="44">
        <f>if('Costs Hypotheses'!$E10&lt;=F$3,('Costs Hypotheses'!$D10/12),0)</f>
        <v>0</v>
      </c>
      <c r="G29" s="44">
        <f>if('Costs Hypotheses'!$E10&lt;=G$3,('Costs Hypotheses'!$D10/12),0)</f>
        <v>0</v>
      </c>
      <c r="H29" s="44">
        <f>if('Costs Hypotheses'!$E10&lt;=H$3,('Costs Hypotheses'!$D10/12),0)</f>
        <v>0</v>
      </c>
      <c r="I29" s="44">
        <f>if('Costs Hypotheses'!$E10&lt;=I$3,('Costs Hypotheses'!$D10/12),0)</f>
        <v>0</v>
      </c>
      <c r="J29" s="44">
        <f>if('Costs Hypotheses'!$E10&lt;=J$3,('Costs Hypotheses'!$D10/12),0)</f>
        <v>0</v>
      </c>
      <c r="K29" s="44">
        <f>if('Costs Hypotheses'!$E10&lt;=K$3,('Costs Hypotheses'!$D10/12),0)</f>
        <v>0</v>
      </c>
      <c r="L29" s="44">
        <f>if('Costs Hypotheses'!$E10&lt;=L$3,('Costs Hypotheses'!$D10/12),0)</f>
        <v>0</v>
      </c>
      <c r="M29" s="44">
        <f>if('Costs Hypotheses'!$E10&lt;=M$3,('Costs Hypotheses'!$D10/12),0)</f>
        <v>0</v>
      </c>
      <c r="N29" s="44">
        <f>if('Costs Hypotheses'!$E10&lt;=N$3,('Costs Hypotheses'!$D10/12),0)</f>
        <v>0</v>
      </c>
      <c r="O29" s="56">
        <f>if('Costs Hypotheses'!$E10&lt;=O$3,('Costs Hypotheses'!$D10/12),0)</f>
        <v>0</v>
      </c>
      <c r="P29" s="44">
        <f>if('Costs Hypotheses'!$E10&lt;=P$3,('Costs Hypotheses'!$D10/12),0)</f>
        <v>0</v>
      </c>
      <c r="Q29" s="49">
        <f>if('Costs Hypotheses'!$E10&lt;=Q$3,('Costs Hypotheses'!$D10/12),0)</f>
        <v>0</v>
      </c>
      <c r="R29" s="49">
        <f>if('Costs Hypotheses'!$E10&lt;=R$3,('Costs Hypotheses'!$D10/12),0)</f>
        <v>0</v>
      </c>
      <c r="S29" s="49">
        <f>if('Costs Hypotheses'!$E10&lt;=S$3,('Costs Hypotheses'!$D10/12),0)</f>
        <v>0</v>
      </c>
      <c r="T29" s="49">
        <f>if('Costs Hypotheses'!$E10&lt;=T$3,('Costs Hypotheses'!$D10/12),0)</f>
        <v>0</v>
      </c>
      <c r="U29" s="49">
        <f>if('Costs Hypotheses'!$E10&lt;=U$3,('Costs Hypotheses'!$D10/12),0)</f>
        <v>0</v>
      </c>
      <c r="V29" s="49">
        <f>if('Costs Hypotheses'!$E10&lt;=V$3,('Costs Hypotheses'!$D10/12),0)</f>
        <v>0</v>
      </c>
      <c r="W29" s="49">
        <f>if('Costs Hypotheses'!$E10&lt;=W$3,('Costs Hypotheses'!$D10/12),0)</f>
        <v>0</v>
      </c>
      <c r="X29" s="49">
        <f>if('Costs Hypotheses'!$E10&lt;=X$3,('Costs Hypotheses'!$D10/12),0)</f>
        <v>0</v>
      </c>
      <c r="Y29" s="49">
        <f>if('Costs Hypotheses'!$E10&lt;=Y$3,('Costs Hypotheses'!$D10/12),0)</f>
        <v>0</v>
      </c>
      <c r="Z29" s="89">
        <f>if('Costs Hypotheses'!$E10&lt;=Z$3,('Costs Hypotheses'!$D10/12),0)</f>
        <v>0</v>
      </c>
    </row>
    <row r="30" ht="15.75" customHeight="1">
      <c r="A30" s="23"/>
      <c r="B30" s="44" t="str">
        <f>+CONCATENATE('Costs Hypotheses'!B11," - ",'Costs Hypotheses'!C11)</f>
        <v> - </v>
      </c>
      <c r="C30" s="56">
        <f>if('Costs Hypotheses'!$E11&lt;=C$3,('Costs Hypotheses'!$D11/12),0)</f>
        <v>0</v>
      </c>
      <c r="D30" s="44">
        <f>if('Costs Hypotheses'!$E11&lt;=D$3,('Costs Hypotheses'!$D11/12),0)</f>
        <v>0</v>
      </c>
      <c r="E30" s="49">
        <f>if('Costs Hypotheses'!$E11&lt;=E$3,('Costs Hypotheses'!$D11/12),0)</f>
        <v>0</v>
      </c>
      <c r="F30" s="49">
        <f>if('Costs Hypotheses'!$E11&lt;=F$3,('Costs Hypotheses'!$D11/12),0)</f>
        <v>0</v>
      </c>
      <c r="G30" s="49">
        <f>if('Costs Hypotheses'!$E11&lt;=G$3,('Costs Hypotheses'!$D11/12),0)</f>
        <v>0</v>
      </c>
      <c r="H30" s="49">
        <f>if('Costs Hypotheses'!$E11&lt;=H$3,('Costs Hypotheses'!$D11/12),0)</f>
        <v>0</v>
      </c>
      <c r="I30" s="49">
        <f>if('Costs Hypotheses'!$E11&lt;=I$3,('Costs Hypotheses'!$D11/12),0)</f>
        <v>0</v>
      </c>
      <c r="J30" s="49">
        <f>if('Costs Hypotheses'!$E11&lt;=J$3,('Costs Hypotheses'!$D11/12),0)</f>
        <v>0</v>
      </c>
      <c r="K30" s="49">
        <f>if('Costs Hypotheses'!$E11&lt;=K$3,('Costs Hypotheses'!$D11/12),0)</f>
        <v>0</v>
      </c>
      <c r="L30" s="49">
        <f>if('Costs Hypotheses'!$E11&lt;=L$3,('Costs Hypotheses'!$D11/12),0)</f>
        <v>0</v>
      </c>
      <c r="M30" s="49">
        <f>if('Costs Hypotheses'!$E11&lt;=M$3,('Costs Hypotheses'!$D11/12),0)</f>
        <v>0</v>
      </c>
      <c r="N30" s="49">
        <f>if('Costs Hypotheses'!$E11&lt;=N$3,('Costs Hypotheses'!$D11/12),0)</f>
        <v>0</v>
      </c>
      <c r="O30" s="88">
        <f>if('Costs Hypotheses'!$E11&lt;=O$3,('Costs Hypotheses'!$D11/12),0)</f>
        <v>0</v>
      </c>
      <c r="P30" s="49">
        <f>if('Costs Hypotheses'!$E11&lt;=P$3,('Costs Hypotheses'!$D11/12),0)</f>
        <v>0</v>
      </c>
      <c r="Q30" s="49">
        <f>if('Costs Hypotheses'!$E11&lt;=Q$3,('Costs Hypotheses'!$D11/12),0)</f>
        <v>0</v>
      </c>
      <c r="R30" s="49">
        <f>if('Costs Hypotheses'!$E11&lt;=R$3,('Costs Hypotheses'!$D11/12),0)</f>
        <v>0</v>
      </c>
      <c r="S30" s="49">
        <f>if('Costs Hypotheses'!$E11&lt;=S$3,('Costs Hypotheses'!$D11/12),0)</f>
        <v>0</v>
      </c>
      <c r="T30" s="49">
        <f>if('Costs Hypotheses'!$E11&lt;=T$3,('Costs Hypotheses'!$D11/12),0)</f>
        <v>0</v>
      </c>
      <c r="U30" s="49">
        <f>if('Costs Hypotheses'!$E11&lt;=U$3,('Costs Hypotheses'!$D11/12),0)</f>
        <v>0</v>
      </c>
      <c r="V30" s="49">
        <f>if('Costs Hypotheses'!$E11&lt;=V$3,('Costs Hypotheses'!$D11/12),0)</f>
        <v>0</v>
      </c>
      <c r="W30" s="49">
        <f>if('Costs Hypotheses'!$E11&lt;=W$3,('Costs Hypotheses'!$D11/12),0)</f>
        <v>0</v>
      </c>
      <c r="X30" s="49">
        <f>if('Costs Hypotheses'!$E11&lt;=X$3,('Costs Hypotheses'!$D11/12),0)</f>
        <v>0</v>
      </c>
      <c r="Y30" s="49">
        <f>if('Costs Hypotheses'!$E11&lt;=Y$3,('Costs Hypotheses'!$D11/12),0)</f>
        <v>0</v>
      </c>
      <c r="Z30" s="89">
        <f>if('Costs Hypotheses'!$E11&lt;=Z$3,('Costs Hypotheses'!$D11/12),0)</f>
        <v>0</v>
      </c>
    </row>
    <row r="31" ht="15.75" customHeight="1">
      <c r="A31" s="23"/>
      <c r="B31" s="44" t="str">
        <f>+CONCATENATE('Costs Hypotheses'!B12," - ",'Costs Hypotheses'!C12)</f>
        <v> - </v>
      </c>
      <c r="C31" s="56">
        <f>if('Costs Hypotheses'!$E12&lt;=C$3,('Costs Hypotheses'!$D12/12),0)</f>
        <v>0</v>
      </c>
      <c r="D31" s="44">
        <f>if('Costs Hypotheses'!$E12&lt;=D$3,('Costs Hypotheses'!$D12/12),0)</f>
        <v>0</v>
      </c>
      <c r="E31" s="44">
        <f>if('Costs Hypotheses'!$E12&lt;=E$3,('Costs Hypotheses'!$D12/12),0)</f>
        <v>0</v>
      </c>
      <c r="F31" s="44">
        <f>if('Costs Hypotheses'!$E12&lt;=F$3,('Costs Hypotheses'!$D12/12),0)</f>
        <v>0</v>
      </c>
      <c r="G31" s="44">
        <f>if('Costs Hypotheses'!$E12&lt;=G$3,('Costs Hypotheses'!$D12/12),0)</f>
        <v>0</v>
      </c>
      <c r="H31" s="44">
        <f>if('Costs Hypotheses'!$E12&lt;=H$3,('Costs Hypotheses'!$D12/12),0)</f>
        <v>0</v>
      </c>
      <c r="I31" s="49">
        <f>if('Costs Hypotheses'!$E12&lt;=I$3,('Costs Hypotheses'!$D12/12),0)</f>
        <v>0</v>
      </c>
      <c r="J31" s="49">
        <f>if('Costs Hypotheses'!$E12&lt;=J$3,('Costs Hypotheses'!$D12/12),0)</f>
        <v>0</v>
      </c>
      <c r="K31" s="49">
        <f>if('Costs Hypotheses'!$E12&lt;=K$3,('Costs Hypotheses'!$D12/12),0)</f>
        <v>0</v>
      </c>
      <c r="L31" s="49">
        <f>if('Costs Hypotheses'!$E12&lt;=L$3,('Costs Hypotheses'!$D12/12),0)</f>
        <v>0</v>
      </c>
      <c r="M31" s="49">
        <f>if('Costs Hypotheses'!$E12&lt;=M$3,('Costs Hypotheses'!$D12/12),0)</f>
        <v>0</v>
      </c>
      <c r="N31" s="49">
        <f>if('Costs Hypotheses'!$E12&lt;=N$3,('Costs Hypotheses'!$D12/12),0)</f>
        <v>0</v>
      </c>
      <c r="O31" s="88">
        <f>if('Costs Hypotheses'!$E12&lt;=O$3,('Costs Hypotheses'!$D12/12),0)</f>
        <v>0</v>
      </c>
      <c r="P31" s="49">
        <f>if('Costs Hypotheses'!$E12&lt;=P$3,('Costs Hypotheses'!$D12/12),0)</f>
        <v>0</v>
      </c>
      <c r="Q31" s="49">
        <f>if('Costs Hypotheses'!$E12&lt;=Q$3,('Costs Hypotheses'!$D12/12),0)</f>
        <v>0</v>
      </c>
      <c r="R31" s="49">
        <f>if('Costs Hypotheses'!$E12&lt;=R$3,('Costs Hypotheses'!$D12/12),0)</f>
        <v>0</v>
      </c>
      <c r="S31" s="49">
        <f>if('Costs Hypotheses'!$E12&lt;=S$3,('Costs Hypotheses'!$D12/12),0)</f>
        <v>0</v>
      </c>
      <c r="T31" s="49">
        <f>if('Costs Hypotheses'!$E12&lt;=T$3,('Costs Hypotheses'!$D12/12),0)</f>
        <v>0</v>
      </c>
      <c r="U31" s="49">
        <f>if('Costs Hypotheses'!$E12&lt;=U$3,('Costs Hypotheses'!$D12/12),0)</f>
        <v>0</v>
      </c>
      <c r="V31" s="49">
        <f>if('Costs Hypotheses'!$E12&lt;=V$3,('Costs Hypotheses'!$D12/12),0)</f>
        <v>0</v>
      </c>
      <c r="W31" s="49">
        <f>if('Costs Hypotheses'!$E12&lt;=W$3,('Costs Hypotheses'!$D12/12),0)</f>
        <v>0</v>
      </c>
      <c r="X31" s="49">
        <f>if('Costs Hypotheses'!$E12&lt;=X$3,('Costs Hypotheses'!$D12/12),0)</f>
        <v>0</v>
      </c>
      <c r="Y31" s="49">
        <f>if('Costs Hypotheses'!$E12&lt;=Y$3,('Costs Hypotheses'!$D12/12),0)</f>
        <v>0</v>
      </c>
      <c r="Z31" s="89">
        <f>if('Costs Hypotheses'!$E12&lt;=Z$3,('Costs Hypotheses'!$D12/12),0)</f>
        <v>0</v>
      </c>
    </row>
    <row r="32" ht="15.75" customHeight="1">
      <c r="A32" s="23"/>
      <c r="B32" s="44" t="str">
        <f>+CONCATENATE('Costs Hypotheses'!B13," - ",'Costs Hypotheses'!C13)</f>
        <v> - </v>
      </c>
      <c r="C32" s="56">
        <f>if('Costs Hypotheses'!$E13&lt;=C$3,('Costs Hypotheses'!$D13/12),0)</f>
        <v>0</v>
      </c>
      <c r="D32" s="44">
        <f>if('Costs Hypotheses'!$E13&lt;=D$3,('Costs Hypotheses'!$D13/12),0)</f>
        <v>0</v>
      </c>
      <c r="E32" s="44">
        <f>if('Costs Hypotheses'!$E13&lt;=E$3,('Costs Hypotheses'!$D13/12),0)</f>
        <v>0</v>
      </c>
      <c r="F32" s="44">
        <f>if('Costs Hypotheses'!$E13&lt;=F$3,('Costs Hypotheses'!$D13/12),0)</f>
        <v>0</v>
      </c>
      <c r="G32" s="44">
        <f>if('Costs Hypotheses'!$E13&lt;=G$3,('Costs Hypotheses'!$D13/12),0)</f>
        <v>0</v>
      </c>
      <c r="H32" s="44">
        <f>if('Costs Hypotheses'!$E13&lt;=H$3,('Costs Hypotheses'!$D13/12),0)</f>
        <v>0</v>
      </c>
      <c r="I32" s="44">
        <f>if('Costs Hypotheses'!$E13&lt;=I$3,('Costs Hypotheses'!$D13/12),0)</f>
        <v>0</v>
      </c>
      <c r="J32" s="49">
        <f>if('Costs Hypotheses'!$E13&lt;=J$3,('Costs Hypotheses'!$D13/12),0)</f>
        <v>0</v>
      </c>
      <c r="K32" s="49">
        <f>if('Costs Hypotheses'!$E13&lt;=K$3,('Costs Hypotheses'!$D13/12),0)</f>
        <v>0</v>
      </c>
      <c r="L32" s="49">
        <f>if('Costs Hypotheses'!$E13&lt;=L$3,('Costs Hypotheses'!$D13/12),0)</f>
        <v>0</v>
      </c>
      <c r="M32" s="49">
        <f>if('Costs Hypotheses'!$E13&lt;=M$3,('Costs Hypotheses'!$D13/12),0)</f>
        <v>0</v>
      </c>
      <c r="N32" s="49">
        <f>if('Costs Hypotheses'!$E13&lt;=N$3,('Costs Hypotheses'!$D13/12),0)</f>
        <v>0</v>
      </c>
      <c r="O32" s="88">
        <f>if('Costs Hypotheses'!$E13&lt;=O$3,('Costs Hypotheses'!$D13/12),0)</f>
        <v>0</v>
      </c>
      <c r="P32" s="49">
        <f>if('Costs Hypotheses'!$E13&lt;=P$3,('Costs Hypotheses'!$D13/12),0)</f>
        <v>0</v>
      </c>
      <c r="Q32" s="49">
        <f>if('Costs Hypotheses'!$E13&lt;=Q$3,('Costs Hypotheses'!$D13/12),0)</f>
        <v>0</v>
      </c>
      <c r="R32" s="49">
        <f>if('Costs Hypotheses'!$E13&lt;=R$3,('Costs Hypotheses'!$D13/12),0)</f>
        <v>0</v>
      </c>
      <c r="S32" s="49">
        <f>if('Costs Hypotheses'!$E13&lt;=S$3,('Costs Hypotheses'!$D13/12),0)</f>
        <v>0</v>
      </c>
      <c r="T32" s="49">
        <f>if('Costs Hypotheses'!$E13&lt;=T$3,('Costs Hypotheses'!$D13/12),0)</f>
        <v>0</v>
      </c>
      <c r="U32" s="49">
        <f>if('Costs Hypotheses'!$E13&lt;=U$3,('Costs Hypotheses'!$D13/12),0)</f>
        <v>0</v>
      </c>
      <c r="V32" s="49">
        <f>if('Costs Hypotheses'!$E13&lt;=V$3,('Costs Hypotheses'!$D13/12),0)</f>
        <v>0</v>
      </c>
      <c r="W32" s="49">
        <f>if('Costs Hypotheses'!$E13&lt;=W$3,('Costs Hypotheses'!$D13/12),0)</f>
        <v>0</v>
      </c>
      <c r="X32" s="49">
        <f>if('Costs Hypotheses'!$E13&lt;=X$3,('Costs Hypotheses'!$D13/12),0)</f>
        <v>0</v>
      </c>
      <c r="Y32" s="49">
        <f>if('Costs Hypotheses'!$E13&lt;=Y$3,('Costs Hypotheses'!$D13/12),0)</f>
        <v>0</v>
      </c>
      <c r="Z32" s="89">
        <f>if('Costs Hypotheses'!$E13&lt;=Z$3,('Costs Hypotheses'!$D13/12),0)</f>
        <v>0</v>
      </c>
    </row>
    <row r="33" ht="15.75" customHeight="1">
      <c r="A33" s="23"/>
      <c r="B33" s="44" t="str">
        <f>+CONCATENATE('Costs Hypotheses'!B14," - ",'Costs Hypotheses'!C14)</f>
        <v> - </v>
      </c>
      <c r="C33" s="56">
        <f>if('Costs Hypotheses'!$E14&lt;=C$3,('Costs Hypotheses'!$D14/12),0)</f>
        <v>0</v>
      </c>
      <c r="D33" s="44">
        <f>if('Costs Hypotheses'!$E14&lt;=D$3,('Costs Hypotheses'!$D14/12),0)</f>
        <v>0</v>
      </c>
      <c r="E33" s="44">
        <f>if('Costs Hypotheses'!$E14&lt;=E$3,('Costs Hypotheses'!$D14/12),0)</f>
        <v>0</v>
      </c>
      <c r="F33" s="44">
        <f>if('Costs Hypotheses'!$E14&lt;=F$3,('Costs Hypotheses'!$D14/12),0)</f>
        <v>0</v>
      </c>
      <c r="G33" s="49">
        <f>if('Costs Hypotheses'!$E14&lt;=G$3,('Costs Hypotheses'!$D14/12),0)</f>
        <v>0</v>
      </c>
      <c r="H33" s="49">
        <f>if('Costs Hypotheses'!$E14&lt;=H$3,('Costs Hypotheses'!$D14/12),0)</f>
        <v>0</v>
      </c>
      <c r="I33" s="49">
        <f>if('Costs Hypotheses'!$E14&lt;=I$3,('Costs Hypotheses'!$D14/12),0)</f>
        <v>0</v>
      </c>
      <c r="J33" s="49">
        <f>if('Costs Hypotheses'!$E14&lt;=J$3,('Costs Hypotheses'!$D14/12),0)</f>
        <v>0</v>
      </c>
      <c r="K33" s="49">
        <f>if('Costs Hypotheses'!$E14&lt;=K$3,('Costs Hypotheses'!$D14/12),0)</f>
        <v>0</v>
      </c>
      <c r="L33" s="49">
        <f>if('Costs Hypotheses'!$E14&lt;=L$3,('Costs Hypotheses'!$D14/12),0)</f>
        <v>0</v>
      </c>
      <c r="M33" s="49">
        <f>if('Costs Hypotheses'!$E14&lt;=M$3,('Costs Hypotheses'!$D14/12),0)</f>
        <v>0</v>
      </c>
      <c r="N33" s="49">
        <f>if('Costs Hypotheses'!$E14&lt;=N$3,('Costs Hypotheses'!$D14/12),0)</f>
        <v>0</v>
      </c>
      <c r="O33" s="88">
        <f>if('Costs Hypotheses'!$E14&lt;=O$3,('Costs Hypotheses'!$D14/12),0)</f>
        <v>0</v>
      </c>
      <c r="P33" s="49">
        <f>if('Costs Hypotheses'!$E14&lt;=P$3,('Costs Hypotheses'!$D14/12),0)</f>
        <v>0</v>
      </c>
      <c r="Q33" s="49">
        <f>if('Costs Hypotheses'!$E14&lt;=Q$3,('Costs Hypotheses'!$D14/12),0)</f>
        <v>0</v>
      </c>
      <c r="R33" s="49">
        <f>if('Costs Hypotheses'!$E14&lt;=R$3,('Costs Hypotheses'!$D14/12),0)</f>
        <v>0</v>
      </c>
      <c r="S33" s="49">
        <f>if('Costs Hypotheses'!$E14&lt;=S$3,('Costs Hypotheses'!$D14/12),0)</f>
        <v>0</v>
      </c>
      <c r="T33" s="49">
        <f>if('Costs Hypotheses'!$E14&lt;=T$3,('Costs Hypotheses'!$D14/12),0)</f>
        <v>0</v>
      </c>
      <c r="U33" s="49">
        <f>if('Costs Hypotheses'!$E14&lt;=U$3,('Costs Hypotheses'!$D14/12),0)</f>
        <v>0</v>
      </c>
      <c r="V33" s="49">
        <f>if('Costs Hypotheses'!$E14&lt;=V$3,('Costs Hypotheses'!$D14/12),0)</f>
        <v>0</v>
      </c>
      <c r="W33" s="49">
        <f>if('Costs Hypotheses'!$E14&lt;=W$3,('Costs Hypotheses'!$D14/12),0)</f>
        <v>0</v>
      </c>
      <c r="X33" s="49">
        <f>if('Costs Hypotheses'!$E14&lt;=X$3,('Costs Hypotheses'!$D14/12),0)</f>
        <v>0</v>
      </c>
      <c r="Y33" s="49">
        <f>if('Costs Hypotheses'!$E14&lt;=Y$3,('Costs Hypotheses'!$D14/12),0)</f>
        <v>0</v>
      </c>
      <c r="Z33" s="89">
        <f>if('Costs Hypotheses'!$E14&lt;=Z$3,('Costs Hypotheses'!$D14/12),0)</f>
        <v>0</v>
      </c>
    </row>
    <row r="34" ht="15.75" customHeight="1">
      <c r="A34" s="23"/>
      <c r="B34" s="44" t="str">
        <f>+CONCATENATE('Costs Hypotheses'!B15," - ",'Costs Hypotheses'!C15)</f>
        <v> - </v>
      </c>
      <c r="C34" s="56">
        <f>if('Costs Hypotheses'!$E15&lt;=C$3,('Costs Hypotheses'!$D15/12),0)</f>
        <v>0</v>
      </c>
      <c r="D34" s="44">
        <f>if('Costs Hypotheses'!$E15&lt;=D$3,('Costs Hypotheses'!$D15/12),0)</f>
        <v>0</v>
      </c>
      <c r="E34" s="44">
        <f>if('Costs Hypotheses'!$E15&lt;=E$3,('Costs Hypotheses'!$D15/12),0)</f>
        <v>0</v>
      </c>
      <c r="F34" s="44">
        <f>if('Costs Hypotheses'!$E15&lt;=F$3,('Costs Hypotheses'!$D15/12),0)</f>
        <v>0</v>
      </c>
      <c r="G34" s="49">
        <f>if('Costs Hypotheses'!$E15&lt;=G$3,('Costs Hypotheses'!$D15/12),0)</f>
        <v>0</v>
      </c>
      <c r="H34" s="49">
        <f>if('Costs Hypotheses'!$E15&lt;=H$3,('Costs Hypotheses'!$D15/12),0)</f>
        <v>0</v>
      </c>
      <c r="I34" s="49">
        <f>if('Costs Hypotheses'!$E15&lt;=I$3,('Costs Hypotheses'!$D15/12),0)</f>
        <v>0</v>
      </c>
      <c r="J34" s="49">
        <f>if('Costs Hypotheses'!$E15&lt;=J$3,('Costs Hypotheses'!$D15/12),0)</f>
        <v>0</v>
      </c>
      <c r="K34" s="49">
        <f>if('Costs Hypotheses'!$E15&lt;=K$3,('Costs Hypotheses'!$D15/12),0)</f>
        <v>0</v>
      </c>
      <c r="L34" s="49">
        <f>if('Costs Hypotheses'!$E15&lt;=L$3,('Costs Hypotheses'!$D15/12),0)</f>
        <v>0</v>
      </c>
      <c r="M34" s="49">
        <f>if('Costs Hypotheses'!$E15&lt;=M$3,('Costs Hypotheses'!$D15/12),0)</f>
        <v>0</v>
      </c>
      <c r="N34" s="49">
        <f>if('Costs Hypotheses'!$E15&lt;=N$3,('Costs Hypotheses'!$D15/12),0)</f>
        <v>0</v>
      </c>
      <c r="O34" s="88">
        <f>if('Costs Hypotheses'!$E15&lt;=O$3,('Costs Hypotheses'!$D15/12),0)</f>
        <v>0</v>
      </c>
      <c r="P34" s="49">
        <f>if('Costs Hypotheses'!$E15&lt;=P$3,('Costs Hypotheses'!$D15/12),0)</f>
        <v>0</v>
      </c>
      <c r="Q34" s="49">
        <f>if('Costs Hypotheses'!$E15&lt;=Q$3,('Costs Hypotheses'!$D15/12),0)</f>
        <v>0</v>
      </c>
      <c r="R34" s="49">
        <f>if('Costs Hypotheses'!$E15&lt;=R$3,('Costs Hypotheses'!$D15/12),0)</f>
        <v>0</v>
      </c>
      <c r="S34" s="49">
        <f>if('Costs Hypotheses'!$E15&lt;=S$3,('Costs Hypotheses'!$D15/12),0)</f>
        <v>0</v>
      </c>
      <c r="T34" s="49">
        <f>if('Costs Hypotheses'!$E15&lt;=T$3,('Costs Hypotheses'!$D15/12),0)</f>
        <v>0</v>
      </c>
      <c r="U34" s="49">
        <f>if('Costs Hypotheses'!$E15&lt;=U$3,('Costs Hypotheses'!$D15/12),0)</f>
        <v>0</v>
      </c>
      <c r="V34" s="49">
        <f>if('Costs Hypotheses'!$E15&lt;=V$3,('Costs Hypotheses'!$D15/12),0)</f>
        <v>0</v>
      </c>
      <c r="W34" s="49">
        <f>if('Costs Hypotheses'!$E15&lt;=W$3,('Costs Hypotheses'!$D15/12),0)</f>
        <v>0</v>
      </c>
      <c r="X34" s="49">
        <f>if('Costs Hypotheses'!$E15&lt;=X$3,('Costs Hypotheses'!$D15/12),0)</f>
        <v>0</v>
      </c>
      <c r="Y34" s="49">
        <f>if('Costs Hypotheses'!$E15&lt;=Y$3,('Costs Hypotheses'!$D15/12),0)</f>
        <v>0</v>
      </c>
      <c r="Z34" s="89">
        <f>if('Costs Hypotheses'!$E15&lt;=Z$3,('Costs Hypotheses'!$D15/12),0)</f>
        <v>0</v>
      </c>
    </row>
    <row r="35" ht="15.75" customHeight="1">
      <c r="A35" s="23"/>
      <c r="B35" s="44" t="str">
        <f>+CONCATENATE('Costs Hypotheses'!B16," - ",'Costs Hypotheses'!C16)</f>
        <v> - </v>
      </c>
      <c r="C35" s="56">
        <f>if('Costs Hypotheses'!$E16&lt;=C$3,('Costs Hypotheses'!$D16/12),0)</f>
        <v>0</v>
      </c>
      <c r="D35" s="44">
        <f>if('Costs Hypotheses'!$E16&lt;=D$3,('Costs Hypotheses'!$D16/12),0)</f>
        <v>0</v>
      </c>
      <c r="E35" s="44">
        <f>if('Costs Hypotheses'!$E16&lt;=E$3,('Costs Hypotheses'!$D16/12),0)</f>
        <v>0</v>
      </c>
      <c r="F35" s="44">
        <f>if('Costs Hypotheses'!$E16&lt;=F$3,('Costs Hypotheses'!$D16/12),0)</f>
        <v>0</v>
      </c>
      <c r="G35" s="44">
        <f>if('Costs Hypotheses'!$E16&lt;=G$3,('Costs Hypotheses'!$D16/12),0)</f>
        <v>0</v>
      </c>
      <c r="H35" s="44">
        <f>if('Costs Hypotheses'!$E16&lt;=H$3,('Costs Hypotheses'!$D16/12),0)</f>
        <v>0</v>
      </c>
      <c r="I35" s="44">
        <f>if('Costs Hypotheses'!$E16&lt;=I$3,('Costs Hypotheses'!$D16/12),0)</f>
        <v>0</v>
      </c>
      <c r="J35" s="44">
        <f>if('Costs Hypotheses'!$E16&lt;=J$3,('Costs Hypotheses'!$D16/12),0)</f>
        <v>0</v>
      </c>
      <c r="K35" s="44">
        <f>if('Costs Hypotheses'!$E16&lt;=K$3,('Costs Hypotheses'!$D16/12),0)</f>
        <v>0</v>
      </c>
      <c r="L35" s="49">
        <f>if('Costs Hypotheses'!$E16&lt;=L$3,('Costs Hypotheses'!$D16/12),0)</f>
        <v>0</v>
      </c>
      <c r="M35" s="49">
        <f>if('Costs Hypotheses'!$E16&lt;=M$3,('Costs Hypotheses'!$D16/12),0)</f>
        <v>0</v>
      </c>
      <c r="N35" s="49">
        <f>if('Costs Hypotheses'!$E16&lt;=N$3,('Costs Hypotheses'!$D16/12),0)</f>
        <v>0</v>
      </c>
      <c r="O35" s="88">
        <f>if('Costs Hypotheses'!$E16&lt;=O$3,('Costs Hypotheses'!$D16/12),0)</f>
        <v>0</v>
      </c>
      <c r="P35" s="49">
        <f>if('Costs Hypotheses'!$E16&lt;=P$3,('Costs Hypotheses'!$D16/12),0)</f>
        <v>0</v>
      </c>
      <c r="Q35" s="49">
        <f>if('Costs Hypotheses'!$E16&lt;=Q$3,('Costs Hypotheses'!$D16/12),0)</f>
        <v>0</v>
      </c>
      <c r="R35" s="49">
        <f>if('Costs Hypotheses'!$E16&lt;=R$3,('Costs Hypotheses'!$D16/12),0)</f>
        <v>0</v>
      </c>
      <c r="S35" s="49">
        <f>if('Costs Hypotheses'!$E16&lt;=S$3,('Costs Hypotheses'!$D16/12),0)</f>
        <v>0</v>
      </c>
      <c r="T35" s="49">
        <f>if('Costs Hypotheses'!$E16&lt;=T$3,('Costs Hypotheses'!$D16/12),0)</f>
        <v>0</v>
      </c>
      <c r="U35" s="49">
        <f>if('Costs Hypotheses'!$E16&lt;=U$3,('Costs Hypotheses'!$D16/12),0)</f>
        <v>0</v>
      </c>
      <c r="V35" s="49">
        <f>if('Costs Hypotheses'!$E16&lt;=V$3,('Costs Hypotheses'!$D16/12),0)</f>
        <v>0</v>
      </c>
      <c r="W35" s="49">
        <f>if('Costs Hypotheses'!$E16&lt;=W$3,('Costs Hypotheses'!$D16/12),0)</f>
        <v>0</v>
      </c>
      <c r="X35" s="49">
        <f>if('Costs Hypotheses'!$E16&lt;=X$3,('Costs Hypotheses'!$D16/12),0)</f>
        <v>0</v>
      </c>
      <c r="Y35" s="49">
        <f>if('Costs Hypotheses'!$E16&lt;=Y$3,('Costs Hypotheses'!$D16/12),0)</f>
        <v>0</v>
      </c>
      <c r="Z35" s="89">
        <f>if('Costs Hypotheses'!$E16&lt;=Z$3,('Costs Hypotheses'!$D16/12),0)</f>
        <v>0</v>
      </c>
    </row>
    <row r="36" ht="15.75" customHeight="1">
      <c r="A36" s="23"/>
      <c r="B36" s="44" t="str">
        <f>+CONCATENATE('Costs Hypotheses'!B17," - ",'Costs Hypotheses'!C17)</f>
        <v> - </v>
      </c>
      <c r="C36" s="56">
        <f>if('Costs Hypotheses'!$E17&lt;=C$3,('Costs Hypotheses'!$D17/12),0)</f>
        <v>0</v>
      </c>
      <c r="D36" s="44">
        <f>if('Costs Hypotheses'!$E17&lt;=D$3,('Costs Hypotheses'!$D17/12),0)</f>
        <v>0</v>
      </c>
      <c r="E36" s="44">
        <f>if('Costs Hypotheses'!$E17&lt;=E$3,('Costs Hypotheses'!$D17/12),0)</f>
        <v>0</v>
      </c>
      <c r="F36" s="44">
        <f>if('Costs Hypotheses'!$E17&lt;=F$3,('Costs Hypotheses'!$D17/12),0)</f>
        <v>0</v>
      </c>
      <c r="G36" s="44">
        <f>if('Costs Hypotheses'!$E17&lt;=G$3,('Costs Hypotheses'!$D17/12),0)</f>
        <v>0</v>
      </c>
      <c r="H36" s="44">
        <f>if('Costs Hypotheses'!$E17&lt;=H$3,('Costs Hypotheses'!$D17/12),0)</f>
        <v>0</v>
      </c>
      <c r="I36" s="44">
        <f>if('Costs Hypotheses'!$E17&lt;=I$3,('Costs Hypotheses'!$D17/12),0)</f>
        <v>0</v>
      </c>
      <c r="J36" s="44">
        <f>if('Costs Hypotheses'!$E17&lt;=J$3,('Costs Hypotheses'!$D17/12),0)</f>
        <v>0</v>
      </c>
      <c r="K36" s="44">
        <f>if('Costs Hypotheses'!$E17&lt;=K$3,('Costs Hypotheses'!$D17/12),0)</f>
        <v>0</v>
      </c>
      <c r="L36" s="44">
        <f>if('Costs Hypotheses'!$E17&lt;=L$3,('Costs Hypotheses'!$D17/12),0)</f>
        <v>0</v>
      </c>
      <c r="M36" s="44">
        <f>if('Costs Hypotheses'!$E17&lt;=M$3,('Costs Hypotheses'!$D17/12),0)</f>
        <v>0</v>
      </c>
      <c r="N36" s="44">
        <f>if('Costs Hypotheses'!$E17&lt;=N$3,('Costs Hypotheses'!$D17/12),0)</f>
        <v>0</v>
      </c>
      <c r="O36" s="56">
        <f>if('Costs Hypotheses'!$E17&lt;=O$3,('Costs Hypotheses'!$D17/12),0)</f>
        <v>0</v>
      </c>
      <c r="P36" s="44">
        <f>if('Costs Hypotheses'!$E17&lt;=P$3,('Costs Hypotheses'!$D17/12),0)</f>
        <v>0</v>
      </c>
      <c r="Q36" s="49">
        <f>if('Costs Hypotheses'!$E17&lt;=Q$3,('Costs Hypotheses'!$D17/12),0)</f>
        <v>0</v>
      </c>
      <c r="R36" s="49">
        <f>if('Costs Hypotheses'!$E17&lt;=R$3,('Costs Hypotheses'!$D17/12),0)</f>
        <v>0</v>
      </c>
      <c r="S36" s="49">
        <f>if('Costs Hypotheses'!$E17&lt;=S$3,('Costs Hypotheses'!$D17/12),0)</f>
        <v>0</v>
      </c>
      <c r="T36" s="49">
        <f>if('Costs Hypotheses'!$E17&lt;=T$3,('Costs Hypotheses'!$D17/12),0)</f>
        <v>0</v>
      </c>
      <c r="U36" s="49">
        <f>if('Costs Hypotheses'!$E17&lt;=U$3,('Costs Hypotheses'!$D17/12),0)</f>
        <v>0</v>
      </c>
      <c r="V36" s="49">
        <f>if('Costs Hypotheses'!$E17&lt;=V$3,('Costs Hypotheses'!$D17/12),0)</f>
        <v>0</v>
      </c>
      <c r="W36" s="49">
        <f>if('Costs Hypotheses'!$E17&lt;=W$3,('Costs Hypotheses'!$D17/12),0)</f>
        <v>0</v>
      </c>
      <c r="X36" s="49">
        <f>if('Costs Hypotheses'!$E17&lt;=X$3,('Costs Hypotheses'!$D17/12),0)</f>
        <v>0</v>
      </c>
      <c r="Y36" s="49">
        <f>if('Costs Hypotheses'!$E17&lt;=Y$3,('Costs Hypotheses'!$D17/12),0)</f>
        <v>0</v>
      </c>
      <c r="Z36" s="89">
        <f>if('Costs Hypotheses'!$E17&lt;=Z$3,('Costs Hypotheses'!$D17/12),0)</f>
        <v>0</v>
      </c>
    </row>
    <row r="37" ht="15.75" customHeight="1">
      <c r="A37" s="23"/>
      <c r="B37" s="44" t="str">
        <f>+CONCATENATE('Costs Hypotheses'!B18," - ",'Costs Hypotheses'!C18)</f>
        <v> - </v>
      </c>
      <c r="C37" s="56">
        <f>if('Costs Hypotheses'!$E18&lt;=C$3,('Costs Hypotheses'!$D18/12),0)</f>
        <v>0</v>
      </c>
      <c r="D37" s="44">
        <f>if('Costs Hypotheses'!$E18&lt;=D$3,('Costs Hypotheses'!$D18/12),0)</f>
        <v>0</v>
      </c>
      <c r="E37" s="49">
        <f>if('Costs Hypotheses'!$E18&lt;=E$3,('Costs Hypotheses'!$D18/12),0)</f>
        <v>0</v>
      </c>
      <c r="F37" s="49">
        <f>if('Costs Hypotheses'!$E18&lt;=F$3,('Costs Hypotheses'!$D18/12),0)</f>
        <v>0</v>
      </c>
      <c r="G37" s="49">
        <f>if('Costs Hypotheses'!$E18&lt;=G$3,('Costs Hypotheses'!$D18/12),0)</f>
        <v>0</v>
      </c>
      <c r="H37" s="49">
        <f>if('Costs Hypotheses'!$E18&lt;=H$3,('Costs Hypotheses'!$D18/12),0)</f>
        <v>0</v>
      </c>
      <c r="I37" s="49">
        <f>if('Costs Hypotheses'!$E18&lt;=I$3,('Costs Hypotheses'!$D18/12),0)</f>
        <v>0</v>
      </c>
      <c r="J37" s="49">
        <f>if('Costs Hypotheses'!$E18&lt;=J$3,('Costs Hypotheses'!$D18/12),0)</f>
        <v>0</v>
      </c>
      <c r="K37" s="49">
        <f>if('Costs Hypotheses'!$E18&lt;=K$3,('Costs Hypotheses'!$D18/12),0)</f>
        <v>0</v>
      </c>
      <c r="L37" s="49">
        <f>if('Costs Hypotheses'!$E18&lt;=L$3,('Costs Hypotheses'!$D18/12),0)</f>
        <v>0</v>
      </c>
      <c r="M37" s="49">
        <f>if('Costs Hypotheses'!$E18&lt;=M$3,('Costs Hypotheses'!$D18/12),0)</f>
        <v>0</v>
      </c>
      <c r="N37" s="49">
        <f>if('Costs Hypotheses'!$E18&lt;=N$3,('Costs Hypotheses'!$D18/12),0)</f>
        <v>0</v>
      </c>
      <c r="O37" s="88">
        <f>if('Costs Hypotheses'!$E18&lt;=O$3,('Costs Hypotheses'!$D18/12),0)</f>
        <v>0</v>
      </c>
      <c r="P37" s="49">
        <f>if('Costs Hypotheses'!$E18&lt;=P$3,('Costs Hypotheses'!$D18/12),0)</f>
        <v>0</v>
      </c>
      <c r="Q37" s="49">
        <f>if('Costs Hypotheses'!$E18&lt;=Q$3,('Costs Hypotheses'!$D18/12),0)</f>
        <v>0</v>
      </c>
      <c r="R37" s="49">
        <f>if('Costs Hypotheses'!$E18&lt;=R$3,('Costs Hypotheses'!$D18/12),0)</f>
        <v>0</v>
      </c>
      <c r="S37" s="49">
        <f>if('Costs Hypotheses'!$E18&lt;=S$3,('Costs Hypotheses'!$D18/12),0)</f>
        <v>0</v>
      </c>
      <c r="T37" s="49">
        <f>if('Costs Hypotheses'!$E18&lt;=T$3,('Costs Hypotheses'!$D18/12),0)</f>
        <v>0</v>
      </c>
      <c r="U37" s="49">
        <f>if('Costs Hypotheses'!$E18&lt;=U$3,('Costs Hypotheses'!$D18/12),0)</f>
        <v>0</v>
      </c>
      <c r="V37" s="49">
        <f>if('Costs Hypotheses'!$E18&lt;=V$3,('Costs Hypotheses'!$D18/12),0)</f>
        <v>0</v>
      </c>
      <c r="W37" s="49">
        <f>if('Costs Hypotheses'!$E18&lt;=W$3,('Costs Hypotheses'!$D18/12),0)</f>
        <v>0</v>
      </c>
      <c r="X37" s="49">
        <f>if('Costs Hypotheses'!$E18&lt;=X$3,('Costs Hypotheses'!$D18/12),0)</f>
        <v>0</v>
      </c>
      <c r="Y37" s="49">
        <f>if('Costs Hypotheses'!$E18&lt;=Y$3,('Costs Hypotheses'!$D18/12),0)</f>
        <v>0</v>
      </c>
      <c r="Z37" s="89">
        <f>if('Costs Hypotheses'!$E18&lt;=Z$3,('Costs Hypotheses'!$D18/12),0)</f>
        <v>0</v>
      </c>
    </row>
    <row r="38" ht="15.75" customHeight="1">
      <c r="A38" s="23"/>
      <c r="B38" s="44" t="str">
        <f>+CONCATENATE('Costs Hypotheses'!B19," - ",'Costs Hypotheses'!C19)</f>
        <v> - </v>
      </c>
      <c r="C38" s="56">
        <f>if('Costs Hypotheses'!$E19&lt;=C$3,('Costs Hypotheses'!$D19/12),0)</f>
        <v>0</v>
      </c>
      <c r="D38" s="44">
        <f>if('Costs Hypotheses'!$E19&lt;=D$3,('Costs Hypotheses'!$D19/12),0)</f>
        <v>0</v>
      </c>
      <c r="E38" s="44">
        <f>if('Costs Hypotheses'!$E19&lt;=E$3,('Costs Hypotheses'!$D19/12),0)</f>
        <v>0</v>
      </c>
      <c r="F38" s="44">
        <f>if('Costs Hypotheses'!$E19&lt;=F$3,('Costs Hypotheses'!$D19/12),0)</f>
        <v>0</v>
      </c>
      <c r="G38" s="44">
        <f>if('Costs Hypotheses'!$E19&lt;=G$3,('Costs Hypotheses'!$D19/12),0)</f>
        <v>0</v>
      </c>
      <c r="H38" s="44">
        <f>if('Costs Hypotheses'!$E19&lt;=H$3,('Costs Hypotheses'!$D19/12),0)</f>
        <v>0</v>
      </c>
      <c r="I38" s="44">
        <f>if('Costs Hypotheses'!$E19&lt;=I$3,('Costs Hypotheses'!$D19/12),0)</f>
        <v>0</v>
      </c>
      <c r="J38" s="49">
        <f>if('Costs Hypotheses'!$E19&lt;=J$3,('Costs Hypotheses'!$D19/12),0)</f>
        <v>0</v>
      </c>
      <c r="K38" s="49">
        <f>if('Costs Hypotheses'!$E19&lt;=K$3,('Costs Hypotheses'!$D19/12),0)</f>
        <v>0</v>
      </c>
      <c r="L38" s="49">
        <f>if('Costs Hypotheses'!$E19&lt;=L$3,('Costs Hypotheses'!$D19/12),0)</f>
        <v>0</v>
      </c>
      <c r="M38" s="49">
        <f>if('Costs Hypotheses'!$E19&lt;=M$3,('Costs Hypotheses'!$D19/12),0)</f>
        <v>0</v>
      </c>
      <c r="N38" s="49">
        <f>if('Costs Hypotheses'!$E19&lt;=N$3,('Costs Hypotheses'!$D19/12),0)</f>
        <v>0</v>
      </c>
      <c r="O38" s="88">
        <f>if('Costs Hypotheses'!$E19&lt;=O$3,('Costs Hypotheses'!$D19/12),0)</f>
        <v>0</v>
      </c>
      <c r="P38" s="49">
        <f>if('Costs Hypotheses'!$E19&lt;=P$3,('Costs Hypotheses'!$D19/12),0)</f>
        <v>0</v>
      </c>
      <c r="Q38" s="49">
        <f>if('Costs Hypotheses'!$E19&lt;=Q$3,('Costs Hypotheses'!$D19/12),0)</f>
        <v>0</v>
      </c>
      <c r="R38" s="49">
        <f>if('Costs Hypotheses'!$E19&lt;=R$3,('Costs Hypotheses'!$D19/12),0)</f>
        <v>0</v>
      </c>
      <c r="S38" s="49">
        <f>if('Costs Hypotheses'!$E19&lt;=S$3,('Costs Hypotheses'!$D19/12),0)</f>
        <v>0</v>
      </c>
      <c r="T38" s="49">
        <f>if('Costs Hypotheses'!$E19&lt;=T$3,('Costs Hypotheses'!$D19/12),0)</f>
        <v>0</v>
      </c>
      <c r="U38" s="49">
        <f>if('Costs Hypotheses'!$E19&lt;=U$3,('Costs Hypotheses'!$D19/12),0)</f>
        <v>0</v>
      </c>
      <c r="V38" s="49">
        <f>if('Costs Hypotheses'!$E19&lt;=V$3,('Costs Hypotheses'!$D19/12),0)</f>
        <v>0</v>
      </c>
      <c r="W38" s="49">
        <f>if('Costs Hypotheses'!$E19&lt;=W$3,('Costs Hypotheses'!$D19/12),0)</f>
        <v>0</v>
      </c>
      <c r="X38" s="49">
        <f>if('Costs Hypotheses'!$E19&lt;=X$3,('Costs Hypotheses'!$D19/12),0)</f>
        <v>0</v>
      </c>
      <c r="Y38" s="49">
        <f>if('Costs Hypotheses'!$E19&lt;=Y$3,('Costs Hypotheses'!$D19/12),0)</f>
        <v>0</v>
      </c>
      <c r="Z38" s="89">
        <f>if('Costs Hypotheses'!$E19&lt;=Z$3,('Costs Hypotheses'!$D19/12),0)</f>
        <v>0</v>
      </c>
    </row>
    <row r="39" ht="15.75" customHeight="1">
      <c r="A39" s="23"/>
      <c r="B39" s="44" t="str">
        <f>+CONCATENATE('Costs Hypotheses'!B20," - ",'Costs Hypotheses'!C20)</f>
        <v> - </v>
      </c>
      <c r="C39" s="56">
        <f>if('Costs Hypotheses'!$E20&lt;=C$3,('Costs Hypotheses'!$D20/12),0)</f>
        <v>0</v>
      </c>
      <c r="D39" s="44">
        <f>if('Costs Hypotheses'!$E20&lt;=D$3,('Costs Hypotheses'!$D20/12),0)</f>
        <v>0</v>
      </c>
      <c r="E39" s="44">
        <f>if('Costs Hypotheses'!$E20&lt;=E$3,('Costs Hypotheses'!$D20/12),0)</f>
        <v>0</v>
      </c>
      <c r="F39" s="44">
        <f>if('Costs Hypotheses'!$E20&lt;=F$3,('Costs Hypotheses'!$D20/12),0)</f>
        <v>0</v>
      </c>
      <c r="G39" s="44">
        <f>if('Costs Hypotheses'!$E20&lt;=G$3,('Costs Hypotheses'!$D20/12),0)</f>
        <v>0</v>
      </c>
      <c r="H39" s="44">
        <f>if('Costs Hypotheses'!$E20&lt;=H$3,('Costs Hypotheses'!$D20/12),0)</f>
        <v>0</v>
      </c>
      <c r="I39" s="44">
        <f>if('Costs Hypotheses'!$E20&lt;=I$3,('Costs Hypotheses'!$D20/12),0)</f>
        <v>0</v>
      </c>
      <c r="J39" s="44">
        <f>if('Costs Hypotheses'!$E20&lt;=J$3,('Costs Hypotheses'!$D20/12),0)</f>
        <v>0</v>
      </c>
      <c r="K39" s="44">
        <f>if('Costs Hypotheses'!$E20&lt;=K$3,('Costs Hypotheses'!$D20/12),0)</f>
        <v>0</v>
      </c>
      <c r="L39" s="44">
        <f>if('Costs Hypotheses'!$E20&lt;=L$3,('Costs Hypotheses'!$D20/12),0)</f>
        <v>0</v>
      </c>
      <c r="M39" s="44">
        <f>if('Costs Hypotheses'!$E20&lt;=M$3,('Costs Hypotheses'!$D20/12),0)</f>
        <v>0</v>
      </c>
      <c r="N39" s="49">
        <f>if('Costs Hypotheses'!$E20&lt;=N$3,('Costs Hypotheses'!$D20/12),0)</f>
        <v>0</v>
      </c>
      <c r="O39" s="88">
        <f>if('Costs Hypotheses'!$E20&lt;=O$3,('Costs Hypotheses'!$D20/12),0)</f>
        <v>0</v>
      </c>
      <c r="P39" s="49">
        <f>if('Costs Hypotheses'!$E20&lt;=P$3,('Costs Hypotheses'!$D20/12),0)</f>
        <v>0</v>
      </c>
      <c r="Q39" s="49">
        <f>if('Costs Hypotheses'!$E20&lt;=Q$3,('Costs Hypotheses'!$D20/12),0)</f>
        <v>0</v>
      </c>
      <c r="R39" s="49">
        <f>if('Costs Hypotheses'!$E20&lt;=R$3,('Costs Hypotheses'!$D20/12),0)</f>
        <v>0</v>
      </c>
      <c r="S39" s="49">
        <f>if('Costs Hypotheses'!$E20&lt;=S$3,('Costs Hypotheses'!$D20/12),0)</f>
        <v>0</v>
      </c>
      <c r="T39" s="49">
        <f>if('Costs Hypotheses'!$E20&lt;=T$3,('Costs Hypotheses'!$D20/12),0)</f>
        <v>0</v>
      </c>
      <c r="U39" s="49">
        <f>if('Costs Hypotheses'!$E20&lt;=U$3,('Costs Hypotheses'!$D20/12),0)</f>
        <v>0</v>
      </c>
      <c r="V39" s="49">
        <f>if('Costs Hypotheses'!$E20&lt;=V$3,('Costs Hypotheses'!$D20/12),0)</f>
        <v>0</v>
      </c>
      <c r="W39" s="49">
        <f>if('Costs Hypotheses'!$E20&lt;=W$3,('Costs Hypotheses'!$D20/12),0)</f>
        <v>0</v>
      </c>
      <c r="X39" s="49">
        <f>if('Costs Hypotheses'!$E20&lt;=X$3,('Costs Hypotheses'!$D20/12),0)</f>
        <v>0</v>
      </c>
      <c r="Y39" s="49">
        <f>if('Costs Hypotheses'!$E20&lt;=Y$3,('Costs Hypotheses'!$D20/12),0)</f>
        <v>0</v>
      </c>
      <c r="Z39" s="89">
        <f>if('Costs Hypotheses'!$E20&lt;=Z$3,('Costs Hypotheses'!$D20/12),0)</f>
        <v>0</v>
      </c>
    </row>
    <row r="40" ht="15.75" customHeight="1">
      <c r="A40" s="23"/>
      <c r="B40" s="44" t="str">
        <f>+CONCATENATE('Costs Hypotheses'!B21," - ",'Costs Hypotheses'!C21)</f>
        <v> - </v>
      </c>
      <c r="C40" s="56">
        <f>if('Costs Hypotheses'!$E21&lt;=C$3,('Costs Hypotheses'!$D21/12),0)</f>
        <v>0</v>
      </c>
      <c r="D40" s="44">
        <f>if('Costs Hypotheses'!$E21&lt;=D$3,('Costs Hypotheses'!$D21/12),0)</f>
        <v>0</v>
      </c>
      <c r="E40" s="44">
        <f>if('Costs Hypotheses'!$E21&lt;=E$3,('Costs Hypotheses'!$D21/12),0)</f>
        <v>0</v>
      </c>
      <c r="F40" s="44">
        <f>if('Costs Hypotheses'!$E21&lt;=F$3,('Costs Hypotheses'!$D21/12),0)</f>
        <v>0</v>
      </c>
      <c r="G40" s="44">
        <f>if('Costs Hypotheses'!$E21&lt;=G$3,('Costs Hypotheses'!$D21/12),0)</f>
        <v>0</v>
      </c>
      <c r="H40" s="44">
        <f>if('Costs Hypotheses'!$E21&lt;=H$3,('Costs Hypotheses'!$D21/12),0)</f>
        <v>0</v>
      </c>
      <c r="I40" s="44">
        <f>if('Costs Hypotheses'!$E21&lt;=I$3,('Costs Hypotheses'!$D21/12),0)</f>
        <v>0</v>
      </c>
      <c r="J40" s="44">
        <f>if('Costs Hypotheses'!$E21&lt;=J$3,('Costs Hypotheses'!$D21/12),0)</f>
        <v>0</v>
      </c>
      <c r="K40" s="44">
        <f>if('Costs Hypotheses'!$E21&lt;=K$3,('Costs Hypotheses'!$D21/12),0)</f>
        <v>0</v>
      </c>
      <c r="L40" s="44">
        <f>if('Costs Hypotheses'!$E21&lt;=L$3,('Costs Hypotheses'!$D21/12),0)</f>
        <v>0</v>
      </c>
      <c r="M40" s="44">
        <f>if('Costs Hypotheses'!$E21&lt;=M$3,('Costs Hypotheses'!$D21/12),0)</f>
        <v>0</v>
      </c>
      <c r="N40" s="44">
        <f>if('Costs Hypotheses'!$E21&lt;=N$3,('Costs Hypotheses'!$D21/12),0)</f>
        <v>0</v>
      </c>
      <c r="O40" s="56">
        <f>if('Costs Hypotheses'!$E21&lt;=O$3,('Costs Hypotheses'!$D21/12),0)</f>
        <v>0</v>
      </c>
      <c r="P40" s="44">
        <f>if('Costs Hypotheses'!$E21&lt;=P$3,('Costs Hypotheses'!$D21/12),0)</f>
        <v>0</v>
      </c>
      <c r="Q40" s="49">
        <f>if('Costs Hypotheses'!$E21&lt;=Q$3,('Costs Hypotheses'!$D21/12),0)</f>
        <v>0</v>
      </c>
      <c r="R40" s="49">
        <f>if('Costs Hypotheses'!$E21&lt;=R$3,('Costs Hypotheses'!$D21/12),0)</f>
        <v>0</v>
      </c>
      <c r="S40" s="49">
        <f>if('Costs Hypotheses'!$E21&lt;=S$3,('Costs Hypotheses'!$D21/12),0)</f>
        <v>0</v>
      </c>
      <c r="T40" s="49">
        <f>if('Costs Hypotheses'!$E21&lt;=T$3,('Costs Hypotheses'!$D21/12),0)</f>
        <v>0</v>
      </c>
      <c r="U40" s="49">
        <f>if('Costs Hypotheses'!$E21&lt;=U$3,('Costs Hypotheses'!$D21/12),0)</f>
        <v>0</v>
      </c>
      <c r="V40" s="49">
        <f>if('Costs Hypotheses'!$E21&lt;=V$3,('Costs Hypotheses'!$D21/12),0)</f>
        <v>0</v>
      </c>
      <c r="W40" s="49">
        <f>if('Costs Hypotheses'!$E21&lt;=W$3,('Costs Hypotheses'!$D21/12),0)</f>
        <v>0</v>
      </c>
      <c r="X40" s="49">
        <f>if('Costs Hypotheses'!$E21&lt;=X$3,('Costs Hypotheses'!$D21/12),0)</f>
        <v>0</v>
      </c>
      <c r="Y40" s="49">
        <f>if('Costs Hypotheses'!$E21&lt;=Y$3,('Costs Hypotheses'!$D21/12),0)</f>
        <v>0</v>
      </c>
      <c r="Z40" s="89">
        <f>if('Costs Hypotheses'!$E21&lt;=Z$3,('Costs Hypotheses'!$D21/12),0)</f>
        <v>0</v>
      </c>
    </row>
    <row r="41" ht="15.75" customHeight="1">
      <c r="A41" s="23"/>
      <c r="B41" s="44" t="str">
        <f>+CONCATENATE('Costs Hypotheses'!B22," - ",'Costs Hypotheses'!C22)</f>
        <v> - </v>
      </c>
      <c r="C41" s="56">
        <f>if('Costs Hypotheses'!$E22&lt;=C$3,('Costs Hypotheses'!$D22/12),0)</f>
        <v>0</v>
      </c>
      <c r="D41" s="44">
        <f>if('Costs Hypotheses'!$E22&lt;=D$3,('Costs Hypotheses'!$D22/12),0)</f>
        <v>0</v>
      </c>
      <c r="E41" s="44">
        <f>if('Costs Hypotheses'!$E22&lt;=E$3,('Costs Hypotheses'!$D22/12),0)</f>
        <v>0</v>
      </c>
      <c r="F41" s="44">
        <f>if('Costs Hypotheses'!$E22&lt;=F$3,('Costs Hypotheses'!$D22/12),0)</f>
        <v>0</v>
      </c>
      <c r="G41" s="44">
        <f>if('Costs Hypotheses'!$E22&lt;=G$3,('Costs Hypotheses'!$D22/12),0)</f>
        <v>0</v>
      </c>
      <c r="H41" s="44">
        <f>if('Costs Hypotheses'!$E22&lt;=H$3,('Costs Hypotheses'!$D22/12),0)</f>
        <v>0</v>
      </c>
      <c r="I41" s="44">
        <f>if('Costs Hypotheses'!$E22&lt;=I$3,('Costs Hypotheses'!$D22/12),0)</f>
        <v>0</v>
      </c>
      <c r="J41" s="44">
        <f>if('Costs Hypotheses'!$E22&lt;=J$3,('Costs Hypotheses'!$D22/12),0)</f>
        <v>0</v>
      </c>
      <c r="K41" s="44">
        <f>if('Costs Hypotheses'!$E22&lt;=K$3,('Costs Hypotheses'!$D22/12),0)</f>
        <v>0</v>
      </c>
      <c r="L41" s="44">
        <f>if('Costs Hypotheses'!$E22&lt;=L$3,('Costs Hypotheses'!$D22/12),0)</f>
        <v>0</v>
      </c>
      <c r="M41" s="44">
        <f>if('Costs Hypotheses'!$E22&lt;=M$3,('Costs Hypotheses'!$D22/12),0)</f>
        <v>0</v>
      </c>
      <c r="N41" s="44">
        <f>if('Costs Hypotheses'!$E22&lt;=N$3,('Costs Hypotheses'!$D22/12),0)</f>
        <v>0</v>
      </c>
      <c r="O41" s="56">
        <f>if('Costs Hypotheses'!$E22&lt;=O$3,('Costs Hypotheses'!$D22/12),0)</f>
        <v>0</v>
      </c>
      <c r="P41" s="44">
        <f>if('Costs Hypotheses'!$E22&lt;=P$3,('Costs Hypotheses'!$D22/12),0)</f>
        <v>0</v>
      </c>
      <c r="Q41" s="44">
        <f>if('Costs Hypotheses'!$E22&lt;=Q$3,('Costs Hypotheses'!$D22/12),0)</f>
        <v>0</v>
      </c>
      <c r="R41" s="44">
        <f>if('Costs Hypotheses'!$E22&lt;=R$3,('Costs Hypotheses'!$D22/12),0)</f>
        <v>0</v>
      </c>
      <c r="S41" s="44">
        <f>if('Costs Hypotheses'!$E22&lt;=S$3,('Costs Hypotheses'!$D22/12),0)</f>
        <v>0</v>
      </c>
      <c r="T41" s="49">
        <f>if('Costs Hypotheses'!$E22&lt;=T$3,('Costs Hypotheses'!$D22/12),0)</f>
        <v>0</v>
      </c>
      <c r="U41" s="49">
        <f>if('Costs Hypotheses'!$E22&lt;=U$3,('Costs Hypotheses'!$D22/12),0)</f>
        <v>0</v>
      </c>
      <c r="V41" s="49">
        <f>if('Costs Hypotheses'!$E22&lt;=V$3,('Costs Hypotheses'!$D22/12),0)</f>
        <v>0</v>
      </c>
      <c r="W41" s="49">
        <f>if('Costs Hypotheses'!$E22&lt;=W$3,('Costs Hypotheses'!$D22/12),0)</f>
        <v>0</v>
      </c>
      <c r="X41" s="49">
        <f>if('Costs Hypotheses'!$E22&lt;=X$3,('Costs Hypotheses'!$D22/12),0)</f>
        <v>0</v>
      </c>
      <c r="Y41" s="49">
        <f>if('Costs Hypotheses'!$E22&lt;=Y$3,('Costs Hypotheses'!$D22/12),0)</f>
        <v>0</v>
      </c>
      <c r="Z41" s="89">
        <f>if('Costs Hypotheses'!$E22&lt;=Z$3,('Costs Hypotheses'!$D22/12),0)</f>
        <v>0</v>
      </c>
    </row>
    <row r="42" ht="15.75" customHeight="1">
      <c r="A42" s="85"/>
      <c r="B42" s="85" t="s">
        <v>68</v>
      </c>
      <c r="C42" s="86">
        <f t="shared" ref="C42:Z42" si="7">sum(C22:C41)</f>
        <v>20000</v>
      </c>
      <c r="D42" s="85">
        <f t="shared" si="7"/>
        <v>20000</v>
      </c>
      <c r="E42" s="85">
        <f t="shared" si="7"/>
        <v>20000</v>
      </c>
      <c r="F42" s="85">
        <f t="shared" si="7"/>
        <v>30000</v>
      </c>
      <c r="G42" s="85">
        <f t="shared" si="7"/>
        <v>30000</v>
      </c>
      <c r="H42" s="85">
        <f t="shared" si="7"/>
        <v>30000</v>
      </c>
      <c r="I42" s="85">
        <f t="shared" si="7"/>
        <v>30000</v>
      </c>
      <c r="J42" s="85">
        <f t="shared" si="7"/>
        <v>30000</v>
      </c>
      <c r="K42" s="85">
        <f t="shared" si="7"/>
        <v>30000</v>
      </c>
      <c r="L42" s="85">
        <f t="shared" si="7"/>
        <v>40000</v>
      </c>
      <c r="M42" s="85">
        <f t="shared" si="7"/>
        <v>40000</v>
      </c>
      <c r="N42" s="85">
        <f t="shared" si="7"/>
        <v>40000</v>
      </c>
      <c r="O42" s="86">
        <f t="shared" si="7"/>
        <v>40000</v>
      </c>
      <c r="P42" s="85">
        <f t="shared" si="7"/>
        <v>40000</v>
      </c>
      <c r="Q42" s="85">
        <f t="shared" si="7"/>
        <v>40000</v>
      </c>
      <c r="R42" s="85">
        <f t="shared" si="7"/>
        <v>40000</v>
      </c>
      <c r="S42" s="85">
        <f t="shared" si="7"/>
        <v>40000</v>
      </c>
      <c r="T42" s="85">
        <f t="shared" si="7"/>
        <v>40000</v>
      </c>
      <c r="U42" s="85">
        <f t="shared" si="7"/>
        <v>40000</v>
      </c>
      <c r="V42" s="85">
        <f t="shared" si="7"/>
        <v>40000</v>
      </c>
      <c r="W42" s="85">
        <f t="shared" si="7"/>
        <v>40000</v>
      </c>
      <c r="X42" s="85">
        <f t="shared" si="7"/>
        <v>40000</v>
      </c>
      <c r="Y42" s="85">
        <f t="shared" si="7"/>
        <v>40000</v>
      </c>
      <c r="Z42" s="87">
        <f t="shared" si="7"/>
        <v>40000</v>
      </c>
    </row>
    <row r="43" ht="15.75" customHeight="1">
      <c r="A43" s="43"/>
      <c r="B43" s="23"/>
      <c r="C43" s="56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56"/>
      <c r="Z43" s="57"/>
    </row>
    <row r="44" ht="15.75" customHeight="1">
      <c r="A44" s="42" t="s">
        <v>69</v>
      </c>
      <c r="B44" s="23"/>
      <c r="C44" s="56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56"/>
      <c r="Z44" s="57"/>
    </row>
    <row r="45" ht="15.75" customHeight="1">
      <c r="A45" s="23"/>
      <c r="B45" s="44" t="str">
        <f>'Costs Hypotheses'!B26</f>
        <v>Adwords</v>
      </c>
      <c r="C45" s="59">
        <f>'Costs Hypotheses'!$D26*C14</f>
        <v>107.35</v>
      </c>
      <c r="D45" s="60">
        <f>'Costs Hypotheses'!$D26*D14</f>
        <v>173.15295</v>
      </c>
      <c r="E45" s="60">
        <f>'Costs Hypotheses'!$D26*E14</f>
        <v>248.6772412</v>
      </c>
      <c r="F45" s="60">
        <f>'Costs Hypotheses'!$D26*F14</f>
        <v>333.1002094</v>
      </c>
      <c r="G45" s="60">
        <f>'Costs Hypotheses'!$D26*G14</f>
        <v>427.4901888</v>
      </c>
      <c r="H45" s="60">
        <f>'Costs Hypotheses'!$D26*H14</f>
        <v>533.0437118</v>
      </c>
      <c r="I45" s="60">
        <f>'Costs Hypotheses'!$D26*I14</f>
        <v>648.4311299</v>
      </c>
      <c r="J45" s="60">
        <f>'Costs Hypotheses'!$D26*J14</f>
        <v>775.1089577</v>
      </c>
      <c r="K45" s="60">
        <f>'Costs Hypotheses'!$D26*K14</f>
        <v>914.2072293</v>
      </c>
      <c r="L45" s="60">
        <f>'Costs Hypotheses'!$D26*L14</f>
        <v>1064.125004</v>
      </c>
      <c r="M45" s="60">
        <f>'Costs Hypotheses'!$D26*M14</f>
        <v>1225.729077</v>
      </c>
      <c r="N45" s="60">
        <f>'Costs Hypotheses'!$D26*N14</f>
        <v>1399.955579</v>
      </c>
      <c r="O45" s="59">
        <f>'Costs Hypotheses'!$D26*O14</f>
        <v>1618.769092</v>
      </c>
      <c r="P45" s="60">
        <f>'Costs Hypotheses'!$D26*P14</f>
        <v>1854.660417</v>
      </c>
      <c r="Q45" s="60">
        <f>'Costs Hypotheses'!$D26*Q14</f>
        <v>2108.99749</v>
      </c>
      <c r="R45" s="60">
        <f>'Costs Hypotheses'!$D26*R14</f>
        <v>2380.640114</v>
      </c>
      <c r="S45" s="60">
        <f>'Costs Hypotheses'!$D26*S14</f>
        <v>2670.80167</v>
      </c>
      <c r="T45" s="60">
        <f>'Costs Hypotheses'!$D26*T14</f>
        <v>2980.780469</v>
      </c>
      <c r="U45" s="60">
        <f>'Costs Hypotheses'!$D26*U14</f>
        <v>3308.759073</v>
      </c>
      <c r="V45" s="60">
        <f>'Costs Hypotheses'!$D26*V14</f>
        <v>3655.819865</v>
      </c>
      <c r="W45" s="60">
        <f>'Costs Hypotheses'!$D26*W14</f>
        <v>4023.110165</v>
      </c>
      <c r="X45" s="60">
        <f>'Costs Hypotheses'!$D26*X14</f>
        <v>4408.026982</v>
      </c>
      <c r="Y45" s="60">
        <f>'Costs Hypotheses'!$D26*Y14</f>
        <v>4811.454595</v>
      </c>
      <c r="Z45" s="61">
        <f>'Costs Hypotheses'!$D26*Z14</f>
        <v>5234.321483</v>
      </c>
    </row>
    <row r="46" ht="15.75" customHeight="1">
      <c r="A46" s="23"/>
      <c r="B46" s="44" t="str">
        <f>'Costs Hypotheses'!B27</f>
        <v>Social / display ads</v>
      </c>
      <c r="C46" s="59">
        <f>'Costs Hypotheses'!$D27*C14</f>
        <v>53.675</v>
      </c>
      <c r="D46" s="60">
        <f>'Costs Hypotheses'!$D27*D14</f>
        <v>86.576475</v>
      </c>
      <c r="E46" s="60">
        <f>'Costs Hypotheses'!$D27*E14</f>
        <v>124.3386206</v>
      </c>
      <c r="F46" s="60">
        <f>'Costs Hypotheses'!$D27*F14</f>
        <v>166.5501047</v>
      </c>
      <c r="G46" s="60">
        <f>'Costs Hypotheses'!$D27*G14</f>
        <v>213.7450944</v>
      </c>
      <c r="H46" s="60">
        <f>'Costs Hypotheses'!$D27*H14</f>
        <v>266.5218559</v>
      </c>
      <c r="I46" s="60">
        <f>'Costs Hypotheses'!$D27*I14</f>
        <v>324.215565</v>
      </c>
      <c r="J46" s="60">
        <f>'Costs Hypotheses'!$D27*J14</f>
        <v>387.5544788</v>
      </c>
      <c r="K46" s="60">
        <f>'Costs Hypotheses'!$D27*K14</f>
        <v>457.1036147</v>
      </c>
      <c r="L46" s="60">
        <f>'Costs Hypotheses'!$D27*L14</f>
        <v>532.0625022</v>
      </c>
      <c r="M46" s="60">
        <f>'Costs Hypotheses'!$D27*M14</f>
        <v>612.8645384</v>
      </c>
      <c r="N46" s="60">
        <f>'Costs Hypotheses'!$D27*N14</f>
        <v>699.9777894</v>
      </c>
      <c r="O46" s="59">
        <f>'Costs Hypotheses'!$D27*O14</f>
        <v>809.3845458</v>
      </c>
      <c r="P46" s="60">
        <f>'Costs Hypotheses'!$D27*P14</f>
        <v>927.3302086</v>
      </c>
      <c r="Q46" s="60">
        <f>'Costs Hypotheses'!$D27*Q14</f>
        <v>1054.498745</v>
      </c>
      <c r="R46" s="60">
        <f>'Costs Hypotheses'!$D27*R14</f>
        <v>1190.320057</v>
      </c>
      <c r="S46" s="60">
        <f>'Costs Hypotheses'!$D27*S14</f>
        <v>1335.400835</v>
      </c>
      <c r="T46" s="60">
        <f>'Costs Hypotheses'!$D27*T14</f>
        <v>1490.390234</v>
      </c>
      <c r="U46" s="60">
        <f>'Costs Hypotheses'!$D27*U14</f>
        <v>1654.379536</v>
      </c>
      <c r="V46" s="60">
        <f>'Costs Hypotheses'!$D27*V14</f>
        <v>1827.909933</v>
      </c>
      <c r="W46" s="60">
        <f>'Costs Hypotheses'!$D27*W14</f>
        <v>2011.555082</v>
      </c>
      <c r="X46" s="60">
        <f>'Costs Hypotheses'!$D27*X14</f>
        <v>2204.013491</v>
      </c>
      <c r="Y46" s="60">
        <f>'Costs Hypotheses'!$D27*Y14</f>
        <v>2405.727297</v>
      </c>
      <c r="Z46" s="61">
        <f>'Costs Hypotheses'!$D27*Z14</f>
        <v>2617.160741</v>
      </c>
    </row>
    <row r="47" ht="15.75" customHeight="1">
      <c r="A47" s="85"/>
      <c r="B47" s="85" t="s">
        <v>70</v>
      </c>
      <c r="C47" s="86">
        <f t="shared" ref="C47:Z47" si="8">sum(C45:C46)</f>
        <v>161.025</v>
      </c>
      <c r="D47" s="85">
        <f t="shared" si="8"/>
        <v>259.729425</v>
      </c>
      <c r="E47" s="85">
        <f t="shared" si="8"/>
        <v>373.0158617</v>
      </c>
      <c r="F47" s="85">
        <f t="shared" si="8"/>
        <v>499.6503141</v>
      </c>
      <c r="G47" s="85">
        <f t="shared" si="8"/>
        <v>641.2352832</v>
      </c>
      <c r="H47" s="85">
        <f t="shared" si="8"/>
        <v>799.5655677</v>
      </c>
      <c r="I47" s="85">
        <f t="shared" si="8"/>
        <v>972.6466949</v>
      </c>
      <c r="J47" s="85">
        <f t="shared" si="8"/>
        <v>1162.663437</v>
      </c>
      <c r="K47" s="85">
        <f t="shared" si="8"/>
        <v>1371.310844</v>
      </c>
      <c r="L47" s="85">
        <f t="shared" si="8"/>
        <v>1596.187507</v>
      </c>
      <c r="M47" s="85">
        <f t="shared" si="8"/>
        <v>1838.593615</v>
      </c>
      <c r="N47" s="85">
        <f t="shared" si="8"/>
        <v>2099.933368</v>
      </c>
      <c r="O47" s="85">
        <f t="shared" si="8"/>
        <v>2428.153637</v>
      </c>
      <c r="P47" s="85">
        <f t="shared" si="8"/>
        <v>2781.990626</v>
      </c>
      <c r="Q47" s="85">
        <f t="shared" si="8"/>
        <v>3163.496234</v>
      </c>
      <c r="R47" s="85">
        <f t="shared" si="8"/>
        <v>3570.960171</v>
      </c>
      <c r="S47" s="85">
        <f t="shared" si="8"/>
        <v>4006.202505</v>
      </c>
      <c r="T47" s="85">
        <f t="shared" si="8"/>
        <v>4471.170703</v>
      </c>
      <c r="U47" s="85">
        <f t="shared" si="8"/>
        <v>4963.138609</v>
      </c>
      <c r="V47" s="85">
        <f t="shared" si="8"/>
        <v>5483.729798</v>
      </c>
      <c r="W47" s="85">
        <f t="shared" si="8"/>
        <v>6034.665247</v>
      </c>
      <c r="X47" s="85">
        <f t="shared" si="8"/>
        <v>6612.040473</v>
      </c>
      <c r="Y47" s="85">
        <f t="shared" si="8"/>
        <v>7217.181892</v>
      </c>
      <c r="Z47" s="85">
        <f t="shared" si="8"/>
        <v>7851.482224</v>
      </c>
    </row>
    <row r="48" ht="15.75" customHeight="1">
      <c r="A48" s="42" t="s">
        <v>71</v>
      </c>
      <c r="B48" s="23"/>
      <c r="C48" s="56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56"/>
      <c r="Z48" s="57"/>
    </row>
    <row r="49" ht="15.75" customHeight="1">
      <c r="A49" s="23"/>
      <c r="B49" s="44" t="str">
        <f>'Costs Hypotheses'!B31</f>
        <v>Hosting &amp; Bandwidth</v>
      </c>
      <c r="C49" s="90">
        <f>'Costs Hypotheses'!$D31</f>
        <v>1500</v>
      </c>
      <c r="D49" s="47">
        <f>'Costs Hypotheses'!$D31</f>
        <v>1500</v>
      </c>
      <c r="E49" s="47">
        <f>'Costs Hypotheses'!$D31</f>
        <v>1500</v>
      </c>
      <c r="F49" s="47">
        <f>'Costs Hypotheses'!$D31</f>
        <v>1500</v>
      </c>
      <c r="G49" s="47">
        <f>'Costs Hypotheses'!$D31</f>
        <v>1500</v>
      </c>
      <c r="H49" s="47">
        <f>'Costs Hypotheses'!$D31</f>
        <v>1500</v>
      </c>
      <c r="I49" s="47">
        <f>'Costs Hypotheses'!$D31</f>
        <v>1500</v>
      </c>
      <c r="J49" s="47">
        <f>'Costs Hypotheses'!$D31</f>
        <v>1500</v>
      </c>
      <c r="K49" s="47">
        <f>'Costs Hypotheses'!$D31</f>
        <v>1500</v>
      </c>
      <c r="L49" s="47">
        <f>'Costs Hypotheses'!$D31</f>
        <v>1500</v>
      </c>
      <c r="M49" s="47">
        <f>'Costs Hypotheses'!$D31</f>
        <v>1500</v>
      </c>
      <c r="N49" s="47">
        <f>'Costs Hypotheses'!$D31</f>
        <v>1500</v>
      </c>
      <c r="O49" s="90">
        <f>'Costs Hypotheses'!$D31</f>
        <v>1500</v>
      </c>
      <c r="P49" s="47">
        <f>'Costs Hypotheses'!$D31</f>
        <v>1500</v>
      </c>
      <c r="Q49" s="47">
        <f>'Costs Hypotheses'!$D31</f>
        <v>1500</v>
      </c>
      <c r="R49" s="47">
        <f>'Costs Hypotheses'!$D31</f>
        <v>1500</v>
      </c>
      <c r="S49" s="47">
        <f>'Costs Hypotheses'!$D31</f>
        <v>1500</v>
      </c>
      <c r="T49" s="47">
        <f>'Costs Hypotheses'!$D31</f>
        <v>1500</v>
      </c>
      <c r="U49" s="47">
        <f>'Costs Hypotheses'!$D31</f>
        <v>1500</v>
      </c>
      <c r="V49" s="47">
        <f>'Costs Hypotheses'!$D31</f>
        <v>1500</v>
      </c>
      <c r="W49" s="47">
        <f>'Costs Hypotheses'!$D31</f>
        <v>1500</v>
      </c>
      <c r="X49" s="47">
        <f>'Costs Hypotheses'!$D31</f>
        <v>1500</v>
      </c>
      <c r="Y49" s="47">
        <f>'Costs Hypotheses'!$D31</f>
        <v>1500</v>
      </c>
      <c r="Z49" s="91">
        <f>'Costs Hypotheses'!$D31</f>
        <v>1500</v>
      </c>
    </row>
    <row r="50" ht="15.75" customHeight="1">
      <c r="A50" s="85"/>
      <c r="B50" s="85" t="s">
        <v>72</v>
      </c>
      <c r="C50" s="86">
        <f t="shared" ref="C50:Z50" si="9">C49</f>
        <v>1500</v>
      </c>
      <c r="D50" s="85">
        <f t="shared" si="9"/>
        <v>1500</v>
      </c>
      <c r="E50" s="85">
        <f t="shared" si="9"/>
        <v>1500</v>
      </c>
      <c r="F50" s="85">
        <f t="shared" si="9"/>
        <v>1500</v>
      </c>
      <c r="G50" s="85">
        <f t="shared" si="9"/>
        <v>1500</v>
      </c>
      <c r="H50" s="85">
        <f t="shared" si="9"/>
        <v>1500</v>
      </c>
      <c r="I50" s="85">
        <f t="shared" si="9"/>
        <v>1500</v>
      </c>
      <c r="J50" s="85">
        <f t="shared" si="9"/>
        <v>1500</v>
      </c>
      <c r="K50" s="85">
        <f t="shared" si="9"/>
        <v>1500</v>
      </c>
      <c r="L50" s="85">
        <f t="shared" si="9"/>
        <v>1500</v>
      </c>
      <c r="M50" s="85">
        <f t="shared" si="9"/>
        <v>1500</v>
      </c>
      <c r="N50" s="85">
        <f t="shared" si="9"/>
        <v>1500</v>
      </c>
      <c r="O50" s="85">
        <f t="shared" si="9"/>
        <v>1500</v>
      </c>
      <c r="P50" s="85">
        <f t="shared" si="9"/>
        <v>1500</v>
      </c>
      <c r="Q50" s="85">
        <f t="shared" si="9"/>
        <v>1500</v>
      </c>
      <c r="R50" s="85">
        <f t="shared" si="9"/>
        <v>1500</v>
      </c>
      <c r="S50" s="85">
        <f t="shared" si="9"/>
        <v>1500</v>
      </c>
      <c r="T50" s="85">
        <f t="shared" si="9"/>
        <v>1500</v>
      </c>
      <c r="U50" s="85">
        <f t="shared" si="9"/>
        <v>1500</v>
      </c>
      <c r="V50" s="85">
        <f t="shared" si="9"/>
        <v>1500</v>
      </c>
      <c r="W50" s="85">
        <f t="shared" si="9"/>
        <v>1500</v>
      </c>
      <c r="X50" s="85">
        <f t="shared" si="9"/>
        <v>1500</v>
      </c>
      <c r="Y50" s="85">
        <f t="shared" si="9"/>
        <v>1500</v>
      </c>
      <c r="Z50" s="85">
        <f t="shared" si="9"/>
        <v>1500</v>
      </c>
    </row>
    <row r="51" ht="15.75" customHeight="1">
      <c r="A51" s="42" t="str">
        <f>'Costs Hypotheses'!A33</f>
        <v>Miscellaneous</v>
      </c>
      <c r="B51" s="23"/>
      <c r="C51" s="56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56"/>
      <c r="Z51" s="57"/>
    </row>
    <row r="52" ht="15.75" customHeight="1">
      <c r="A52" s="23"/>
      <c r="B52" s="44" t="str">
        <f>'Costs Hypotheses'!B34</f>
        <v>AI Agent APIs (3 x $1K/mo)</v>
      </c>
      <c r="C52" s="88">
        <f>'Costs Hypotheses'!$D34</f>
        <v>3000</v>
      </c>
      <c r="D52" s="49">
        <f>'Costs Hypotheses'!$D34</f>
        <v>3000</v>
      </c>
      <c r="E52" s="49">
        <f>'Costs Hypotheses'!$D34</f>
        <v>3000</v>
      </c>
      <c r="F52" s="49">
        <f>'Costs Hypotheses'!$D34</f>
        <v>3000</v>
      </c>
      <c r="G52" s="49">
        <f>'Costs Hypotheses'!$D34</f>
        <v>3000</v>
      </c>
      <c r="H52" s="49">
        <f>'Costs Hypotheses'!$D34</f>
        <v>3000</v>
      </c>
      <c r="I52" s="49">
        <f>'Costs Hypotheses'!$D34</f>
        <v>3000</v>
      </c>
      <c r="J52" s="49">
        <f>'Costs Hypotheses'!$D34</f>
        <v>3000</v>
      </c>
      <c r="K52" s="49">
        <f>'Costs Hypotheses'!$D34</f>
        <v>3000</v>
      </c>
      <c r="L52" s="49">
        <f>'Costs Hypotheses'!$D34</f>
        <v>3000</v>
      </c>
      <c r="M52" s="49">
        <f>'Costs Hypotheses'!$D34</f>
        <v>3000</v>
      </c>
      <c r="N52" s="49">
        <f>'Costs Hypotheses'!$D34</f>
        <v>3000</v>
      </c>
      <c r="O52" s="88">
        <f>'Costs Hypotheses'!$D34</f>
        <v>3000</v>
      </c>
      <c r="P52" s="49">
        <f>'Costs Hypotheses'!$D34</f>
        <v>3000</v>
      </c>
      <c r="Q52" s="49">
        <f>'Costs Hypotheses'!$D34</f>
        <v>3000</v>
      </c>
      <c r="R52" s="49">
        <f>'Costs Hypotheses'!$D34</f>
        <v>3000</v>
      </c>
      <c r="S52" s="49">
        <f>'Costs Hypotheses'!$D34</f>
        <v>3000</v>
      </c>
      <c r="T52" s="49">
        <f>'Costs Hypotheses'!$D34</f>
        <v>3000</v>
      </c>
      <c r="U52" s="49">
        <f>'Costs Hypotheses'!$D34</f>
        <v>3000</v>
      </c>
      <c r="V52" s="49">
        <f>'Costs Hypotheses'!$D34</f>
        <v>3000</v>
      </c>
      <c r="W52" s="49">
        <f>'Costs Hypotheses'!$D34</f>
        <v>3000</v>
      </c>
      <c r="X52" s="49">
        <f>'Costs Hypotheses'!$D34</f>
        <v>3000</v>
      </c>
      <c r="Y52" s="49">
        <f>'Costs Hypotheses'!$D34</f>
        <v>3000</v>
      </c>
      <c r="Z52" s="89">
        <f>'Costs Hypotheses'!$D34</f>
        <v>3000</v>
      </c>
    </row>
    <row r="53" ht="15.75" customHeight="1">
      <c r="A53" s="23"/>
      <c r="B53" s="44" t="str">
        <f>'Costs Hypotheses'!B35</f>
        <v>Software subscriptions (CRM, monitoring)</v>
      </c>
      <c r="C53" s="88">
        <f>'Costs Hypotheses'!$D35</f>
        <v>1000</v>
      </c>
      <c r="D53" s="49">
        <f>'Costs Hypotheses'!$D35</f>
        <v>1000</v>
      </c>
      <c r="E53" s="49">
        <f>'Costs Hypotheses'!$D35</f>
        <v>1000</v>
      </c>
      <c r="F53" s="49">
        <f>'Costs Hypotheses'!$D35</f>
        <v>1000</v>
      </c>
      <c r="G53" s="49">
        <f>'Costs Hypotheses'!$D35</f>
        <v>1000</v>
      </c>
      <c r="H53" s="49">
        <f>'Costs Hypotheses'!$D35</f>
        <v>1000</v>
      </c>
      <c r="I53" s="49">
        <f>'Costs Hypotheses'!$D35</f>
        <v>1000</v>
      </c>
      <c r="J53" s="49">
        <f>'Costs Hypotheses'!$D35</f>
        <v>1000</v>
      </c>
      <c r="K53" s="49">
        <f>'Costs Hypotheses'!$D35</f>
        <v>1000</v>
      </c>
      <c r="L53" s="49">
        <f>'Costs Hypotheses'!$D35</f>
        <v>1000</v>
      </c>
      <c r="M53" s="49">
        <f>'Costs Hypotheses'!$D35</f>
        <v>1000</v>
      </c>
      <c r="N53" s="49">
        <f>'Costs Hypotheses'!$D35</f>
        <v>1000</v>
      </c>
      <c r="O53" s="88">
        <f>'Costs Hypotheses'!$D35</f>
        <v>1000</v>
      </c>
      <c r="P53" s="49">
        <f>'Costs Hypotheses'!$D35</f>
        <v>1000</v>
      </c>
      <c r="Q53" s="49">
        <f>'Costs Hypotheses'!$D35</f>
        <v>1000</v>
      </c>
      <c r="R53" s="49">
        <f>'Costs Hypotheses'!$D35</f>
        <v>1000</v>
      </c>
      <c r="S53" s="49">
        <f>'Costs Hypotheses'!$D35</f>
        <v>1000</v>
      </c>
      <c r="T53" s="49">
        <f>'Costs Hypotheses'!$D35</f>
        <v>1000</v>
      </c>
      <c r="U53" s="49">
        <f>'Costs Hypotheses'!$D35</f>
        <v>1000</v>
      </c>
      <c r="V53" s="49">
        <f>'Costs Hypotheses'!$D35</f>
        <v>1000</v>
      </c>
      <c r="W53" s="49">
        <f>'Costs Hypotheses'!$D35</f>
        <v>1000</v>
      </c>
      <c r="X53" s="49">
        <f>'Costs Hypotheses'!$D35</f>
        <v>1000</v>
      </c>
      <c r="Y53" s="49">
        <f>'Costs Hypotheses'!$D35</f>
        <v>1000</v>
      </c>
      <c r="Z53" s="89">
        <f>'Costs Hypotheses'!$D35</f>
        <v>1000</v>
      </c>
    </row>
    <row r="54" ht="15.75" customHeight="1">
      <c r="A54" s="23"/>
      <c r="B54" s="44" t="str">
        <f>'Costs Hypotheses'!B36</f>
        <v>Legal, accountants, IP/patents</v>
      </c>
      <c r="C54" s="88">
        <f>'Costs Hypotheses'!$D36</f>
        <v>2000</v>
      </c>
      <c r="D54" s="49">
        <f>'Costs Hypotheses'!$D36</f>
        <v>2000</v>
      </c>
      <c r="E54" s="49">
        <f>'Costs Hypotheses'!$D36</f>
        <v>2000</v>
      </c>
      <c r="F54" s="49">
        <f>'Costs Hypotheses'!$D36</f>
        <v>2000</v>
      </c>
      <c r="G54" s="49">
        <f>'Costs Hypotheses'!$D36</f>
        <v>2000</v>
      </c>
      <c r="H54" s="49">
        <f>'Costs Hypotheses'!$D36</f>
        <v>2000</v>
      </c>
      <c r="I54" s="49">
        <f>'Costs Hypotheses'!$D36</f>
        <v>2000</v>
      </c>
      <c r="J54" s="49">
        <f>'Costs Hypotheses'!$D36</f>
        <v>2000</v>
      </c>
      <c r="K54" s="49">
        <f>'Costs Hypotheses'!$D36</f>
        <v>2000</v>
      </c>
      <c r="L54" s="49">
        <f>'Costs Hypotheses'!$D36</f>
        <v>2000</v>
      </c>
      <c r="M54" s="49">
        <f>'Costs Hypotheses'!$D36</f>
        <v>2000</v>
      </c>
      <c r="N54" s="49">
        <f>'Costs Hypotheses'!$D36</f>
        <v>2000</v>
      </c>
      <c r="O54" s="88">
        <f>'Costs Hypotheses'!$D36</f>
        <v>2000</v>
      </c>
      <c r="P54" s="49">
        <f>'Costs Hypotheses'!$D36</f>
        <v>2000</v>
      </c>
      <c r="Q54" s="49">
        <f>'Costs Hypotheses'!$D36</f>
        <v>2000</v>
      </c>
      <c r="R54" s="49">
        <f>'Costs Hypotheses'!$D36</f>
        <v>2000</v>
      </c>
      <c r="S54" s="49">
        <f>'Costs Hypotheses'!$D36</f>
        <v>2000</v>
      </c>
      <c r="T54" s="49">
        <f>'Costs Hypotheses'!$D36</f>
        <v>2000</v>
      </c>
      <c r="U54" s="49">
        <f>'Costs Hypotheses'!$D36</f>
        <v>2000</v>
      </c>
      <c r="V54" s="49">
        <f>'Costs Hypotheses'!$D36</f>
        <v>2000</v>
      </c>
      <c r="W54" s="49">
        <f>'Costs Hypotheses'!$D36</f>
        <v>2000</v>
      </c>
      <c r="X54" s="49">
        <f>'Costs Hypotheses'!$D36</f>
        <v>2000</v>
      </c>
      <c r="Y54" s="49">
        <f>'Costs Hypotheses'!$D36</f>
        <v>2000</v>
      </c>
      <c r="Z54" s="89">
        <f>'Costs Hypotheses'!$D36</f>
        <v>2000</v>
      </c>
    </row>
    <row r="55" ht="15.75" customHeight="1">
      <c r="A55" s="23"/>
      <c r="B55" s="44" t="str">
        <f>'Costs Hypotheses'!B37</f>
        <v>Travel / conferences</v>
      </c>
      <c r="C55" s="88">
        <f>'Costs Hypotheses'!$D37</f>
        <v>500</v>
      </c>
      <c r="D55" s="49">
        <f>'Costs Hypotheses'!$D37</f>
        <v>500</v>
      </c>
      <c r="E55" s="49">
        <f>'Costs Hypotheses'!$D37</f>
        <v>500</v>
      </c>
      <c r="F55" s="49">
        <f>'Costs Hypotheses'!$D37</f>
        <v>500</v>
      </c>
      <c r="G55" s="49">
        <f>'Costs Hypotheses'!$D37</f>
        <v>500</v>
      </c>
      <c r="H55" s="49">
        <f>'Costs Hypotheses'!$D37</f>
        <v>500</v>
      </c>
      <c r="I55" s="49">
        <f>'Costs Hypotheses'!$D37</f>
        <v>500</v>
      </c>
      <c r="J55" s="49">
        <f>'Costs Hypotheses'!$D37</f>
        <v>500</v>
      </c>
      <c r="K55" s="49">
        <f>'Costs Hypotheses'!$D37</f>
        <v>500</v>
      </c>
      <c r="L55" s="49">
        <f>'Costs Hypotheses'!$D37</f>
        <v>500</v>
      </c>
      <c r="M55" s="49">
        <f>'Costs Hypotheses'!$D37</f>
        <v>500</v>
      </c>
      <c r="N55" s="49">
        <f>'Costs Hypotheses'!$D37</f>
        <v>500</v>
      </c>
      <c r="O55" s="88">
        <f>'Costs Hypotheses'!$D37</f>
        <v>500</v>
      </c>
      <c r="P55" s="49">
        <f>'Costs Hypotheses'!$D37</f>
        <v>500</v>
      </c>
      <c r="Q55" s="49">
        <f>'Costs Hypotheses'!$D37</f>
        <v>500</v>
      </c>
      <c r="R55" s="49">
        <f>'Costs Hypotheses'!$D37</f>
        <v>500</v>
      </c>
      <c r="S55" s="49">
        <f>'Costs Hypotheses'!$D37</f>
        <v>500</v>
      </c>
      <c r="T55" s="49">
        <f>'Costs Hypotheses'!$D37</f>
        <v>500</v>
      </c>
      <c r="U55" s="49">
        <f>'Costs Hypotheses'!$D37</f>
        <v>500</v>
      </c>
      <c r="V55" s="49">
        <f>'Costs Hypotheses'!$D37</f>
        <v>500</v>
      </c>
      <c r="W55" s="49">
        <f>'Costs Hypotheses'!$D37</f>
        <v>500</v>
      </c>
      <c r="X55" s="49">
        <f>'Costs Hypotheses'!$D37</f>
        <v>500</v>
      </c>
      <c r="Y55" s="49">
        <f>'Costs Hypotheses'!$D37</f>
        <v>500</v>
      </c>
      <c r="Z55" s="89">
        <f>'Costs Hypotheses'!$D37</f>
        <v>500</v>
      </c>
    </row>
    <row r="56" ht="15.75" customHeight="1">
      <c r="A56" s="23"/>
      <c r="B56" s="44" t="str">
        <f>'Costs Hypotheses'!B38</f>
        <v>Remote work (no office)</v>
      </c>
      <c r="C56" s="88">
        <f>'Costs Hypotheses'!$D38</f>
        <v>0</v>
      </c>
      <c r="D56" s="49">
        <f>'Costs Hypotheses'!$D38</f>
        <v>0</v>
      </c>
      <c r="E56" s="49">
        <f>'Costs Hypotheses'!$D38</f>
        <v>0</v>
      </c>
      <c r="F56" s="49">
        <f>'Costs Hypotheses'!$D38</f>
        <v>0</v>
      </c>
      <c r="G56" s="49">
        <f>'Costs Hypotheses'!$D38</f>
        <v>0</v>
      </c>
      <c r="H56" s="49">
        <f>'Costs Hypotheses'!$D38</f>
        <v>0</v>
      </c>
      <c r="I56" s="49">
        <f>'Costs Hypotheses'!$D38</f>
        <v>0</v>
      </c>
      <c r="J56" s="49">
        <f>'Costs Hypotheses'!$D38</f>
        <v>0</v>
      </c>
      <c r="K56" s="49">
        <f>'Costs Hypotheses'!$D38</f>
        <v>0</v>
      </c>
      <c r="L56" s="49">
        <f>'Costs Hypotheses'!$D38</f>
        <v>0</v>
      </c>
      <c r="M56" s="49">
        <f>'Costs Hypotheses'!$D38</f>
        <v>0</v>
      </c>
      <c r="N56" s="49">
        <f>'Costs Hypotheses'!$D38</f>
        <v>0</v>
      </c>
      <c r="O56" s="88">
        <f>'Costs Hypotheses'!$D38</f>
        <v>0</v>
      </c>
      <c r="P56" s="49">
        <f>'Costs Hypotheses'!$D38</f>
        <v>0</v>
      </c>
      <c r="Q56" s="49">
        <f>'Costs Hypotheses'!$D38</f>
        <v>0</v>
      </c>
      <c r="R56" s="49">
        <f>'Costs Hypotheses'!$D38</f>
        <v>0</v>
      </c>
      <c r="S56" s="49">
        <f>'Costs Hypotheses'!$D38</f>
        <v>0</v>
      </c>
      <c r="T56" s="49">
        <f>'Costs Hypotheses'!$D38</f>
        <v>0</v>
      </c>
      <c r="U56" s="49">
        <f>'Costs Hypotheses'!$D38</f>
        <v>0</v>
      </c>
      <c r="V56" s="49">
        <f>'Costs Hypotheses'!$D38</f>
        <v>0</v>
      </c>
      <c r="W56" s="49">
        <f>'Costs Hypotheses'!$D38</f>
        <v>0</v>
      </c>
      <c r="X56" s="49">
        <f>'Costs Hypotheses'!$D38</f>
        <v>0</v>
      </c>
      <c r="Y56" s="49">
        <f>'Costs Hypotheses'!$D38</f>
        <v>0</v>
      </c>
      <c r="Z56" s="89">
        <f>'Costs Hypotheses'!$D38</f>
        <v>0</v>
      </c>
    </row>
    <row r="57" ht="15.75" customHeight="1">
      <c r="A57" s="23"/>
      <c r="B57" s="44" t="str">
        <f>'Costs Hypotheses'!B39</f>
        <v>Internet, supplies</v>
      </c>
      <c r="C57" s="88">
        <f>'Costs Hypotheses'!$D39</f>
        <v>200</v>
      </c>
      <c r="D57" s="49">
        <f>'Costs Hypotheses'!$D39</f>
        <v>200</v>
      </c>
      <c r="E57" s="49">
        <f>'Costs Hypotheses'!$D39</f>
        <v>200</v>
      </c>
      <c r="F57" s="49">
        <f>'Costs Hypotheses'!$D39</f>
        <v>200</v>
      </c>
      <c r="G57" s="49">
        <f>'Costs Hypotheses'!$D39</f>
        <v>200</v>
      </c>
      <c r="H57" s="49">
        <f>'Costs Hypotheses'!$D39</f>
        <v>200</v>
      </c>
      <c r="I57" s="49">
        <f>'Costs Hypotheses'!$D39</f>
        <v>200</v>
      </c>
      <c r="J57" s="49">
        <f>'Costs Hypotheses'!$D39</f>
        <v>200</v>
      </c>
      <c r="K57" s="49">
        <f>'Costs Hypotheses'!$D39</f>
        <v>200</v>
      </c>
      <c r="L57" s="49">
        <f>'Costs Hypotheses'!$D39</f>
        <v>200</v>
      </c>
      <c r="M57" s="49">
        <f>'Costs Hypotheses'!$D39</f>
        <v>200</v>
      </c>
      <c r="N57" s="49">
        <f>'Costs Hypotheses'!$D39</f>
        <v>200</v>
      </c>
      <c r="O57" s="88">
        <f>'Costs Hypotheses'!$D39</f>
        <v>200</v>
      </c>
      <c r="P57" s="49">
        <f>'Costs Hypotheses'!$D39</f>
        <v>200</v>
      </c>
      <c r="Q57" s="49">
        <f>'Costs Hypotheses'!$D39</f>
        <v>200</v>
      </c>
      <c r="R57" s="49">
        <f>'Costs Hypotheses'!$D39</f>
        <v>200</v>
      </c>
      <c r="S57" s="49">
        <f>'Costs Hypotheses'!$D39</f>
        <v>200</v>
      </c>
      <c r="T57" s="49">
        <f>'Costs Hypotheses'!$D39</f>
        <v>200</v>
      </c>
      <c r="U57" s="49">
        <f>'Costs Hypotheses'!$D39</f>
        <v>200</v>
      </c>
      <c r="V57" s="49">
        <f>'Costs Hypotheses'!$D39</f>
        <v>200</v>
      </c>
      <c r="W57" s="49">
        <f>'Costs Hypotheses'!$D39</f>
        <v>200</v>
      </c>
      <c r="X57" s="49">
        <f>'Costs Hypotheses'!$D39</f>
        <v>200</v>
      </c>
      <c r="Y57" s="49">
        <f>'Costs Hypotheses'!$D39</f>
        <v>200</v>
      </c>
      <c r="Z57" s="89">
        <f>'Costs Hypotheses'!$D39</f>
        <v>200</v>
      </c>
    </row>
    <row r="58" ht="15.75" customHeight="1">
      <c r="A58" s="23"/>
      <c r="B58" s="44" t="str">
        <f>'Costs Hypotheses'!B40</f>
        <v>Insurance (D&amp;O, E&amp;O)</v>
      </c>
      <c r="C58" s="88">
        <f>'Costs Hypotheses'!$D40</f>
        <v>667</v>
      </c>
      <c r="D58" s="49">
        <f>'Costs Hypotheses'!$D40</f>
        <v>667</v>
      </c>
      <c r="E58" s="49">
        <f>'Costs Hypotheses'!$D40</f>
        <v>667</v>
      </c>
      <c r="F58" s="49">
        <f>'Costs Hypotheses'!$D40</f>
        <v>667</v>
      </c>
      <c r="G58" s="49">
        <f>'Costs Hypotheses'!$D40</f>
        <v>667</v>
      </c>
      <c r="H58" s="49">
        <f>'Costs Hypotheses'!$D40</f>
        <v>667</v>
      </c>
      <c r="I58" s="49">
        <f>'Costs Hypotheses'!$D40</f>
        <v>667</v>
      </c>
      <c r="J58" s="49">
        <f>'Costs Hypotheses'!$D40</f>
        <v>667</v>
      </c>
      <c r="K58" s="49">
        <f>'Costs Hypotheses'!$D40</f>
        <v>667</v>
      </c>
      <c r="L58" s="49">
        <f>'Costs Hypotheses'!$D40</f>
        <v>667</v>
      </c>
      <c r="M58" s="49">
        <f>'Costs Hypotheses'!$D40</f>
        <v>667</v>
      </c>
      <c r="N58" s="49">
        <f>'Costs Hypotheses'!$D40</f>
        <v>667</v>
      </c>
      <c r="O58" s="88">
        <f>'Costs Hypotheses'!$D40</f>
        <v>667</v>
      </c>
      <c r="P58" s="49">
        <f>'Costs Hypotheses'!$D40</f>
        <v>667</v>
      </c>
      <c r="Q58" s="49">
        <f>'Costs Hypotheses'!$D40</f>
        <v>667</v>
      </c>
      <c r="R58" s="49">
        <f>'Costs Hypotheses'!$D40</f>
        <v>667</v>
      </c>
      <c r="S58" s="49">
        <f>'Costs Hypotheses'!$D40</f>
        <v>667</v>
      </c>
      <c r="T58" s="49">
        <f>'Costs Hypotheses'!$D40</f>
        <v>667</v>
      </c>
      <c r="U58" s="49">
        <f>'Costs Hypotheses'!$D40</f>
        <v>667</v>
      </c>
      <c r="V58" s="49">
        <f>'Costs Hypotheses'!$D40</f>
        <v>667</v>
      </c>
      <c r="W58" s="49">
        <f>'Costs Hypotheses'!$D40</f>
        <v>667</v>
      </c>
      <c r="X58" s="49">
        <f>'Costs Hypotheses'!$D40</f>
        <v>667</v>
      </c>
      <c r="Y58" s="49">
        <f>'Costs Hypotheses'!$D40</f>
        <v>667</v>
      </c>
      <c r="Z58" s="89">
        <f>'Costs Hypotheses'!$D40</f>
        <v>667</v>
      </c>
    </row>
    <row r="59" ht="15.75" customHeight="1">
      <c r="A59" s="23"/>
      <c r="B59" s="44" t="str">
        <f>'Costs Hypotheses'!B41</f>
        <v>Content / SEO / community</v>
      </c>
      <c r="C59" s="88">
        <f>'Costs Hypotheses'!$D41</f>
        <v>500</v>
      </c>
      <c r="D59" s="49">
        <f>'Costs Hypotheses'!$D41</f>
        <v>500</v>
      </c>
      <c r="E59" s="49">
        <f>'Costs Hypotheses'!$D41</f>
        <v>500</v>
      </c>
      <c r="F59" s="49">
        <f>'Costs Hypotheses'!$D41</f>
        <v>500</v>
      </c>
      <c r="G59" s="49">
        <f>'Costs Hypotheses'!$D41</f>
        <v>500</v>
      </c>
      <c r="H59" s="49">
        <f>'Costs Hypotheses'!$D41</f>
        <v>500</v>
      </c>
      <c r="I59" s="49">
        <f>'Costs Hypotheses'!$D41</f>
        <v>500</v>
      </c>
      <c r="J59" s="49">
        <f>'Costs Hypotheses'!$D41</f>
        <v>500</v>
      </c>
      <c r="K59" s="49">
        <f>'Costs Hypotheses'!$D41</f>
        <v>500</v>
      </c>
      <c r="L59" s="49">
        <f>'Costs Hypotheses'!$D41</f>
        <v>500</v>
      </c>
      <c r="M59" s="49">
        <f>'Costs Hypotheses'!$D41</f>
        <v>500</v>
      </c>
      <c r="N59" s="49">
        <f>'Costs Hypotheses'!$D41</f>
        <v>500</v>
      </c>
      <c r="O59" s="88">
        <f>'Costs Hypotheses'!$D41</f>
        <v>500</v>
      </c>
      <c r="P59" s="49">
        <f>'Costs Hypotheses'!$D41</f>
        <v>500</v>
      </c>
      <c r="Q59" s="49">
        <f>'Costs Hypotheses'!$D41</f>
        <v>500</v>
      </c>
      <c r="R59" s="49">
        <f>'Costs Hypotheses'!$D41</f>
        <v>500</v>
      </c>
      <c r="S59" s="49">
        <f>'Costs Hypotheses'!$D41</f>
        <v>500</v>
      </c>
      <c r="T59" s="49">
        <f>'Costs Hypotheses'!$D41</f>
        <v>500</v>
      </c>
      <c r="U59" s="49">
        <f>'Costs Hypotheses'!$D41</f>
        <v>500</v>
      </c>
      <c r="V59" s="49">
        <f>'Costs Hypotheses'!$D41</f>
        <v>500</v>
      </c>
      <c r="W59" s="49">
        <f>'Costs Hypotheses'!$D41</f>
        <v>500</v>
      </c>
      <c r="X59" s="49">
        <f>'Costs Hypotheses'!$D41</f>
        <v>500</v>
      </c>
      <c r="Y59" s="49">
        <f>'Costs Hypotheses'!$D41</f>
        <v>500</v>
      </c>
      <c r="Z59" s="89">
        <f>'Costs Hypotheses'!$D41</f>
        <v>500</v>
      </c>
    </row>
    <row r="60" ht="15.75" customHeight="1">
      <c r="A60" s="23"/>
      <c r="B60" s="44" t="str">
        <f>'Costs Hypotheses'!B42</f>
        <v>Cognitive attestation license (future)</v>
      </c>
      <c r="C60" s="88">
        <f>'Costs Hypotheses'!$D42</f>
        <v>0</v>
      </c>
      <c r="D60" s="49">
        <f>'Costs Hypotheses'!$D42</f>
        <v>0</v>
      </c>
      <c r="E60" s="49">
        <f>'Costs Hypotheses'!$D42</f>
        <v>0</v>
      </c>
      <c r="F60" s="49">
        <f>'Costs Hypotheses'!$D42</f>
        <v>0</v>
      </c>
      <c r="G60" s="49">
        <f>'Costs Hypotheses'!$D42</f>
        <v>0</v>
      </c>
      <c r="H60" s="49">
        <f>'Costs Hypotheses'!$D42</f>
        <v>0</v>
      </c>
      <c r="I60" s="49">
        <f>'Costs Hypotheses'!$D42</f>
        <v>0</v>
      </c>
      <c r="J60" s="49">
        <f>'Costs Hypotheses'!$D42</f>
        <v>0</v>
      </c>
      <c r="K60" s="49">
        <f>'Costs Hypotheses'!$D42</f>
        <v>0</v>
      </c>
      <c r="L60" s="49">
        <f>'Costs Hypotheses'!$D42</f>
        <v>0</v>
      </c>
      <c r="M60" s="49">
        <f>'Costs Hypotheses'!$D42</f>
        <v>0</v>
      </c>
      <c r="N60" s="49">
        <f>'Costs Hypotheses'!$D42</f>
        <v>0</v>
      </c>
      <c r="O60" s="88">
        <f>'Costs Hypotheses'!$D42</f>
        <v>0</v>
      </c>
      <c r="P60" s="49">
        <f>'Costs Hypotheses'!$D42</f>
        <v>0</v>
      </c>
      <c r="Q60" s="49">
        <f>'Costs Hypotheses'!$D42</f>
        <v>0</v>
      </c>
      <c r="R60" s="49">
        <f>'Costs Hypotheses'!$D42</f>
        <v>0</v>
      </c>
      <c r="S60" s="49">
        <f>'Costs Hypotheses'!$D42</f>
        <v>0</v>
      </c>
      <c r="T60" s="49">
        <f>'Costs Hypotheses'!$D42</f>
        <v>0</v>
      </c>
      <c r="U60" s="49">
        <f>'Costs Hypotheses'!$D42</f>
        <v>0</v>
      </c>
      <c r="V60" s="49">
        <f>'Costs Hypotheses'!$D42</f>
        <v>0</v>
      </c>
      <c r="W60" s="49">
        <f>'Costs Hypotheses'!$D42</f>
        <v>0</v>
      </c>
      <c r="X60" s="49">
        <f>'Costs Hypotheses'!$D42</f>
        <v>0</v>
      </c>
      <c r="Y60" s="49">
        <f>'Costs Hypotheses'!$D42</f>
        <v>0</v>
      </c>
      <c r="Z60" s="89">
        <f>'Costs Hypotheses'!$D42</f>
        <v>0</v>
      </c>
    </row>
    <row r="61" ht="15.75" customHeight="1">
      <c r="A61" s="85"/>
      <c r="B61" s="85" t="s">
        <v>73</v>
      </c>
      <c r="C61" s="86">
        <f t="shared" ref="C61:Z61" si="10">sum(C52:C60)</f>
        <v>7867</v>
      </c>
      <c r="D61" s="85">
        <f t="shared" si="10"/>
        <v>7867</v>
      </c>
      <c r="E61" s="85">
        <f t="shared" si="10"/>
        <v>7867</v>
      </c>
      <c r="F61" s="85">
        <f t="shared" si="10"/>
        <v>7867</v>
      </c>
      <c r="G61" s="85">
        <f t="shared" si="10"/>
        <v>7867</v>
      </c>
      <c r="H61" s="85">
        <f t="shared" si="10"/>
        <v>7867</v>
      </c>
      <c r="I61" s="85">
        <f t="shared" si="10"/>
        <v>7867</v>
      </c>
      <c r="J61" s="85">
        <f t="shared" si="10"/>
        <v>7867</v>
      </c>
      <c r="K61" s="85">
        <f t="shared" si="10"/>
        <v>7867</v>
      </c>
      <c r="L61" s="85">
        <f t="shared" si="10"/>
        <v>7867</v>
      </c>
      <c r="M61" s="85">
        <f t="shared" si="10"/>
        <v>7867</v>
      </c>
      <c r="N61" s="87">
        <f t="shared" si="10"/>
        <v>7867</v>
      </c>
      <c r="O61" s="85">
        <f t="shared" si="10"/>
        <v>7867</v>
      </c>
      <c r="P61" s="85">
        <f t="shared" si="10"/>
        <v>7867</v>
      </c>
      <c r="Q61" s="85">
        <f t="shared" si="10"/>
        <v>7867</v>
      </c>
      <c r="R61" s="85">
        <f t="shared" si="10"/>
        <v>7867</v>
      </c>
      <c r="S61" s="85">
        <f t="shared" si="10"/>
        <v>7867</v>
      </c>
      <c r="T61" s="85">
        <f t="shared" si="10"/>
        <v>7867</v>
      </c>
      <c r="U61" s="85">
        <f t="shared" si="10"/>
        <v>7867</v>
      </c>
      <c r="V61" s="85">
        <f t="shared" si="10"/>
        <v>7867</v>
      </c>
      <c r="W61" s="85">
        <f t="shared" si="10"/>
        <v>7867</v>
      </c>
      <c r="X61" s="85">
        <f t="shared" si="10"/>
        <v>7867</v>
      </c>
      <c r="Y61" s="85">
        <f t="shared" si="10"/>
        <v>7867</v>
      </c>
      <c r="Z61" s="87">
        <f t="shared" si="10"/>
        <v>7867</v>
      </c>
    </row>
    <row r="62" ht="15.75" customHeight="1">
      <c r="A62" s="23"/>
      <c r="B62" s="23"/>
      <c r="C62" s="56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57"/>
      <c r="O62" s="56"/>
      <c r="Z62" s="57"/>
    </row>
    <row r="63" ht="15.75" customHeight="1">
      <c r="A63" s="58" t="s">
        <v>74</v>
      </c>
    </row>
    <row r="64" ht="15.75" customHeight="1">
      <c r="A64" s="23"/>
      <c r="B64" s="23"/>
      <c r="C64" s="56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57"/>
      <c r="O64" s="56"/>
      <c r="Z64" s="57"/>
    </row>
    <row r="65" ht="15.75" customHeight="1">
      <c r="A65" s="42" t="s">
        <v>2</v>
      </c>
      <c r="B65" s="23"/>
      <c r="C65" s="56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57"/>
      <c r="O65" s="56"/>
      <c r="Z65" s="57"/>
    </row>
    <row r="66" ht="15.75" customHeight="1">
      <c r="A66" s="23"/>
      <c r="B66" s="43" t="s">
        <v>63</v>
      </c>
      <c r="C66" s="59">
        <f t="shared" ref="C66:Z66" si="11">C14</f>
        <v>5367.5</v>
      </c>
      <c r="D66" s="60">
        <f t="shared" si="11"/>
        <v>8657.6475</v>
      </c>
      <c r="E66" s="60">
        <f t="shared" si="11"/>
        <v>12433.86206</v>
      </c>
      <c r="F66" s="60">
        <f t="shared" si="11"/>
        <v>16655.01047</v>
      </c>
      <c r="G66" s="60">
        <f t="shared" si="11"/>
        <v>21374.50944</v>
      </c>
      <c r="H66" s="60">
        <f t="shared" si="11"/>
        <v>26652.18559</v>
      </c>
      <c r="I66" s="60">
        <f t="shared" si="11"/>
        <v>32421.5565</v>
      </c>
      <c r="J66" s="60">
        <f t="shared" si="11"/>
        <v>38755.44788</v>
      </c>
      <c r="K66" s="60">
        <f t="shared" si="11"/>
        <v>45710.36147</v>
      </c>
      <c r="L66" s="60">
        <f t="shared" si="11"/>
        <v>53206.25022</v>
      </c>
      <c r="M66" s="60">
        <f t="shared" si="11"/>
        <v>61286.45384</v>
      </c>
      <c r="N66" s="61">
        <f t="shared" si="11"/>
        <v>69997.77894</v>
      </c>
      <c r="O66" s="60">
        <f t="shared" si="11"/>
        <v>80938.45458</v>
      </c>
      <c r="P66" s="60">
        <f t="shared" si="11"/>
        <v>92733.02086</v>
      </c>
      <c r="Q66" s="60">
        <f t="shared" si="11"/>
        <v>105449.8745</v>
      </c>
      <c r="R66" s="60">
        <f t="shared" si="11"/>
        <v>119032.0057</v>
      </c>
      <c r="S66" s="60">
        <f t="shared" si="11"/>
        <v>133540.0835</v>
      </c>
      <c r="T66" s="60">
        <f t="shared" si="11"/>
        <v>149039.0234</v>
      </c>
      <c r="U66" s="60">
        <f t="shared" si="11"/>
        <v>165437.9536</v>
      </c>
      <c r="V66" s="60">
        <f t="shared" si="11"/>
        <v>182790.9933</v>
      </c>
      <c r="W66" s="60">
        <f t="shared" si="11"/>
        <v>201155.5082</v>
      </c>
      <c r="X66" s="60">
        <f t="shared" si="11"/>
        <v>220401.3491</v>
      </c>
      <c r="Y66" s="60">
        <f t="shared" si="11"/>
        <v>240572.7297</v>
      </c>
      <c r="Z66" s="61">
        <f t="shared" si="11"/>
        <v>261716.0741</v>
      </c>
    </row>
    <row r="67" ht="15.75" customHeight="1">
      <c r="A67" s="42" t="s">
        <v>75</v>
      </c>
      <c r="B67" s="23"/>
      <c r="C67" s="56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57"/>
      <c r="Z67" s="57"/>
    </row>
    <row r="68" ht="15.75" customHeight="1">
      <c r="A68" s="23"/>
      <c r="B68" s="60" t="str">
        <f t="shared" ref="B68:Z68" si="12">B16</f>
        <v>Payment Processing</v>
      </c>
      <c r="C68" s="90">
        <f t="shared" si="12"/>
        <v>161.025</v>
      </c>
      <c r="D68" s="47">
        <f t="shared" si="12"/>
        <v>259.729425</v>
      </c>
      <c r="E68" s="47">
        <f t="shared" si="12"/>
        <v>373.0158617</v>
      </c>
      <c r="F68" s="47">
        <f t="shared" si="12"/>
        <v>499.6503141</v>
      </c>
      <c r="G68" s="47">
        <f t="shared" si="12"/>
        <v>641.2352832</v>
      </c>
      <c r="H68" s="47">
        <f t="shared" si="12"/>
        <v>799.5655677</v>
      </c>
      <c r="I68" s="47">
        <f t="shared" si="12"/>
        <v>972.6466949</v>
      </c>
      <c r="J68" s="47">
        <f t="shared" si="12"/>
        <v>1162.663437</v>
      </c>
      <c r="K68" s="47">
        <f t="shared" si="12"/>
        <v>1371.310844</v>
      </c>
      <c r="L68" s="47">
        <f t="shared" si="12"/>
        <v>1596.187507</v>
      </c>
      <c r="M68" s="47">
        <f t="shared" si="12"/>
        <v>1838.593615</v>
      </c>
      <c r="N68" s="91">
        <f t="shared" si="12"/>
        <v>2099.933368</v>
      </c>
      <c r="O68" s="47">
        <f t="shared" si="12"/>
        <v>2428.153637</v>
      </c>
      <c r="P68" s="47">
        <f t="shared" si="12"/>
        <v>2781.990626</v>
      </c>
      <c r="Q68" s="47">
        <f t="shared" si="12"/>
        <v>3163.496234</v>
      </c>
      <c r="R68" s="47">
        <f t="shared" si="12"/>
        <v>3570.960171</v>
      </c>
      <c r="S68" s="47">
        <f t="shared" si="12"/>
        <v>4006.202505</v>
      </c>
      <c r="T68" s="47">
        <f t="shared" si="12"/>
        <v>4471.170703</v>
      </c>
      <c r="U68" s="47">
        <f t="shared" si="12"/>
        <v>4963.138609</v>
      </c>
      <c r="V68" s="47">
        <f t="shared" si="12"/>
        <v>5483.729798</v>
      </c>
      <c r="W68" s="47">
        <f t="shared" si="12"/>
        <v>6034.665247</v>
      </c>
      <c r="X68" s="47">
        <f t="shared" si="12"/>
        <v>6612.040473</v>
      </c>
      <c r="Y68" s="47">
        <f t="shared" si="12"/>
        <v>7217.181892</v>
      </c>
      <c r="Z68" s="91">
        <f t="shared" si="12"/>
        <v>7851.482224</v>
      </c>
    </row>
    <row r="69" ht="15.75" customHeight="1">
      <c r="A69" s="23"/>
      <c r="B69" s="44" t="str">
        <f t="shared" ref="B69:Z69" si="13">B49</f>
        <v>Hosting &amp; Bandwidth</v>
      </c>
      <c r="C69" s="90">
        <f t="shared" si="13"/>
        <v>1500</v>
      </c>
      <c r="D69" s="47">
        <f t="shared" si="13"/>
        <v>1500</v>
      </c>
      <c r="E69" s="47">
        <f t="shared" si="13"/>
        <v>1500</v>
      </c>
      <c r="F69" s="47">
        <f t="shared" si="13"/>
        <v>1500</v>
      </c>
      <c r="G69" s="47">
        <f t="shared" si="13"/>
        <v>1500</v>
      </c>
      <c r="H69" s="47">
        <f t="shared" si="13"/>
        <v>1500</v>
      </c>
      <c r="I69" s="47">
        <f t="shared" si="13"/>
        <v>1500</v>
      </c>
      <c r="J69" s="47">
        <f t="shared" si="13"/>
        <v>1500</v>
      </c>
      <c r="K69" s="47">
        <f t="shared" si="13"/>
        <v>1500</v>
      </c>
      <c r="L69" s="47">
        <f t="shared" si="13"/>
        <v>1500</v>
      </c>
      <c r="M69" s="47">
        <f t="shared" si="13"/>
        <v>1500</v>
      </c>
      <c r="N69" s="91">
        <f t="shared" si="13"/>
        <v>1500</v>
      </c>
      <c r="O69" s="47">
        <f t="shared" si="13"/>
        <v>1500</v>
      </c>
      <c r="P69" s="47">
        <f t="shared" si="13"/>
        <v>1500</v>
      </c>
      <c r="Q69" s="47">
        <f t="shared" si="13"/>
        <v>1500</v>
      </c>
      <c r="R69" s="47">
        <f t="shared" si="13"/>
        <v>1500</v>
      </c>
      <c r="S69" s="47">
        <f t="shared" si="13"/>
        <v>1500</v>
      </c>
      <c r="T69" s="47">
        <f t="shared" si="13"/>
        <v>1500</v>
      </c>
      <c r="U69" s="47">
        <f t="shared" si="13"/>
        <v>1500</v>
      </c>
      <c r="V69" s="47">
        <f t="shared" si="13"/>
        <v>1500</v>
      </c>
      <c r="W69" s="47">
        <f t="shared" si="13"/>
        <v>1500</v>
      </c>
      <c r="X69" s="47">
        <f t="shared" si="13"/>
        <v>1500</v>
      </c>
      <c r="Y69" s="47">
        <f t="shared" si="13"/>
        <v>1500</v>
      </c>
      <c r="Z69" s="91">
        <f t="shared" si="13"/>
        <v>1500</v>
      </c>
    </row>
    <row r="70" ht="15.75" customHeight="1">
      <c r="A70" s="23"/>
      <c r="B70" s="43" t="s">
        <v>76</v>
      </c>
      <c r="C70" s="90">
        <f>sumif('Costs Hypotheses'!$F$3:$F$22,$B$70,C22:C41)</f>
        <v>0</v>
      </c>
      <c r="D70" s="47">
        <f>sumif('Costs Hypotheses'!$F$3:$F$22,$B$70,D22:D41)</f>
        <v>0</v>
      </c>
      <c r="E70" s="47">
        <f>sumif('Costs Hypotheses'!$F$3:$F$22,$B$70,E22:E41)</f>
        <v>0</v>
      </c>
      <c r="F70" s="47">
        <f>sumif('Costs Hypotheses'!$F$3:$F$22,$B$70,F22:F41)</f>
        <v>0</v>
      </c>
      <c r="G70" s="47">
        <f>sumif('Costs Hypotheses'!$F$3:$F$22,$B$70,G22:G41)</f>
        <v>0</v>
      </c>
      <c r="H70" s="47">
        <f>sumif('Costs Hypotheses'!$F$3:$F$22,$B$70,H22:H41)</f>
        <v>0</v>
      </c>
      <c r="I70" s="47">
        <f>sumif('Costs Hypotheses'!$F$3:$F$22,$B$70,I22:I41)</f>
        <v>0</v>
      </c>
      <c r="J70" s="47">
        <f>sumif('Costs Hypotheses'!$F$3:$F$22,$B$70,J22:J41)</f>
        <v>0</v>
      </c>
      <c r="K70" s="47">
        <f>sumif('Costs Hypotheses'!$F$3:$F$22,$B$70,K22:K41)</f>
        <v>0</v>
      </c>
      <c r="L70" s="47">
        <f>sumif('Costs Hypotheses'!$F$3:$F$22,$B$70,L22:L41)</f>
        <v>0</v>
      </c>
      <c r="M70" s="47">
        <f>sumif('Costs Hypotheses'!$F$3:$F$22,$B$70,M22:M41)</f>
        <v>0</v>
      </c>
      <c r="N70" s="91">
        <f>sumif('Costs Hypotheses'!$F$3:$F$22,$B$70,N22:N41)</f>
        <v>0</v>
      </c>
      <c r="O70" s="47">
        <f>sumif('Costs Hypotheses'!$F$3:$F$22,$B$70,O22:O41)</f>
        <v>0</v>
      </c>
      <c r="P70" s="47">
        <f>sumif('Costs Hypotheses'!$F$3:$F$22,$B$70,P22:P41)</f>
        <v>0</v>
      </c>
      <c r="Q70" s="47">
        <f>sumif('Costs Hypotheses'!$F$3:$F$22,$B$70,Q22:Q41)</f>
        <v>0</v>
      </c>
      <c r="R70" s="47">
        <f>sumif('Costs Hypotheses'!$F$3:$F$22,$B$70,R22:R41)</f>
        <v>0</v>
      </c>
      <c r="S70" s="47">
        <f>sumif('Costs Hypotheses'!$F$3:$F$22,$B$70,S22:S41)</f>
        <v>0</v>
      </c>
      <c r="T70" s="47">
        <f>sumif('Costs Hypotheses'!$F$3:$F$22,$B$70,T22:T41)</f>
        <v>0</v>
      </c>
      <c r="U70" s="47">
        <f>sumif('Costs Hypotheses'!$F$3:$F$22,$B$70,U22:U41)</f>
        <v>0</v>
      </c>
      <c r="V70" s="47">
        <f>sumif('Costs Hypotheses'!$F$3:$F$22,$B$70,V22:V41)</f>
        <v>0</v>
      </c>
      <c r="W70" s="47">
        <f>sumif('Costs Hypotheses'!$F$3:$F$22,$B$70,W22:W41)</f>
        <v>0</v>
      </c>
      <c r="X70" s="47">
        <f>sumif('Costs Hypotheses'!$F$3:$F$22,$B$70,X22:X41)</f>
        <v>0</v>
      </c>
      <c r="Y70" s="47">
        <f>sumif('Costs Hypotheses'!$F$3:$F$22,$B$70,Y22:Y41)</f>
        <v>0</v>
      </c>
      <c r="Z70" s="91">
        <f>sumif('Costs Hypotheses'!$F$3:$F$22,$B$70,Z22:Z41)</f>
        <v>0</v>
      </c>
    </row>
    <row r="71" ht="15.75" customHeight="1">
      <c r="A71" s="85"/>
      <c r="B71" s="85" t="s">
        <v>77</v>
      </c>
      <c r="C71" s="86">
        <f t="shared" ref="C71:Z71" si="14">sum(C68:C70)</f>
        <v>1661.025</v>
      </c>
      <c r="D71" s="85">
        <f t="shared" si="14"/>
        <v>1759.729425</v>
      </c>
      <c r="E71" s="85">
        <f t="shared" si="14"/>
        <v>1873.015862</v>
      </c>
      <c r="F71" s="85">
        <f t="shared" si="14"/>
        <v>1999.650314</v>
      </c>
      <c r="G71" s="85">
        <f t="shared" si="14"/>
        <v>2141.235283</v>
      </c>
      <c r="H71" s="85">
        <f t="shared" si="14"/>
        <v>2299.565568</v>
      </c>
      <c r="I71" s="85">
        <f t="shared" si="14"/>
        <v>2472.646695</v>
      </c>
      <c r="J71" s="85">
        <f t="shared" si="14"/>
        <v>2662.663437</v>
      </c>
      <c r="K71" s="85">
        <f t="shared" si="14"/>
        <v>2871.310844</v>
      </c>
      <c r="L71" s="85">
        <f t="shared" si="14"/>
        <v>3096.187507</v>
      </c>
      <c r="M71" s="85">
        <f t="shared" si="14"/>
        <v>3338.593615</v>
      </c>
      <c r="N71" s="85">
        <f t="shared" si="14"/>
        <v>3599.933368</v>
      </c>
      <c r="O71" s="86">
        <f t="shared" si="14"/>
        <v>3928.153637</v>
      </c>
      <c r="P71" s="85">
        <f t="shared" si="14"/>
        <v>4281.990626</v>
      </c>
      <c r="Q71" s="85">
        <f t="shared" si="14"/>
        <v>4663.496234</v>
      </c>
      <c r="R71" s="85">
        <f t="shared" si="14"/>
        <v>5070.960171</v>
      </c>
      <c r="S71" s="85">
        <f t="shared" si="14"/>
        <v>5506.202505</v>
      </c>
      <c r="T71" s="85">
        <f t="shared" si="14"/>
        <v>5971.170703</v>
      </c>
      <c r="U71" s="85">
        <f t="shared" si="14"/>
        <v>6463.138609</v>
      </c>
      <c r="V71" s="85">
        <f t="shared" si="14"/>
        <v>6983.729798</v>
      </c>
      <c r="W71" s="85">
        <f t="shared" si="14"/>
        <v>7534.665247</v>
      </c>
      <c r="X71" s="85">
        <f t="shared" si="14"/>
        <v>8112.040473</v>
      </c>
      <c r="Y71" s="85">
        <f t="shared" si="14"/>
        <v>8717.181892</v>
      </c>
      <c r="Z71" s="85">
        <f t="shared" si="14"/>
        <v>9351.482224</v>
      </c>
    </row>
    <row r="72" ht="15.75" customHeight="1">
      <c r="A72" s="92"/>
      <c r="B72" s="92"/>
      <c r="C72" s="93">
        <f t="shared" ref="C72:Z72" si="15">C71/C66</f>
        <v>0.3094597112</v>
      </c>
      <c r="D72" s="94">
        <f t="shared" si="15"/>
        <v>0.2032572272</v>
      </c>
      <c r="E72" s="94">
        <f t="shared" si="15"/>
        <v>0.1506383015</v>
      </c>
      <c r="F72" s="94">
        <f t="shared" si="15"/>
        <v>0.1200629875</v>
      </c>
      <c r="G72" s="94">
        <f t="shared" si="15"/>
        <v>0.1001770492</v>
      </c>
      <c r="H72" s="94">
        <f t="shared" si="15"/>
        <v>0.08628056261</v>
      </c>
      <c r="I72" s="94">
        <f t="shared" si="15"/>
        <v>0.07626551474</v>
      </c>
      <c r="J72" s="94">
        <f t="shared" si="15"/>
        <v>0.06870423597</v>
      </c>
      <c r="K72" s="94">
        <f t="shared" si="15"/>
        <v>0.06281531696</v>
      </c>
      <c r="L72" s="94">
        <f t="shared" si="15"/>
        <v>0.05819217655</v>
      </c>
      <c r="M72" s="94">
        <f t="shared" si="15"/>
        <v>0.05447522912</v>
      </c>
      <c r="N72" s="95">
        <f t="shared" si="15"/>
        <v>0.05142925137</v>
      </c>
      <c r="O72" s="94">
        <f t="shared" si="15"/>
        <v>0.04853259996</v>
      </c>
      <c r="P72" s="94">
        <f t="shared" si="15"/>
        <v>0.04617546788</v>
      </c>
      <c r="Q72" s="94">
        <f t="shared" si="15"/>
        <v>0.044224768</v>
      </c>
      <c r="R72" s="94">
        <f t="shared" si="15"/>
        <v>0.04260165274</v>
      </c>
      <c r="S72" s="94">
        <f t="shared" si="15"/>
        <v>0.04123258246</v>
      </c>
      <c r="T72" s="94">
        <f t="shared" si="15"/>
        <v>0.04006447818</v>
      </c>
      <c r="U72" s="94">
        <f t="shared" si="15"/>
        <v>0.03906684329</v>
      </c>
      <c r="V72" s="94">
        <f t="shared" si="15"/>
        <v>0.0382060936</v>
      </c>
      <c r="W72" s="94">
        <f t="shared" si="15"/>
        <v>0.03745691735</v>
      </c>
      <c r="X72" s="94">
        <f t="shared" si="15"/>
        <v>0.03680576596</v>
      </c>
      <c r="Y72" s="94">
        <f t="shared" si="15"/>
        <v>0.03623512067</v>
      </c>
      <c r="Z72" s="95">
        <f t="shared" si="15"/>
        <v>0.03573140188</v>
      </c>
    </row>
    <row r="73" ht="15.75" customHeight="1">
      <c r="A73" s="42" t="s">
        <v>78</v>
      </c>
      <c r="B73" s="23"/>
      <c r="C73" s="56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57"/>
      <c r="Z73" s="57"/>
    </row>
    <row r="74" ht="15.75" customHeight="1">
      <c r="A74" s="85"/>
      <c r="B74" s="85" t="s">
        <v>78</v>
      </c>
      <c r="C74" s="86">
        <f t="shared" ref="C74:Z74" si="16">C66-C71</f>
        <v>3706.475</v>
      </c>
      <c r="D74" s="85">
        <f t="shared" si="16"/>
        <v>6897.918075</v>
      </c>
      <c r="E74" s="85">
        <f t="shared" si="16"/>
        <v>10560.8462</v>
      </c>
      <c r="F74" s="85">
        <f t="shared" si="16"/>
        <v>14655.36016</v>
      </c>
      <c r="G74" s="85">
        <f t="shared" si="16"/>
        <v>19233.27416</v>
      </c>
      <c r="H74" s="85">
        <f t="shared" si="16"/>
        <v>24352.62002</v>
      </c>
      <c r="I74" s="85">
        <f t="shared" si="16"/>
        <v>29948.9098</v>
      </c>
      <c r="J74" s="85">
        <f t="shared" si="16"/>
        <v>36092.78445</v>
      </c>
      <c r="K74" s="85">
        <f t="shared" si="16"/>
        <v>42839.05062</v>
      </c>
      <c r="L74" s="85">
        <f t="shared" si="16"/>
        <v>50110.06272</v>
      </c>
      <c r="M74" s="85">
        <f t="shared" si="16"/>
        <v>57947.86023</v>
      </c>
      <c r="N74" s="85">
        <f t="shared" si="16"/>
        <v>66397.84557</v>
      </c>
      <c r="O74" s="86">
        <f t="shared" si="16"/>
        <v>77010.30094</v>
      </c>
      <c r="P74" s="85">
        <f t="shared" si="16"/>
        <v>88451.03023</v>
      </c>
      <c r="Q74" s="85">
        <f t="shared" si="16"/>
        <v>100786.3782</v>
      </c>
      <c r="R74" s="85">
        <f t="shared" si="16"/>
        <v>113961.0455</v>
      </c>
      <c r="S74" s="85">
        <f t="shared" si="16"/>
        <v>128033.881</v>
      </c>
      <c r="T74" s="85">
        <f t="shared" si="16"/>
        <v>143067.8527</v>
      </c>
      <c r="U74" s="85">
        <f t="shared" si="16"/>
        <v>158974.815</v>
      </c>
      <c r="V74" s="85">
        <f t="shared" si="16"/>
        <v>175807.2635</v>
      </c>
      <c r="W74" s="85">
        <f t="shared" si="16"/>
        <v>193620.843</v>
      </c>
      <c r="X74" s="85">
        <f t="shared" si="16"/>
        <v>212289.3086</v>
      </c>
      <c r="Y74" s="85">
        <f t="shared" si="16"/>
        <v>231855.5478</v>
      </c>
      <c r="Z74" s="85">
        <f t="shared" si="16"/>
        <v>252364.5919</v>
      </c>
    </row>
    <row r="75" ht="15.75" customHeight="1">
      <c r="A75" s="92"/>
      <c r="B75" s="92"/>
      <c r="C75" s="93">
        <f t="shared" ref="C75:Z75" si="17">C74/C66</f>
        <v>0.6905402888</v>
      </c>
      <c r="D75" s="94">
        <f t="shared" si="17"/>
        <v>0.7967427728</v>
      </c>
      <c r="E75" s="94">
        <f t="shared" si="17"/>
        <v>0.8493616985</v>
      </c>
      <c r="F75" s="94">
        <f t="shared" si="17"/>
        <v>0.8799370125</v>
      </c>
      <c r="G75" s="94">
        <f t="shared" si="17"/>
        <v>0.8998229508</v>
      </c>
      <c r="H75" s="94">
        <f t="shared" si="17"/>
        <v>0.9137194374</v>
      </c>
      <c r="I75" s="94">
        <f t="shared" si="17"/>
        <v>0.9237344853</v>
      </c>
      <c r="J75" s="94">
        <f t="shared" si="17"/>
        <v>0.931295764</v>
      </c>
      <c r="K75" s="94">
        <f t="shared" si="17"/>
        <v>0.937184683</v>
      </c>
      <c r="L75" s="94">
        <f t="shared" si="17"/>
        <v>0.9418078234</v>
      </c>
      <c r="M75" s="94">
        <f t="shared" si="17"/>
        <v>0.9455247709</v>
      </c>
      <c r="N75" s="95">
        <f t="shared" si="17"/>
        <v>0.9485707486</v>
      </c>
      <c r="O75" s="94">
        <f t="shared" si="17"/>
        <v>0.9514674</v>
      </c>
      <c r="P75" s="94">
        <f t="shared" si="17"/>
        <v>0.9538245321</v>
      </c>
      <c r="Q75" s="94">
        <f t="shared" si="17"/>
        <v>0.955775232</v>
      </c>
      <c r="R75" s="94">
        <f t="shared" si="17"/>
        <v>0.9573983473</v>
      </c>
      <c r="S75" s="94">
        <f t="shared" si="17"/>
        <v>0.9587674175</v>
      </c>
      <c r="T75" s="94">
        <f t="shared" si="17"/>
        <v>0.9599355218</v>
      </c>
      <c r="U75" s="94">
        <f t="shared" si="17"/>
        <v>0.9609331567</v>
      </c>
      <c r="V75" s="94">
        <f t="shared" si="17"/>
        <v>0.9617939064</v>
      </c>
      <c r="W75" s="94">
        <f t="shared" si="17"/>
        <v>0.9625430826</v>
      </c>
      <c r="X75" s="94">
        <f t="shared" si="17"/>
        <v>0.963194234</v>
      </c>
      <c r="Y75" s="94">
        <f t="shared" si="17"/>
        <v>0.9637648793</v>
      </c>
      <c r="Z75" s="95">
        <f t="shared" si="17"/>
        <v>0.9642685981</v>
      </c>
    </row>
    <row r="76" ht="15.75" customHeight="1">
      <c r="A76" s="42" t="s">
        <v>79</v>
      </c>
      <c r="B76" s="43"/>
      <c r="C76" s="90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91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91"/>
    </row>
    <row r="77" ht="15.75" customHeight="1">
      <c r="A77" s="23"/>
      <c r="B77" s="43" t="s">
        <v>8</v>
      </c>
      <c r="C77" s="90">
        <f>sumif('Costs Hypotheses'!$F$3:$F$22,$B$77,C22:C41)+C47+C53</f>
        <v>1161.025</v>
      </c>
      <c r="D77" s="47">
        <f>sumif('Costs Hypotheses'!$F$3:$F$22,$B$77,D22:D41)+D47+D53</f>
        <v>1259.729425</v>
      </c>
      <c r="E77" s="47">
        <f>sumif('Costs Hypotheses'!$F$3:$F$22,$B$77,E22:E41)+E47+E53</f>
        <v>1373.015862</v>
      </c>
      <c r="F77" s="47">
        <f>sumif('Costs Hypotheses'!$F$3:$F$22,$B$77,F22:F41)+F47+F53</f>
        <v>1499.650314</v>
      </c>
      <c r="G77" s="47">
        <f>sumif('Costs Hypotheses'!$F$3:$F$22,$B$77,G22:G41)+G47+G53</f>
        <v>1641.235283</v>
      </c>
      <c r="H77" s="47">
        <f>sumif('Costs Hypotheses'!$F$3:$F$22,$B$77,H22:H41)+H47+H53</f>
        <v>1799.565568</v>
      </c>
      <c r="I77" s="47">
        <f>sumif('Costs Hypotheses'!$F$3:$F$22,$B$77,I22:I41)+I47+I53</f>
        <v>1972.646695</v>
      </c>
      <c r="J77" s="47">
        <f>sumif('Costs Hypotheses'!$F$3:$F$22,$B$77,J22:J41)+J47+J53</f>
        <v>2162.663437</v>
      </c>
      <c r="K77" s="47">
        <f>sumif('Costs Hypotheses'!$F$3:$F$22,$B$77,K22:K41)+K47+K53</f>
        <v>2371.310844</v>
      </c>
      <c r="L77" s="47">
        <f>sumif('Costs Hypotheses'!$F$3:$F$22,$B$77,L22:L41)+L47+L53</f>
        <v>2596.187507</v>
      </c>
      <c r="M77" s="47">
        <f>sumif('Costs Hypotheses'!$F$3:$F$22,$B$77,M22:M41)+M47+M53</f>
        <v>2838.593615</v>
      </c>
      <c r="N77" s="91">
        <f>sumif('Costs Hypotheses'!$F$3:$F$22,$B$77,N22:N41)+N47+N53</f>
        <v>3099.933368</v>
      </c>
      <c r="O77" s="47">
        <f>sumif('Costs Hypotheses'!$F$3:$F$22,$B$77,O22:O41)+O47+O53</f>
        <v>3428.153637</v>
      </c>
      <c r="P77" s="47">
        <f>sumif('Costs Hypotheses'!$F$3:$F$22,$B$77,P22:P41)+P47+P53</f>
        <v>3781.990626</v>
      </c>
      <c r="Q77" s="47">
        <f>sumif('Costs Hypotheses'!$F$3:$F$22,$B$77,Q22:Q41)+Q47+Q53</f>
        <v>4163.496234</v>
      </c>
      <c r="R77" s="47">
        <f>sumif('Costs Hypotheses'!$F$3:$F$22,$B$77,R22:R41)+R47+R53</f>
        <v>4570.960171</v>
      </c>
      <c r="S77" s="47">
        <f>sumif('Costs Hypotheses'!$F$3:$F$22,$B$77,S22:S41)+S47+S53</f>
        <v>5006.202505</v>
      </c>
      <c r="T77" s="47">
        <f>sumif('Costs Hypotheses'!$F$3:$F$22,$B$77,T22:T41)+T47+T53</f>
        <v>5471.170703</v>
      </c>
      <c r="U77" s="47">
        <f>sumif('Costs Hypotheses'!$F$3:$F$22,$B$77,U22:U41)+U47+U53</f>
        <v>5963.138609</v>
      </c>
      <c r="V77" s="47">
        <f>sumif('Costs Hypotheses'!$F$3:$F$22,$B$77,V22:V41)+V47+V53</f>
        <v>6483.729798</v>
      </c>
      <c r="W77" s="47">
        <f>sumif('Costs Hypotheses'!$F$3:$F$22,$B$77,W22:W41)+W47+W53</f>
        <v>7034.665247</v>
      </c>
      <c r="X77" s="47">
        <f>sumif('Costs Hypotheses'!$F$3:$F$22,$B$77,X22:X41)+X47+X53</f>
        <v>7612.040473</v>
      </c>
      <c r="Y77" s="47">
        <f>sumif('Costs Hypotheses'!$F$3:$F$22,$B$77,Y22:Y41)+Y47+Y53</f>
        <v>8217.181892</v>
      </c>
      <c r="Z77" s="91">
        <f>sumif('Costs Hypotheses'!$F$3:$F$22,$B$77,Z22:Z41)+Z47+Z53</f>
        <v>8851.482224</v>
      </c>
    </row>
    <row r="78" ht="15.75" customHeight="1">
      <c r="A78" s="92"/>
      <c r="B78" s="92" t="s">
        <v>80</v>
      </c>
      <c r="C78" s="93">
        <f t="shared" ref="C78:Z78" si="18">C77/C66</f>
        <v>0.2163064741</v>
      </c>
      <c r="D78" s="94">
        <f t="shared" si="18"/>
        <v>0.1455048181</v>
      </c>
      <c r="E78" s="94">
        <f t="shared" si="18"/>
        <v>0.1104255343</v>
      </c>
      <c r="F78" s="94">
        <f t="shared" si="18"/>
        <v>0.09004199167</v>
      </c>
      <c r="G78" s="94">
        <f t="shared" si="18"/>
        <v>0.07678469945</v>
      </c>
      <c r="H78" s="94">
        <f t="shared" si="18"/>
        <v>0.06752037508</v>
      </c>
      <c r="I78" s="94">
        <f t="shared" si="18"/>
        <v>0.06084367649</v>
      </c>
      <c r="J78" s="94">
        <f t="shared" si="18"/>
        <v>0.05580282398</v>
      </c>
      <c r="K78" s="94">
        <f t="shared" si="18"/>
        <v>0.05187687798</v>
      </c>
      <c r="L78" s="94">
        <f t="shared" si="18"/>
        <v>0.04879478437</v>
      </c>
      <c r="M78" s="94">
        <f t="shared" si="18"/>
        <v>0.04631681942</v>
      </c>
      <c r="N78" s="95">
        <f t="shared" si="18"/>
        <v>0.04428616758</v>
      </c>
      <c r="O78" s="94">
        <f t="shared" si="18"/>
        <v>0.04235506664</v>
      </c>
      <c r="P78" s="94">
        <f t="shared" si="18"/>
        <v>0.04078364525</v>
      </c>
      <c r="Q78" s="94">
        <f t="shared" si="18"/>
        <v>0.03948317867</v>
      </c>
      <c r="R78" s="94">
        <f t="shared" si="18"/>
        <v>0.03840110182</v>
      </c>
      <c r="S78" s="94">
        <f t="shared" si="18"/>
        <v>0.03748838831</v>
      </c>
      <c r="T78" s="94">
        <f t="shared" si="18"/>
        <v>0.03670965212</v>
      </c>
      <c r="U78" s="94">
        <f t="shared" si="18"/>
        <v>0.03604456219</v>
      </c>
      <c r="V78" s="94">
        <f t="shared" si="18"/>
        <v>0.03547072907</v>
      </c>
      <c r="W78" s="94">
        <f t="shared" si="18"/>
        <v>0.03497127824</v>
      </c>
      <c r="X78" s="94">
        <f t="shared" si="18"/>
        <v>0.03453717731</v>
      </c>
      <c r="Y78" s="94">
        <f t="shared" si="18"/>
        <v>0.03415674711</v>
      </c>
      <c r="Z78" s="95">
        <f t="shared" si="18"/>
        <v>0.03382093459</v>
      </c>
    </row>
    <row r="79" ht="15.75" customHeight="1">
      <c r="A79" s="23"/>
      <c r="B79" s="23"/>
      <c r="C79" s="56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57"/>
      <c r="Z79" s="57"/>
    </row>
    <row r="80" ht="15.75" customHeight="1">
      <c r="A80" s="23"/>
      <c r="B80" s="43" t="s">
        <v>9</v>
      </c>
      <c r="C80" s="88">
        <f>sumif('Costs Hypotheses'!$F$3:$F$22,$B$80,C22:C41)+C52</f>
        <v>13000</v>
      </c>
      <c r="D80" s="49">
        <f>sumif('Costs Hypotheses'!$F$3:$F$22,$B$80,D22:D41)+D52</f>
        <v>13000</v>
      </c>
      <c r="E80" s="49">
        <f>sumif('Costs Hypotheses'!$F$3:$F$22,$B$80,E22:E41)+E52</f>
        <v>13000</v>
      </c>
      <c r="F80" s="49">
        <f>sumif('Costs Hypotheses'!$F$3:$F$22,$B$80,F22:F41)+F52</f>
        <v>23000</v>
      </c>
      <c r="G80" s="49">
        <f>sumif('Costs Hypotheses'!$F$3:$F$22,$B$80,G22:G41)+G52</f>
        <v>23000</v>
      </c>
      <c r="H80" s="49">
        <f>sumif('Costs Hypotheses'!$F$3:$F$22,$B$80,H22:H41)+H52</f>
        <v>23000</v>
      </c>
      <c r="I80" s="49">
        <f>sumif('Costs Hypotheses'!$F$3:$F$22,$B$80,I22:I41)+I52</f>
        <v>23000</v>
      </c>
      <c r="J80" s="49">
        <f>sumif('Costs Hypotheses'!$F$3:$F$22,$B$80,J22:J41)+J52</f>
        <v>23000</v>
      </c>
      <c r="K80" s="49">
        <f>sumif('Costs Hypotheses'!$F$3:$F$22,$B$80,K22:K41)+K52</f>
        <v>23000</v>
      </c>
      <c r="L80" s="49">
        <f>sumif('Costs Hypotheses'!$F$3:$F$22,$B$80,L22:L41)+L52</f>
        <v>33000</v>
      </c>
      <c r="M80" s="49">
        <f>sumif('Costs Hypotheses'!$F$3:$F$22,$B$80,M22:M41)+M52</f>
        <v>33000</v>
      </c>
      <c r="N80" s="89">
        <f>sumif('Costs Hypotheses'!$F$3:$F$22,$B$80,N22:N41)+N52</f>
        <v>33000</v>
      </c>
      <c r="O80" s="49">
        <f>sumif('Costs Hypotheses'!$F$3:$F$22,$B$80,O22:O41)+O52</f>
        <v>33000</v>
      </c>
      <c r="P80" s="49">
        <f>sumif('Costs Hypotheses'!$F$3:$F$22,$B$80,P22:P41)+P52</f>
        <v>33000</v>
      </c>
      <c r="Q80" s="49">
        <f>sumif('Costs Hypotheses'!$F$3:$F$22,$B$80,Q22:Q41)+Q52</f>
        <v>33000</v>
      </c>
      <c r="R80" s="49">
        <f>sumif('Costs Hypotheses'!$F$3:$F$22,$B$80,R22:R41)+R52</f>
        <v>33000</v>
      </c>
      <c r="S80" s="49">
        <f>sumif('Costs Hypotheses'!$F$3:$F$22,$B$80,S22:S41)+S52</f>
        <v>33000</v>
      </c>
      <c r="T80" s="49">
        <f>sumif('Costs Hypotheses'!$F$3:$F$22,$B$80,T22:T41)+T52</f>
        <v>33000</v>
      </c>
      <c r="U80" s="49">
        <f>sumif('Costs Hypotheses'!$F$3:$F$22,$B$80,U22:U41)+U52</f>
        <v>33000</v>
      </c>
      <c r="V80" s="49">
        <f>sumif('Costs Hypotheses'!$F$3:$F$22,$B$80,V22:V41)+V52</f>
        <v>33000</v>
      </c>
      <c r="W80" s="49">
        <f>sumif('Costs Hypotheses'!$F$3:$F$22,$B$80,W22:W41)+W52</f>
        <v>33000</v>
      </c>
      <c r="X80" s="49">
        <f>sumif('Costs Hypotheses'!$F$3:$F$22,$B$80,X22:X41)+X52</f>
        <v>33000</v>
      </c>
      <c r="Y80" s="49">
        <f>sumif('Costs Hypotheses'!$F$3:$F$22,$B$80,Y22:Y41)+Y52</f>
        <v>33000</v>
      </c>
      <c r="Z80" s="89">
        <f>sumif('Costs Hypotheses'!$F$3:$F$22,$B$80,Z22:Z41)+Z52</f>
        <v>33000</v>
      </c>
    </row>
    <row r="81" ht="15.75" customHeight="1">
      <c r="A81" s="92"/>
      <c r="B81" s="92" t="s">
        <v>80</v>
      </c>
      <c r="C81" s="93">
        <f t="shared" ref="C81:Z81" si="19">C80/C66</f>
        <v>2.421984164</v>
      </c>
      <c r="D81" s="94">
        <f t="shared" si="19"/>
        <v>1.501562636</v>
      </c>
      <c r="E81" s="94">
        <f t="shared" si="19"/>
        <v>1.045531947</v>
      </c>
      <c r="F81" s="94">
        <f t="shared" si="19"/>
        <v>1.380965808</v>
      </c>
      <c r="G81" s="94">
        <f t="shared" si="19"/>
        <v>1.076048087</v>
      </c>
      <c r="H81" s="94">
        <f t="shared" si="19"/>
        <v>0.8629686268</v>
      </c>
      <c r="I81" s="94">
        <f t="shared" si="19"/>
        <v>0.7094045593</v>
      </c>
      <c r="J81" s="94">
        <f t="shared" si="19"/>
        <v>0.5934649515</v>
      </c>
      <c r="K81" s="94">
        <f t="shared" si="19"/>
        <v>0.5031681934</v>
      </c>
      <c r="L81" s="94">
        <f t="shared" si="19"/>
        <v>0.6202278841</v>
      </c>
      <c r="M81" s="94">
        <f t="shared" si="19"/>
        <v>0.5384550407</v>
      </c>
      <c r="N81" s="95">
        <f t="shared" si="19"/>
        <v>0.4714435301</v>
      </c>
      <c r="O81" s="94">
        <f t="shared" si="19"/>
        <v>0.4077171991</v>
      </c>
      <c r="P81" s="94">
        <f t="shared" si="19"/>
        <v>0.3558602933</v>
      </c>
      <c r="Q81" s="94">
        <f t="shared" si="19"/>
        <v>0.312944896</v>
      </c>
      <c r="R81" s="94">
        <f t="shared" si="19"/>
        <v>0.2772363602</v>
      </c>
      <c r="S81" s="94">
        <f t="shared" si="19"/>
        <v>0.2471168142</v>
      </c>
      <c r="T81" s="94">
        <f t="shared" si="19"/>
        <v>0.22141852</v>
      </c>
      <c r="U81" s="94">
        <f t="shared" si="19"/>
        <v>0.1994705524</v>
      </c>
      <c r="V81" s="94">
        <f t="shared" si="19"/>
        <v>0.1805340592</v>
      </c>
      <c r="W81" s="94">
        <f t="shared" si="19"/>
        <v>0.1640521818</v>
      </c>
      <c r="X81" s="94">
        <f t="shared" si="19"/>
        <v>0.1497268512</v>
      </c>
      <c r="Y81" s="94">
        <f t="shared" si="19"/>
        <v>0.1371726548</v>
      </c>
      <c r="Z81" s="95">
        <f t="shared" si="19"/>
        <v>0.1260908414</v>
      </c>
    </row>
    <row r="82" ht="15.75" customHeight="1">
      <c r="A82" s="23"/>
      <c r="B82" s="23"/>
      <c r="C82" s="56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57"/>
      <c r="Z82" s="57"/>
    </row>
    <row r="83" ht="15.75" customHeight="1">
      <c r="A83" s="23"/>
      <c r="B83" s="43" t="s">
        <v>10</v>
      </c>
      <c r="C83" s="88">
        <f>sumif('Costs Hypotheses'!$F$3:$F$22,$B$83,C22:C41)+sum(C54:C60)</f>
        <v>13867</v>
      </c>
      <c r="D83" s="49">
        <f>sumif('Costs Hypotheses'!$F$3:$F$22,$B$83,D22:D41)+sum(D54:D60)</f>
        <v>13867</v>
      </c>
      <c r="E83" s="49">
        <f>sumif('Costs Hypotheses'!$F$3:$F$22,$B$83,E22:E41)+sum(E54:E60)</f>
        <v>13867</v>
      </c>
      <c r="F83" s="49">
        <f>sumif('Costs Hypotheses'!$F$3:$F$22,$B$83,F22:F41)+sum(F54:F60)</f>
        <v>13867</v>
      </c>
      <c r="G83" s="49">
        <f>sumif('Costs Hypotheses'!$F$3:$F$22,$B$83,G22:G41)+sum(G54:G60)</f>
        <v>13867</v>
      </c>
      <c r="H83" s="49">
        <f>sumif('Costs Hypotheses'!$F$3:$F$22,$B$83,H22:H41)+sum(H54:H60)</f>
        <v>13867</v>
      </c>
      <c r="I83" s="49">
        <f>sumif('Costs Hypotheses'!$F$3:$F$22,$B$83,I22:I41)+sum(I54:I60)</f>
        <v>13867</v>
      </c>
      <c r="J83" s="49">
        <f>sumif('Costs Hypotheses'!$F$3:$F$22,$B$83,J22:J41)+sum(J54:J60)</f>
        <v>13867</v>
      </c>
      <c r="K83" s="49">
        <f>sumif('Costs Hypotheses'!$F$3:$F$22,$B$83,K22:K41)+sum(K54:K60)</f>
        <v>13867</v>
      </c>
      <c r="L83" s="49">
        <f>sumif('Costs Hypotheses'!$F$3:$F$22,$B$83,L22:L41)+sum(L54:L60)</f>
        <v>13867</v>
      </c>
      <c r="M83" s="49">
        <f>sumif('Costs Hypotheses'!$F$3:$F$22,$B$83,M22:M41)+sum(M54:M60)</f>
        <v>13867</v>
      </c>
      <c r="N83" s="89">
        <f>sumif('Costs Hypotheses'!$F$3:$F$22,$B$83,N22:N41)+sum(N54:N60)</f>
        <v>13867</v>
      </c>
      <c r="O83" s="49">
        <f>sumif('Costs Hypotheses'!$F$3:$F$22,$B$83,O22:O41)+sum(O54:O60)</f>
        <v>13867</v>
      </c>
      <c r="P83" s="49">
        <f>sumif('Costs Hypotheses'!$F$3:$F$22,$B$83,P22:P41)+sum(P54:P60)</f>
        <v>13867</v>
      </c>
      <c r="Q83" s="49">
        <f>sumif('Costs Hypotheses'!$F$3:$F$22,$B$83,Q22:Q41)+sum(Q54:Q60)</f>
        <v>13867</v>
      </c>
      <c r="R83" s="49">
        <f>sumif('Costs Hypotheses'!$F$3:$F$22,$B$83,R22:R41)+sum(R54:R60)</f>
        <v>13867</v>
      </c>
      <c r="S83" s="49">
        <f>sumif('Costs Hypotheses'!$F$3:$F$22,$B$83,S22:S41)+sum(S54:S60)</f>
        <v>13867</v>
      </c>
      <c r="T83" s="49">
        <f>sumif('Costs Hypotheses'!$F$3:$F$22,$B$83,T22:T41)+sum(T54:T60)</f>
        <v>13867</v>
      </c>
      <c r="U83" s="49">
        <f>sumif('Costs Hypotheses'!$F$3:$F$22,$B$83,U22:U41)+sum(U54:U60)</f>
        <v>13867</v>
      </c>
      <c r="V83" s="49">
        <f>sumif('Costs Hypotheses'!$F$3:$F$22,$B$83,V22:V41)+sum(V54:V60)</f>
        <v>13867</v>
      </c>
      <c r="W83" s="49">
        <f>sumif('Costs Hypotheses'!$F$3:$F$22,$B$83,W22:W41)+sum(W54:W60)</f>
        <v>13867</v>
      </c>
      <c r="X83" s="49">
        <f>sumif('Costs Hypotheses'!$F$3:$F$22,$B$83,X22:X41)+sum(X54:X60)</f>
        <v>13867</v>
      </c>
      <c r="Y83" s="49">
        <f>sumif('Costs Hypotheses'!$F$3:$F$22,$B$83,Y22:Y41)+sum(Y54:Y60)</f>
        <v>13867</v>
      </c>
      <c r="Z83" s="89">
        <f>sumif('Costs Hypotheses'!$F$3:$F$22,$B$83,Z22:Z41)+sum(Z54:Z60)</f>
        <v>13867</v>
      </c>
    </row>
    <row r="84" ht="15.75" customHeight="1">
      <c r="A84" s="92"/>
      <c r="B84" s="92" t="s">
        <v>80</v>
      </c>
      <c r="C84" s="93">
        <f t="shared" ref="C84:Z84" si="20">C83/C66</f>
        <v>2.583511877</v>
      </c>
      <c r="D84" s="94">
        <f t="shared" si="20"/>
        <v>1.601705313</v>
      </c>
      <c r="E84" s="94">
        <f t="shared" si="20"/>
        <v>1.115260885</v>
      </c>
      <c r="F84" s="94">
        <f t="shared" si="20"/>
        <v>0.8326022985</v>
      </c>
      <c r="G84" s="94">
        <f t="shared" si="20"/>
        <v>0.6487634272</v>
      </c>
      <c r="H84" s="94">
        <f t="shared" si="20"/>
        <v>0.5202950412</v>
      </c>
      <c r="I84" s="94">
        <f t="shared" si="20"/>
        <v>0.4277092619</v>
      </c>
      <c r="J84" s="94">
        <f t="shared" si="20"/>
        <v>0.3578077601</v>
      </c>
      <c r="K84" s="94">
        <f t="shared" si="20"/>
        <v>0.3033666669</v>
      </c>
      <c r="L84" s="94">
        <f t="shared" si="20"/>
        <v>0.2606272748</v>
      </c>
      <c r="M84" s="94">
        <f t="shared" si="20"/>
        <v>0.2262653348</v>
      </c>
      <c r="N84" s="95">
        <f t="shared" si="20"/>
        <v>0.1981062858</v>
      </c>
      <c r="O84" s="94">
        <f t="shared" si="20"/>
        <v>0.1713277091</v>
      </c>
      <c r="P84" s="94">
        <f t="shared" si="20"/>
        <v>0.1495368087</v>
      </c>
      <c r="Q84" s="94">
        <f t="shared" si="20"/>
        <v>0.1315032386</v>
      </c>
      <c r="R84" s="94">
        <f t="shared" si="20"/>
        <v>0.116498079</v>
      </c>
      <c r="S84" s="94">
        <f t="shared" si="20"/>
        <v>0.1038414807</v>
      </c>
      <c r="T84" s="94">
        <f t="shared" si="20"/>
        <v>0.09304274599</v>
      </c>
      <c r="U84" s="94">
        <f t="shared" si="20"/>
        <v>0.08381994395</v>
      </c>
      <c r="V84" s="94">
        <f t="shared" si="20"/>
        <v>0.07586259997</v>
      </c>
      <c r="W84" s="94">
        <f t="shared" si="20"/>
        <v>0.06893671529</v>
      </c>
      <c r="X84" s="94">
        <f t="shared" si="20"/>
        <v>0.06291703775</v>
      </c>
      <c r="Y84" s="94">
        <f t="shared" si="20"/>
        <v>0.05764161223</v>
      </c>
      <c r="Z84" s="95">
        <f t="shared" si="20"/>
        <v>0.05298489994</v>
      </c>
    </row>
    <row r="85" ht="15.75" customHeight="1">
      <c r="A85" s="23"/>
      <c r="B85" s="23"/>
      <c r="C85" s="56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57"/>
      <c r="Z85" s="57"/>
    </row>
    <row r="86" ht="15.75" customHeight="1">
      <c r="A86" s="42" t="s">
        <v>81</v>
      </c>
      <c r="B86" s="43"/>
      <c r="C86" s="56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57"/>
      <c r="Z86" s="57"/>
    </row>
    <row r="87" ht="15.75" customHeight="1">
      <c r="A87" s="85"/>
      <c r="B87" s="85" t="s">
        <v>82</v>
      </c>
      <c r="C87" s="86">
        <f t="shared" ref="C87:Z87" si="21">C74-C77-C80-C83</f>
        <v>-24321.55</v>
      </c>
      <c r="D87" s="85">
        <f t="shared" si="21"/>
        <v>-21228.81135</v>
      </c>
      <c r="E87" s="85">
        <f t="shared" si="21"/>
        <v>-17679.16967</v>
      </c>
      <c r="F87" s="85">
        <f t="shared" si="21"/>
        <v>-23711.29016</v>
      </c>
      <c r="G87" s="85">
        <f t="shared" si="21"/>
        <v>-19274.96113</v>
      </c>
      <c r="H87" s="85">
        <f t="shared" si="21"/>
        <v>-14313.94554</v>
      </c>
      <c r="I87" s="85">
        <f t="shared" si="21"/>
        <v>-8890.736893</v>
      </c>
      <c r="J87" s="85">
        <f t="shared" si="21"/>
        <v>-2936.878989</v>
      </c>
      <c r="K87" s="85">
        <f t="shared" si="21"/>
        <v>3600.739779</v>
      </c>
      <c r="L87" s="85">
        <f t="shared" si="21"/>
        <v>646.8752112</v>
      </c>
      <c r="M87" s="85">
        <f t="shared" si="21"/>
        <v>8242.266614</v>
      </c>
      <c r="N87" s="85">
        <f t="shared" si="21"/>
        <v>16430.9122</v>
      </c>
      <c r="O87" s="86">
        <f t="shared" si="21"/>
        <v>26715.1473</v>
      </c>
      <c r="P87" s="85">
        <f t="shared" si="21"/>
        <v>37802.03961</v>
      </c>
      <c r="Q87" s="85">
        <f t="shared" si="21"/>
        <v>49755.88201</v>
      </c>
      <c r="R87" s="85">
        <f t="shared" si="21"/>
        <v>62523.08534</v>
      </c>
      <c r="S87" s="85">
        <f t="shared" si="21"/>
        <v>76160.6785</v>
      </c>
      <c r="T87" s="85">
        <f t="shared" si="21"/>
        <v>90729.68204</v>
      </c>
      <c r="U87" s="85">
        <f t="shared" si="21"/>
        <v>106144.6764</v>
      </c>
      <c r="V87" s="85">
        <f t="shared" si="21"/>
        <v>122456.5337</v>
      </c>
      <c r="W87" s="85">
        <f t="shared" si="21"/>
        <v>139719.1777</v>
      </c>
      <c r="X87" s="85">
        <f t="shared" si="21"/>
        <v>157810.2681</v>
      </c>
      <c r="Y87" s="85">
        <f t="shared" si="21"/>
        <v>176771.3659</v>
      </c>
      <c r="Z87" s="85">
        <f t="shared" si="21"/>
        <v>196646.1097</v>
      </c>
    </row>
    <row r="88" ht="15.75" customHeight="1">
      <c r="A88" s="92"/>
      <c r="B88" s="92" t="s">
        <v>83</v>
      </c>
      <c r="C88" s="93">
        <f t="shared" ref="C88:Z88" si="22">C87/C66</f>
        <v>-4.531262226</v>
      </c>
      <c r="D88" s="94">
        <f t="shared" si="22"/>
        <v>-2.452029994</v>
      </c>
      <c r="E88" s="94">
        <f t="shared" si="22"/>
        <v>-1.421856667</v>
      </c>
      <c r="F88" s="94">
        <f t="shared" si="22"/>
        <v>-1.423673086</v>
      </c>
      <c r="G88" s="94">
        <f t="shared" si="22"/>
        <v>-0.9017732632</v>
      </c>
      <c r="H88" s="94">
        <f t="shared" si="22"/>
        <v>-0.5370646056</v>
      </c>
      <c r="I88" s="94">
        <f t="shared" si="22"/>
        <v>-0.2742230125</v>
      </c>
      <c r="J88" s="94">
        <f t="shared" si="22"/>
        <v>-0.0757797716</v>
      </c>
      <c r="K88" s="94">
        <f t="shared" si="22"/>
        <v>0.07877294476</v>
      </c>
      <c r="L88" s="94">
        <f t="shared" si="22"/>
        <v>0.01215788011</v>
      </c>
      <c r="M88" s="94">
        <f t="shared" si="22"/>
        <v>0.1344875759</v>
      </c>
      <c r="N88" s="95">
        <f t="shared" si="22"/>
        <v>0.2347347652</v>
      </c>
      <c r="O88" s="94">
        <f t="shared" si="22"/>
        <v>0.3300674252</v>
      </c>
      <c r="P88" s="94">
        <f t="shared" si="22"/>
        <v>0.4076437849</v>
      </c>
      <c r="Q88" s="94">
        <f t="shared" si="22"/>
        <v>0.4718439188</v>
      </c>
      <c r="R88" s="94">
        <f t="shared" si="22"/>
        <v>0.5252628063</v>
      </c>
      <c r="S88" s="94">
        <f t="shared" si="22"/>
        <v>0.5703207344</v>
      </c>
      <c r="T88" s="94">
        <f t="shared" si="22"/>
        <v>0.6087646037</v>
      </c>
      <c r="U88" s="94">
        <f t="shared" si="22"/>
        <v>0.6415980982</v>
      </c>
      <c r="V88" s="94">
        <f t="shared" si="22"/>
        <v>0.6699265182</v>
      </c>
      <c r="W88" s="94">
        <f t="shared" si="22"/>
        <v>0.6945829074</v>
      </c>
      <c r="X88" s="94">
        <f t="shared" si="22"/>
        <v>0.7160131678</v>
      </c>
      <c r="Y88" s="94">
        <f t="shared" si="22"/>
        <v>0.7347938652</v>
      </c>
      <c r="Z88" s="95">
        <f t="shared" si="22"/>
        <v>0.7513719222</v>
      </c>
    </row>
    <row r="89" ht="15.75" customHeight="1">
      <c r="A89" s="23"/>
      <c r="B89" s="43"/>
      <c r="C89" s="56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57"/>
      <c r="Z89" s="57"/>
    </row>
    <row r="90" ht="15.75" customHeight="1">
      <c r="A90" s="23"/>
      <c r="B90" s="23"/>
      <c r="C90" s="56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57"/>
      <c r="O90" s="56"/>
      <c r="Z90" s="57"/>
    </row>
    <row r="91" ht="15.75" customHeight="1">
      <c r="A91" s="23"/>
      <c r="B91" s="23"/>
      <c r="C91" s="56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57"/>
      <c r="O91" s="56"/>
      <c r="Z91" s="57"/>
    </row>
    <row r="92" ht="15.75" customHeight="1">
      <c r="A92" s="23"/>
      <c r="B92" s="23"/>
      <c r="C92" s="56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57"/>
      <c r="O92" s="56"/>
      <c r="Z92" s="57"/>
    </row>
    <row r="93" ht="15.75" customHeight="1">
      <c r="A93" s="23"/>
      <c r="B93" s="23"/>
      <c r="C93" s="56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57"/>
      <c r="O93" s="56"/>
      <c r="Z93" s="57"/>
    </row>
    <row r="94" ht="15.75" customHeight="1">
      <c r="A94" s="23"/>
      <c r="B94" s="23"/>
      <c r="C94" s="56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57"/>
      <c r="O94" s="56"/>
      <c r="Z94" s="57"/>
    </row>
    <row r="95" ht="15.75" customHeight="1">
      <c r="A95" s="23"/>
      <c r="B95" s="23"/>
      <c r="C95" s="56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57"/>
      <c r="O95" s="56"/>
      <c r="Z95" s="57"/>
    </row>
    <row r="96" ht="15.75" customHeight="1">
      <c r="A96" s="23"/>
      <c r="B96" s="23"/>
      <c r="C96" s="56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57"/>
      <c r="O96" s="56"/>
      <c r="Z96" s="57"/>
    </row>
    <row r="97" ht="15.75" customHeight="1">
      <c r="A97" s="23"/>
      <c r="B97" s="23"/>
      <c r="C97" s="56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57"/>
      <c r="O97" s="56"/>
      <c r="Z97" s="57"/>
    </row>
    <row r="98" ht="15.75" customHeight="1">
      <c r="A98" s="23"/>
      <c r="B98" s="23"/>
      <c r="C98" s="56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57"/>
      <c r="O98" s="56"/>
      <c r="Z98" s="57"/>
    </row>
    <row r="99" ht="15.75" customHeight="1">
      <c r="A99" s="23"/>
      <c r="B99" s="23"/>
      <c r="C99" s="56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57"/>
      <c r="O99" s="56"/>
      <c r="Z99" s="57"/>
    </row>
    <row r="100" ht="15.75" customHeight="1">
      <c r="A100" s="23"/>
      <c r="B100" s="23"/>
      <c r="C100" s="56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57"/>
      <c r="O100" s="56"/>
      <c r="Z100" s="57"/>
    </row>
    <row r="101" ht="15.75" customHeight="1">
      <c r="A101" s="23"/>
      <c r="B101" s="23"/>
      <c r="C101" s="56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57"/>
      <c r="O101" s="56"/>
      <c r="Z101" s="57"/>
    </row>
    <row r="102" ht="15.75" customHeight="1">
      <c r="A102" s="23"/>
      <c r="B102" s="23"/>
      <c r="C102" s="56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57"/>
      <c r="O102" s="56"/>
      <c r="Z102" s="57"/>
    </row>
    <row r="103" ht="15.75" customHeight="1">
      <c r="A103" s="23"/>
      <c r="B103" s="23"/>
      <c r="C103" s="56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57"/>
      <c r="O103" s="56"/>
      <c r="Z103" s="57"/>
    </row>
    <row r="104" ht="15.75" customHeight="1">
      <c r="A104" s="23"/>
      <c r="B104" s="23"/>
      <c r="C104" s="56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57"/>
      <c r="O104" s="56"/>
      <c r="Z104" s="57"/>
    </row>
    <row r="105" ht="15.75" customHeight="1">
      <c r="A105" s="23"/>
      <c r="B105" s="23"/>
      <c r="C105" s="56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57"/>
      <c r="O105" s="56"/>
      <c r="Z105" s="57"/>
    </row>
    <row r="106" ht="15.75" customHeight="1">
      <c r="A106" s="23"/>
      <c r="B106" s="23"/>
      <c r="C106" s="56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57"/>
      <c r="O106" s="56"/>
      <c r="Z106" s="57"/>
    </row>
    <row r="107" ht="15.75" customHeight="1">
      <c r="A107" s="23"/>
      <c r="B107" s="23"/>
      <c r="C107" s="56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57"/>
      <c r="O107" s="56"/>
      <c r="Z107" s="57"/>
    </row>
    <row r="108" ht="15.75" customHeight="1">
      <c r="A108" s="23"/>
      <c r="B108" s="23"/>
      <c r="C108" s="56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57"/>
      <c r="O108" s="56"/>
      <c r="Z108" s="57"/>
    </row>
    <row r="109" ht="15.75" customHeight="1">
      <c r="A109" s="23"/>
      <c r="B109" s="23"/>
      <c r="C109" s="56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57"/>
      <c r="O109" s="56"/>
      <c r="Z109" s="57"/>
    </row>
    <row r="110" ht="15.75" customHeight="1">
      <c r="A110" s="23"/>
      <c r="B110" s="23"/>
      <c r="C110" s="56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57"/>
      <c r="O110" s="56"/>
      <c r="Z110" s="57"/>
    </row>
    <row r="111" ht="15.75" customHeight="1">
      <c r="A111" s="23"/>
      <c r="B111" s="23"/>
      <c r="C111" s="56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57"/>
      <c r="O111" s="56"/>
      <c r="Z111" s="57"/>
    </row>
    <row r="112" ht="15.75" customHeight="1">
      <c r="A112" s="23"/>
      <c r="B112" s="23"/>
      <c r="C112" s="56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57"/>
      <c r="O112" s="56"/>
      <c r="Z112" s="57"/>
    </row>
    <row r="113" ht="15.75" customHeight="1">
      <c r="A113" s="23"/>
      <c r="B113" s="23"/>
      <c r="C113" s="56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57"/>
      <c r="O113" s="56"/>
      <c r="Z113" s="57"/>
    </row>
    <row r="114" ht="15.75" customHeight="1">
      <c r="A114" s="23"/>
      <c r="B114" s="23"/>
      <c r="C114" s="56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57"/>
      <c r="O114" s="56"/>
      <c r="Z114" s="57"/>
    </row>
    <row r="115" ht="15.75" customHeight="1">
      <c r="A115" s="23"/>
      <c r="B115" s="23"/>
      <c r="C115" s="56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57"/>
      <c r="O115" s="56"/>
      <c r="Z115" s="57"/>
    </row>
    <row r="116" ht="15.75" customHeight="1">
      <c r="A116" s="23"/>
      <c r="B116" s="23"/>
      <c r="C116" s="56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57"/>
      <c r="O116" s="56"/>
      <c r="Z116" s="57"/>
    </row>
    <row r="117" ht="15.75" customHeight="1">
      <c r="A117" s="23"/>
      <c r="B117" s="23"/>
      <c r="C117" s="56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57"/>
      <c r="O117" s="56"/>
      <c r="Z117" s="57"/>
    </row>
    <row r="118" ht="15.75" customHeight="1">
      <c r="A118" s="23"/>
      <c r="B118" s="23"/>
      <c r="C118" s="56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57"/>
      <c r="O118" s="56"/>
      <c r="Z118" s="57"/>
    </row>
    <row r="119" ht="15.75" customHeight="1">
      <c r="A119" s="23"/>
      <c r="B119" s="23"/>
      <c r="C119" s="56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57"/>
      <c r="O119" s="56"/>
      <c r="Z119" s="57"/>
    </row>
    <row r="120" ht="15.75" customHeight="1">
      <c r="A120" s="23"/>
      <c r="B120" s="23"/>
      <c r="C120" s="56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57"/>
      <c r="O120" s="56"/>
      <c r="Z120" s="57"/>
    </row>
    <row r="121" ht="15.75" customHeight="1">
      <c r="A121" s="23"/>
      <c r="B121" s="23"/>
      <c r="C121" s="56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57"/>
      <c r="O121" s="56"/>
      <c r="Z121" s="57"/>
    </row>
    <row r="122" ht="15.75" customHeight="1">
      <c r="A122" s="23"/>
      <c r="B122" s="23"/>
      <c r="C122" s="56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57"/>
      <c r="O122" s="56"/>
      <c r="Z122" s="57"/>
    </row>
    <row r="123" ht="15.75" customHeight="1">
      <c r="A123" s="23"/>
      <c r="B123" s="23"/>
      <c r="C123" s="56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57"/>
      <c r="O123" s="56"/>
      <c r="Z123" s="57"/>
    </row>
    <row r="124" ht="15.75" customHeight="1">
      <c r="A124" s="23"/>
      <c r="B124" s="23"/>
      <c r="C124" s="56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57"/>
      <c r="O124" s="56"/>
      <c r="Z124" s="57"/>
    </row>
    <row r="125" ht="15.75" customHeight="1">
      <c r="A125" s="23"/>
      <c r="B125" s="23"/>
      <c r="C125" s="56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57"/>
      <c r="O125" s="56"/>
      <c r="Z125" s="57"/>
    </row>
    <row r="126" ht="15.75" customHeight="1">
      <c r="A126" s="23"/>
      <c r="B126" s="23"/>
      <c r="C126" s="56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57"/>
      <c r="O126" s="56"/>
      <c r="Z126" s="57"/>
    </row>
    <row r="127" ht="15.75" customHeight="1">
      <c r="A127" s="23"/>
      <c r="B127" s="23"/>
      <c r="C127" s="56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57"/>
      <c r="O127" s="56"/>
      <c r="Z127" s="57"/>
    </row>
    <row r="128" ht="15.75" customHeight="1">
      <c r="A128" s="23"/>
      <c r="B128" s="23"/>
      <c r="C128" s="56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57"/>
      <c r="O128" s="56"/>
      <c r="Z128" s="57"/>
    </row>
    <row r="129" ht="15.75" customHeight="1">
      <c r="A129" s="23"/>
      <c r="B129" s="23"/>
      <c r="C129" s="56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57"/>
      <c r="O129" s="56"/>
      <c r="Z129" s="57"/>
    </row>
    <row r="130" ht="15.75" customHeight="1">
      <c r="A130" s="23"/>
      <c r="B130" s="23"/>
      <c r="C130" s="56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57"/>
      <c r="O130" s="56"/>
      <c r="Z130" s="57"/>
    </row>
    <row r="131" ht="15.75" customHeight="1">
      <c r="A131" s="23"/>
      <c r="B131" s="23"/>
      <c r="C131" s="56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57"/>
      <c r="O131" s="56"/>
      <c r="Z131" s="57"/>
    </row>
    <row r="132" ht="15.75" customHeight="1">
      <c r="A132" s="23"/>
      <c r="B132" s="23"/>
      <c r="C132" s="56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57"/>
      <c r="O132" s="56"/>
      <c r="Z132" s="57"/>
    </row>
    <row r="133" ht="15.75" customHeight="1">
      <c r="A133" s="23"/>
      <c r="B133" s="23"/>
      <c r="C133" s="56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57"/>
      <c r="O133" s="56"/>
      <c r="Z133" s="57"/>
    </row>
    <row r="134" ht="15.75" customHeight="1">
      <c r="A134" s="23"/>
      <c r="B134" s="23"/>
      <c r="C134" s="56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57"/>
      <c r="O134" s="56"/>
      <c r="Z134" s="57"/>
    </row>
    <row r="135" ht="15.75" customHeight="1">
      <c r="A135" s="23"/>
      <c r="B135" s="23"/>
      <c r="C135" s="56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57"/>
      <c r="O135" s="56"/>
      <c r="Z135" s="57"/>
    </row>
    <row r="136" ht="15.75" customHeight="1">
      <c r="A136" s="23"/>
      <c r="B136" s="23"/>
      <c r="C136" s="56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57"/>
      <c r="O136" s="56"/>
      <c r="Z136" s="57"/>
    </row>
    <row r="137" ht="15.75" customHeight="1">
      <c r="A137" s="23"/>
      <c r="B137" s="23"/>
      <c r="C137" s="56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57"/>
      <c r="O137" s="56"/>
      <c r="Z137" s="57"/>
    </row>
    <row r="138" ht="15.75" customHeight="1">
      <c r="A138" s="23"/>
      <c r="B138" s="23"/>
      <c r="C138" s="56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57"/>
      <c r="O138" s="56"/>
      <c r="Z138" s="57"/>
    </row>
    <row r="139" ht="15.75" customHeight="1">
      <c r="A139" s="23"/>
      <c r="B139" s="23"/>
      <c r="C139" s="56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57"/>
      <c r="O139" s="56"/>
      <c r="Z139" s="57"/>
    </row>
    <row r="140" ht="15.75" customHeight="1">
      <c r="A140" s="23"/>
      <c r="B140" s="23"/>
      <c r="C140" s="56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57"/>
      <c r="O140" s="56"/>
      <c r="Z140" s="57"/>
    </row>
    <row r="141" ht="15.75" customHeight="1">
      <c r="A141" s="23"/>
      <c r="B141" s="23"/>
      <c r="C141" s="56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57"/>
      <c r="O141" s="56"/>
      <c r="Z141" s="57"/>
    </row>
    <row r="142" ht="15.75" customHeight="1">
      <c r="A142" s="23"/>
      <c r="B142" s="23"/>
      <c r="C142" s="56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57"/>
      <c r="O142" s="56"/>
      <c r="Z142" s="57"/>
    </row>
    <row r="143" ht="15.75" customHeight="1">
      <c r="A143" s="23"/>
      <c r="B143" s="23"/>
      <c r="C143" s="56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57"/>
      <c r="O143" s="56"/>
      <c r="Z143" s="57"/>
    </row>
    <row r="144" ht="15.75" customHeight="1">
      <c r="A144" s="23"/>
      <c r="B144" s="23"/>
      <c r="C144" s="56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57"/>
      <c r="O144" s="56"/>
      <c r="Z144" s="57"/>
    </row>
    <row r="145" ht="15.75" customHeight="1">
      <c r="A145" s="23"/>
      <c r="B145" s="23"/>
      <c r="C145" s="56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57"/>
      <c r="O145" s="56"/>
      <c r="Z145" s="57"/>
    </row>
    <row r="146" ht="15.75" customHeight="1">
      <c r="A146" s="23"/>
      <c r="B146" s="23"/>
      <c r="C146" s="56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57"/>
      <c r="O146" s="56"/>
      <c r="Z146" s="57"/>
    </row>
    <row r="147" ht="15.75" customHeight="1">
      <c r="A147" s="23"/>
      <c r="B147" s="23"/>
      <c r="C147" s="56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57"/>
      <c r="O147" s="56"/>
      <c r="Z147" s="57"/>
    </row>
    <row r="148" ht="15.75" customHeight="1">
      <c r="A148" s="23"/>
      <c r="B148" s="23"/>
      <c r="C148" s="56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57"/>
      <c r="O148" s="56"/>
      <c r="Z148" s="57"/>
    </row>
    <row r="149" ht="15.75" customHeight="1">
      <c r="A149" s="23"/>
      <c r="B149" s="23"/>
      <c r="C149" s="56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57"/>
      <c r="O149" s="56"/>
      <c r="Z149" s="57"/>
    </row>
    <row r="150" ht="15.75" customHeight="1">
      <c r="A150" s="23"/>
      <c r="B150" s="23"/>
      <c r="C150" s="56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57"/>
      <c r="O150" s="56"/>
      <c r="Z150" s="57"/>
    </row>
    <row r="151" ht="15.75" customHeight="1">
      <c r="A151" s="23"/>
      <c r="B151" s="23"/>
      <c r="C151" s="56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57"/>
      <c r="O151" s="56"/>
      <c r="Z151" s="57"/>
    </row>
    <row r="152" ht="15.75" customHeight="1">
      <c r="A152" s="23"/>
      <c r="B152" s="23"/>
      <c r="C152" s="56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57"/>
      <c r="O152" s="56"/>
      <c r="Z152" s="57"/>
    </row>
    <row r="153" ht="15.75" customHeight="1">
      <c r="A153" s="23"/>
      <c r="B153" s="23"/>
      <c r="C153" s="56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57"/>
      <c r="O153" s="56"/>
      <c r="Z153" s="57"/>
    </row>
    <row r="154" ht="15.75" customHeight="1">
      <c r="A154" s="23"/>
      <c r="B154" s="23"/>
      <c r="C154" s="56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57"/>
      <c r="O154" s="56"/>
      <c r="Z154" s="57"/>
    </row>
    <row r="155" ht="15.75" customHeight="1">
      <c r="A155" s="23"/>
      <c r="B155" s="23"/>
      <c r="C155" s="56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57"/>
      <c r="O155" s="56"/>
      <c r="Z155" s="57"/>
    </row>
    <row r="156" ht="15.75" customHeight="1">
      <c r="A156" s="23"/>
      <c r="B156" s="23"/>
      <c r="C156" s="56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57"/>
      <c r="O156" s="56"/>
      <c r="Z156" s="57"/>
    </row>
    <row r="157" ht="15.75" customHeight="1">
      <c r="A157" s="23"/>
      <c r="B157" s="23"/>
      <c r="C157" s="56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57"/>
      <c r="O157" s="56"/>
      <c r="Z157" s="57"/>
    </row>
    <row r="158" ht="15.75" customHeight="1">
      <c r="A158" s="23"/>
      <c r="B158" s="23"/>
      <c r="C158" s="56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57"/>
      <c r="O158" s="56"/>
      <c r="Z158" s="57"/>
    </row>
    <row r="159" ht="15.75" customHeight="1">
      <c r="A159" s="23"/>
      <c r="B159" s="23"/>
      <c r="C159" s="56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57"/>
      <c r="O159" s="56"/>
      <c r="Z159" s="57"/>
    </row>
    <row r="160" ht="15.75" customHeight="1">
      <c r="A160" s="23"/>
      <c r="B160" s="23"/>
      <c r="C160" s="56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57"/>
      <c r="O160" s="56"/>
      <c r="Z160" s="57"/>
    </row>
    <row r="161" ht="15.75" customHeight="1">
      <c r="A161" s="23"/>
      <c r="B161" s="23"/>
      <c r="C161" s="56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57"/>
      <c r="O161" s="56"/>
      <c r="Z161" s="57"/>
    </row>
    <row r="162" ht="15.75" customHeight="1">
      <c r="A162" s="23"/>
      <c r="B162" s="23"/>
      <c r="C162" s="56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57"/>
      <c r="O162" s="56"/>
      <c r="Z162" s="57"/>
    </row>
    <row r="163" ht="15.75" customHeight="1">
      <c r="A163" s="23"/>
      <c r="B163" s="23"/>
      <c r="C163" s="56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57"/>
      <c r="O163" s="56"/>
      <c r="Z163" s="57"/>
    </row>
    <row r="164" ht="15.75" customHeight="1">
      <c r="A164" s="23"/>
      <c r="B164" s="23"/>
      <c r="C164" s="56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57"/>
      <c r="O164" s="56"/>
      <c r="Z164" s="57"/>
    </row>
    <row r="165" ht="15.75" customHeight="1">
      <c r="A165" s="23"/>
      <c r="B165" s="23"/>
      <c r="C165" s="56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57"/>
      <c r="O165" s="56"/>
      <c r="Z165" s="57"/>
    </row>
    <row r="166" ht="15.75" customHeight="1">
      <c r="A166" s="23"/>
      <c r="B166" s="23"/>
      <c r="C166" s="56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57"/>
      <c r="O166" s="56"/>
      <c r="Z166" s="57"/>
    </row>
    <row r="167" ht="15.75" customHeight="1">
      <c r="A167" s="23"/>
      <c r="B167" s="23"/>
      <c r="C167" s="56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57"/>
      <c r="O167" s="56"/>
      <c r="Z167" s="57"/>
    </row>
    <row r="168" ht="15.75" customHeight="1">
      <c r="A168" s="23"/>
      <c r="B168" s="23"/>
      <c r="C168" s="56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57"/>
      <c r="O168" s="56"/>
      <c r="Z168" s="57"/>
    </row>
    <row r="169" ht="15.75" customHeight="1">
      <c r="A169" s="23"/>
      <c r="B169" s="23"/>
      <c r="C169" s="56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57"/>
      <c r="O169" s="56"/>
      <c r="Z169" s="57"/>
    </row>
    <row r="170" ht="15.75" customHeight="1">
      <c r="A170" s="23"/>
      <c r="B170" s="23"/>
      <c r="C170" s="56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57"/>
      <c r="O170" s="56"/>
      <c r="Z170" s="57"/>
    </row>
    <row r="171" ht="15.75" customHeight="1">
      <c r="A171" s="23"/>
      <c r="B171" s="23"/>
      <c r="C171" s="56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57"/>
      <c r="O171" s="56"/>
      <c r="Z171" s="57"/>
    </row>
    <row r="172" ht="15.75" customHeight="1">
      <c r="A172" s="23"/>
      <c r="B172" s="23"/>
      <c r="C172" s="56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57"/>
      <c r="O172" s="56"/>
      <c r="Z172" s="57"/>
    </row>
    <row r="173" ht="15.75" customHeight="1">
      <c r="A173" s="23"/>
      <c r="B173" s="23"/>
      <c r="C173" s="56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57"/>
      <c r="O173" s="56"/>
      <c r="Z173" s="57"/>
    </row>
    <row r="174" ht="15.75" customHeight="1">
      <c r="A174" s="23"/>
      <c r="B174" s="23"/>
      <c r="C174" s="56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57"/>
      <c r="O174" s="56"/>
      <c r="Z174" s="57"/>
    </row>
    <row r="175" ht="15.75" customHeight="1">
      <c r="A175" s="23"/>
      <c r="B175" s="23"/>
      <c r="C175" s="56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57"/>
      <c r="O175" s="56"/>
      <c r="Z175" s="57"/>
    </row>
    <row r="176" ht="15.75" customHeight="1">
      <c r="A176" s="23"/>
      <c r="B176" s="23"/>
      <c r="C176" s="56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57"/>
      <c r="O176" s="56"/>
      <c r="Z176" s="57"/>
    </row>
    <row r="177" ht="15.75" customHeight="1">
      <c r="A177" s="23"/>
      <c r="B177" s="23"/>
      <c r="C177" s="56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57"/>
      <c r="O177" s="56"/>
      <c r="Z177" s="57"/>
    </row>
    <row r="178" ht="15.75" customHeight="1">
      <c r="A178" s="23"/>
      <c r="B178" s="23"/>
      <c r="C178" s="56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57"/>
      <c r="O178" s="56"/>
      <c r="Z178" s="57"/>
    </row>
    <row r="179" ht="15.75" customHeight="1">
      <c r="A179" s="23"/>
      <c r="B179" s="23"/>
      <c r="C179" s="56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57"/>
      <c r="O179" s="56"/>
      <c r="Z179" s="57"/>
    </row>
    <row r="180" ht="15.75" customHeight="1">
      <c r="A180" s="23"/>
      <c r="B180" s="23"/>
      <c r="C180" s="56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57"/>
      <c r="O180" s="56"/>
      <c r="Z180" s="57"/>
    </row>
    <row r="181" ht="15.75" customHeight="1">
      <c r="A181" s="23"/>
      <c r="B181" s="23"/>
      <c r="C181" s="56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57"/>
      <c r="O181" s="56"/>
      <c r="Z181" s="57"/>
    </row>
    <row r="182" ht="15.75" customHeight="1">
      <c r="A182" s="23"/>
      <c r="B182" s="23"/>
      <c r="C182" s="56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57"/>
      <c r="O182" s="56"/>
      <c r="Z182" s="57"/>
    </row>
    <row r="183" ht="15.75" customHeight="1">
      <c r="A183" s="23"/>
      <c r="B183" s="23"/>
      <c r="C183" s="56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57"/>
      <c r="O183" s="56"/>
      <c r="Z183" s="57"/>
    </row>
    <row r="184" ht="15.75" customHeight="1">
      <c r="A184" s="23"/>
      <c r="B184" s="23"/>
      <c r="C184" s="56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57"/>
      <c r="O184" s="56"/>
      <c r="Z184" s="57"/>
    </row>
    <row r="185" ht="15.75" customHeight="1">
      <c r="A185" s="23"/>
      <c r="B185" s="23"/>
      <c r="C185" s="56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57"/>
      <c r="O185" s="56"/>
      <c r="Z185" s="57"/>
    </row>
    <row r="186" ht="15.75" customHeight="1">
      <c r="A186" s="23"/>
      <c r="B186" s="23"/>
      <c r="C186" s="56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57"/>
      <c r="O186" s="56"/>
      <c r="Z186" s="57"/>
    </row>
    <row r="187" ht="15.75" customHeight="1">
      <c r="A187" s="23"/>
      <c r="B187" s="23"/>
      <c r="C187" s="56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57"/>
      <c r="O187" s="56"/>
      <c r="Z187" s="57"/>
    </row>
    <row r="188" ht="15.75" customHeight="1">
      <c r="A188" s="23"/>
      <c r="B188" s="23"/>
      <c r="C188" s="56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57"/>
      <c r="O188" s="56"/>
      <c r="Z188" s="57"/>
    </row>
    <row r="189" ht="15.75" customHeight="1">
      <c r="A189" s="23"/>
      <c r="B189" s="23"/>
      <c r="C189" s="56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57"/>
      <c r="O189" s="56"/>
      <c r="Z189" s="57"/>
    </row>
    <row r="190" ht="15.75" customHeight="1">
      <c r="A190" s="23"/>
      <c r="B190" s="23"/>
      <c r="C190" s="56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57"/>
      <c r="O190" s="56"/>
      <c r="Z190" s="57"/>
    </row>
    <row r="191" ht="15.75" customHeight="1">
      <c r="A191" s="23"/>
      <c r="B191" s="23"/>
      <c r="C191" s="56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57"/>
      <c r="O191" s="56"/>
      <c r="Z191" s="57"/>
    </row>
    <row r="192" ht="15.75" customHeight="1">
      <c r="A192" s="23"/>
      <c r="B192" s="23"/>
      <c r="C192" s="56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57"/>
      <c r="O192" s="56"/>
      <c r="Z192" s="57"/>
    </row>
    <row r="193" ht="15.75" customHeight="1">
      <c r="A193" s="23"/>
      <c r="B193" s="23"/>
      <c r="C193" s="56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57"/>
      <c r="O193" s="56"/>
      <c r="Z193" s="57"/>
    </row>
    <row r="194" ht="15.75" customHeight="1">
      <c r="A194" s="23"/>
      <c r="B194" s="23"/>
      <c r="C194" s="56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57"/>
      <c r="O194" s="56"/>
      <c r="Z194" s="57"/>
    </row>
    <row r="195" ht="15.75" customHeight="1">
      <c r="A195" s="23"/>
      <c r="B195" s="23"/>
      <c r="C195" s="56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57"/>
      <c r="O195" s="56"/>
      <c r="Z195" s="57"/>
    </row>
    <row r="196" ht="15.75" customHeight="1">
      <c r="A196" s="23"/>
      <c r="B196" s="23"/>
      <c r="C196" s="56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57"/>
      <c r="O196" s="56"/>
      <c r="Z196" s="57"/>
    </row>
    <row r="197" ht="15.75" customHeight="1">
      <c r="A197" s="23"/>
      <c r="B197" s="23"/>
      <c r="C197" s="56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57"/>
      <c r="O197" s="56"/>
      <c r="Z197" s="57"/>
    </row>
    <row r="198" ht="15.75" customHeight="1">
      <c r="A198" s="23"/>
      <c r="B198" s="23"/>
      <c r="C198" s="56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57"/>
      <c r="O198" s="56"/>
      <c r="Z198" s="57"/>
    </row>
    <row r="199" ht="15.75" customHeight="1">
      <c r="A199" s="23"/>
      <c r="B199" s="23"/>
      <c r="C199" s="56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57"/>
      <c r="O199" s="56"/>
      <c r="Z199" s="57"/>
    </row>
    <row r="200" ht="15.75" customHeight="1">
      <c r="A200" s="23"/>
      <c r="B200" s="23"/>
      <c r="C200" s="56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57"/>
      <c r="O200" s="56"/>
      <c r="Z200" s="57"/>
    </row>
    <row r="201" ht="15.75" customHeight="1">
      <c r="A201" s="23"/>
      <c r="B201" s="23"/>
      <c r="C201" s="56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57"/>
      <c r="O201" s="56"/>
      <c r="Z201" s="57"/>
    </row>
    <row r="202" ht="15.75" customHeight="1">
      <c r="A202" s="23"/>
      <c r="B202" s="23"/>
      <c r="C202" s="56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57"/>
      <c r="O202" s="56"/>
      <c r="Z202" s="57"/>
    </row>
    <row r="203" ht="15.75" customHeight="1">
      <c r="A203" s="23"/>
      <c r="B203" s="23"/>
      <c r="C203" s="56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57"/>
      <c r="O203" s="56"/>
      <c r="Z203" s="57"/>
    </row>
    <row r="204" ht="15.75" customHeight="1">
      <c r="A204" s="23"/>
      <c r="B204" s="23"/>
      <c r="C204" s="56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57"/>
      <c r="O204" s="56"/>
      <c r="Z204" s="57"/>
    </row>
    <row r="205" ht="15.75" customHeight="1">
      <c r="A205" s="23"/>
      <c r="B205" s="23"/>
      <c r="C205" s="56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57"/>
      <c r="O205" s="56"/>
      <c r="Z205" s="57"/>
    </row>
    <row r="206" ht="15.75" customHeight="1">
      <c r="A206" s="23"/>
      <c r="B206" s="23"/>
      <c r="C206" s="56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57"/>
      <c r="O206" s="56"/>
      <c r="Z206" s="57"/>
    </row>
    <row r="207" ht="15.75" customHeight="1">
      <c r="A207" s="23"/>
      <c r="B207" s="23"/>
      <c r="C207" s="56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57"/>
      <c r="O207" s="56"/>
      <c r="Z207" s="57"/>
    </row>
    <row r="208" ht="15.75" customHeight="1">
      <c r="A208" s="23"/>
      <c r="B208" s="23"/>
      <c r="C208" s="56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57"/>
      <c r="O208" s="56"/>
      <c r="Z208" s="57"/>
    </row>
    <row r="209" ht="15.75" customHeight="1">
      <c r="A209" s="23"/>
      <c r="B209" s="23"/>
      <c r="C209" s="56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57"/>
      <c r="O209" s="56"/>
      <c r="Z209" s="57"/>
    </row>
    <row r="210" ht="15.75" customHeight="1">
      <c r="A210" s="23"/>
      <c r="B210" s="23"/>
      <c r="C210" s="56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57"/>
      <c r="O210" s="56"/>
      <c r="Z210" s="57"/>
    </row>
    <row r="211" ht="15.75" customHeight="1">
      <c r="A211" s="23"/>
      <c r="B211" s="23"/>
      <c r="C211" s="56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57"/>
      <c r="O211" s="56"/>
      <c r="Z211" s="57"/>
    </row>
    <row r="212" ht="15.75" customHeight="1">
      <c r="A212" s="23"/>
      <c r="B212" s="23"/>
      <c r="C212" s="56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57"/>
      <c r="O212" s="56"/>
      <c r="Z212" s="57"/>
    </row>
    <row r="213" ht="15.75" customHeight="1">
      <c r="A213" s="23"/>
      <c r="B213" s="23"/>
      <c r="C213" s="56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57"/>
      <c r="O213" s="56"/>
      <c r="Z213" s="57"/>
    </row>
    <row r="214" ht="15.75" customHeight="1">
      <c r="A214" s="23"/>
      <c r="B214" s="23"/>
      <c r="C214" s="56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57"/>
      <c r="O214" s="56"/>
      <c r="Z214" s="57"/>
    </row>
    <row r="215" ht="15.75" customHeight="1">
      <c r="A215" s="23"/>
      <c r="B215" s="23"/>
      <c r="C215" s="56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57"/>
      <c r="O215" s="56"/>
      <c r="Z215" s="57"/>
    </row>
    <row r="216" ht="15.75" customHeight="1">
      <c r="A216" s="23"/>
      <c r="B216" s="23"/>
      <c r="C216" s="56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57"/>
      <c r="O216" s="56"/>
      <c r="Z216" s="57"/>
    </row>
    <row r="217" ht="15.75" customHeight="1">
      <c r="A217" s="23"/>
      <c r="B217" s="23"/>
      <c r="C217" s="56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57"/>
      <c r="O217" s="56"/>
      <c r="Z217" s="57"/>
    </row>
    <row r="218" ht="15.75" customHeight="1">
      <c r="A218" s="23"/>
      <c r="B218" s="23"/>
      <c r="C218" s="56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57"/>
      <c r="O218" s="56"/>
      <c r="Z218" s="57"/>
    </row>
    <row r="219" ht="15.75" customHeight="1">
      <c r="A219" s="23"/>
      <c r="B219" s="23"/>
      <c r="C219" s="56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57"/>
      <c r="O219" s="56"/>
      <c r="Z219" s="57"/>
    </row>
    <row r="220" ht="15.75" customHeight="1">
      <c r="A220" s="23"/>
      <c r="B220" s="23"/>
      <c r="C220" s="56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57"/>
      <c r="O220" s="56"/>
      <c r="Z220" s="57"/>
    </row>
    <row r="221" ht="15.75" customHeight="1">
      <c r="A221" s="23"/>
      <c r="B221" s="23"/>
      <c r="C221" s="56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57"/>
      <c r="O221" s="56"/>
      <c r="Z221" s="57"/>
    </row>
    <row r="222" ht="15.75" customHeight="1">
      <c r="A222" s="23"/>
      <c r="B222" s="23"/>
      <c r="C222" s="56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57"/>
      <c r="O222" s="56"/>
      <c r="Z222" s="57"/>
    </row>
    <row r="223" ht="15.75" customHeight="1">
      <c r="A223" s="23"/>
      <c r="B223" s="23"/>
      <c r="C223" s="56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57"/>
      <c r="O223" s="56"/>
      <c r="Z223" s="57"/>
    </row>
    <row r="224" ht="15.75" customHeight="1">
      <c r="A224" s="23"/>
      <c r="B224" s="23"/>
      <c r="C224" s="56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57"/>
      <c r="O224" s="56"/>
      <c r="Z224" s="57"/>
    </row>
    <row r="225" ht="15.75" customHeight="1">
      <c r="A225" s="23"/>
      <c r="B225" s="23"/>
      <c r="C225" s="56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57"/>
      <c r="O225" s="56"/>
      <c r="Z225" s="57"/>
    </row>
    <row r="226" ht="15.75" customHeight="1">
      <c r="A226" s="23"/>
      <c r="B226" s="23"/>
      <c r="C226" s="56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57"/>
      <c r="O226" s="56"/>
      <c r="Z226" s="57"/>
    </row>
    <row r="227" ht="15.75" customHeight="1">
      <c r="A227" s="23"/>
      <c r="B227" s="23"/>
      <c r="C227" s="56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57"/>
      <c r="O227" s="56"/>
      <c r="Z227" s="57"/>
    </row>
    <row r="228" ht="15.75" customHeight="1">
      <c r="A228" s="23"/>
      <c r="B228" s="23"/>
      <c r="C228" s="56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57"/>
      <c r="O228" s="56"/>
      <c r="Z228" s="57"/>
    </row>
    <row r="229" ht="15.75" customHeight="1">
      <c r="A229" s="23"/>
      <c r="B229" s="23"/>
      <c r="C229" s="56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57"/>
      <c r="O229" s="56"/>
      <c r="Z229" s="57"/>
    </row>
    <row r="230" ht="15.75" customHeight="1">
      <c r="A230" s="23"/>
      <c r="B230" s="23"/>
      <c r="C230" s="56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57"/>
      <c r="O230" s="56"/>
      <c r="Z230" s="57"/>
    </row>
    <row r="231" ht="15.75" customHeight="1">
      <c r="A231" s="23"/>
      <c r="B231" s="23"/>
      <c r="C231" s="56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57"/>
      <c r="O231" s="56"/>
      <c r="Z231" s="57"/>
    </row>
    <row r="232" ht="15.75" customHeight="1">
      <c r="A232" s="23"/>
      <c r="B232" s="23"/>
      <c r="C232" s="56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57"/>
      <c r="O232" s="56"/>
      <c r="Z232" s="57"/>
    </row>
    <row r="233" ht="15.75" customHeight="1">
      <c r="A233" s="23"/>
      <c r="B233" s="23"/>
      <c r="C233" s="56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57"/>
      <c r="O233" s="56"/>
      <c r="Z233" s="57"/>
    </row>
    <row r="234" ht="15.75" customHeight="1">
      <c r="A234" s="23"/>
      <c r="B234" s="23"/>
      <c r="C234" s="56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57"/>
      <c r="O234" s="56"/>
      <c r="Z234" s="57"/>
    </row>
    <row r="235" ht="15.75" customHeight="1">
      <c r="A235" s="23"/>
      <c r="B235" s="23"/>
      <c r="C235" s="56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57"/>
      <c r="O235" s="56"/>
      <c r="Z235" s="57"/>
    </row>
    <row r="236" ht="15.75" customHeight="1">
      <c r="A236" s="23"/>
      <c r="B236" s="23"/>
      <c r="C236" s="56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57"/>
      <c r="O236" s="56"/>
      <c r="Z236" s="57"/>
    </row>
    <row r="237" ht="15.75" customHeight="1">
      <c r="A237" s="23"/>
      <c r="B237" s="23"/>
      <c r="C237" s="56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57"/>
      <c r="O237" s="56"/>
      <c r="Z237" s="57"/>
    </row>
    <row r="238" ht="15.75" customHeight="1">
      <c r="A238" s="23"/>
      <c r="B238" s="23"/>
      <c r="C238" s="56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57"/>
      <c r="O238" s="56"/>
      <c r="Z238" s="57"/>
    </row>
    <row r="239" ht="15.75" customHeight="1">
      <c r="A239" s="23"/>
      <c r="B239" s="23"/>
      <c r="C239" s="56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57"/>
      <c r="O239" s="56"/>
      <c r="Z239" s="57"/>
    </row>
    <row r="240" ht="15.75" customHeight="1">
      <c r="A240" s="23"/>
      <c r="B240" s="23"/>
      <c r="C240" s="56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57"/>
      <c r="O240" s="56"/>
      <c r="Z240" s="57"/>
    </row>
    <row r="241" ht="15.75" customHeight="1">
      <c r="A241" s="23"/>
      <c r="B241" s="23"/>
      <c r="C241" s="56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57"/>
      <c r="O241" s="56"/>
      <c r="Z241" s="57"/>
    </row>
    <row r="242" ht="15.75" customHeight="1">
      <c r="A242" s="23"/>
      <c r="B242" s="23"/>
      <c r="C242" s="56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57"/>
      <c r="O242" s="56"/>
      <c r="Z242" s="57"/>
    </row>
    <row r="243" ht="15.75" customHeight="1">
      <c r="A243" s="23"/>
      <c r="B243" s="23"/>
      <c r="C243" s="56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57"/>
      <c r="O243" s="56"/>
      <c r="Z243" s="57"/>
    </row>
    <row r="244" ht="15.75" customHeight="1">
      <c r="A244" s="23"/>
      <c r="B244" s="23"/>
      <c r="C244" s="56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57"/>
      <c r="O244" s="56"/>
      <c r="Z244" s="57"/>
    </row>
    <row r="245" ht="15.75" customHeight="1">
      <c r="A245" s="23"/>
      <c r="B245" s="23"/>
      <c r="C245" s="56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57"/>
      <c r="O245" s="56"/>
      <c r="Z245" s="57"/>
    </row>
    <row r="246" ht="15.75" customHeight="1">
      <c r="A246" s="23"/>
      <c r="B246" s="23"/>
      <c r="C246" s="56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57"/>
      <c r="O246" s="56"/>
      <c r="Z246" s="57"/>
    </row>
    <row r="247" ht="15.75" customHeight="1">
      <c r="A247" s="23"/>
      <c r="B247" s="23"/>
      <c r="C247" s="56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57"/>
      <c r="O247" s="56"/>
      <c r="Z247" s="57"/>
    </row>
    <row r="248" ht="15.75" customHeight="1">
      <c r="A248" s="23"/>
      <c r="B248" s="23"/>
      <c r="C248" s="56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57"/>
      <c r="O248" s="56"/>
      <c r="Z248" s="57"/>
    </row>
    <row r="249" ht="15.75" customHeight="1">
      <c r="A249" s="23"/>
      <c r="B249" s="23"/>
      <c r="C249" s="56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57"/>
      <c r="O249" s="56"/>
      <c r="Z249" s="57"/>
    </row>
    <row r="250" ht="15.75" customHeight="1">
      <c r="A250" s="23"/>
      <c r="B250" s="23"/>
      <c r="C250" s="56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57"/>
      <c r="O250" s="56"/>
      <c r="Z250" s="57"/>
    </row>
    <row r="251" ht="15.75" customHeight="1">
      <c r="A251" s="23"/>
      <c r="B251" s="23"/>
      <c r="C251" s="56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57"/>
      <c r="O251" s="56"/>
      <c r="Z251" s="57"/>
    </row>
    <row r="252" ht="15.75" customHeight="1">
      <c r="A252" s="23"/>
      <c r="B252" s="23"/>
      <c r="C252" s="56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57"/>
      <c r="O252" s="56"/>
      <c r="Z252" s="57"/>
    </row>
    <row r="253" ht="15.75" customHeight="1">
      <c r="A253" s="23"/>
      <c r="B253" s="23"/>
      <c r="C253" s="56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57"/>
      <c r="O253" s="56"/>
      <c r="Z253" s="57"/>
    </row>
    <row r="254" ht="15.75" customHeight="1">
      <c r="A254" s="23"/>
      <c r="B254" s="23"/>
      <c r="C254" s="56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57"/>
      <c r="O254" s="56"/>
      <c r="Z254" s="57"/>
    </row>
    <row r="255" ht="15.75" customHeight="1">
      <c r="A255" s="23"/>
      <c r="B255" s="23"/>
      <c r="C255" s="56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57"/>
      <c r="O255" s="56"/>
      <c r="Z255" s="57"/>
    </row>
    <row r="256" ht="15.75" customHeight="1">
      <c r="A256" s="23"/>
      <c r="B256" s="23"/>
      <c r="C256" s="56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57"/>
      <c r="O256" s="56"/>
      <c r="Z256" s="57"/>
    </row>
    <row r="257" ht="15.75" customHeight="1">
      <c r="A257" s="23"/>
      <c r="B257" s="23"/>
      <c r="C257" s="56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57"/>
      <c r="O257" s="56"/>
      <c r="Z257" s="57"/>
    </row>
    <row r="258" ht="15.75" customHeight="1">
      <c r="A258" s="23"/>
      <c r="B258" s="23"/>
      <c r="C258" s="56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57"/>
      <c r="O258" s="56"/>
      <c r="Z258" s="57"/>
    </row>
    <row r="259" ht="15.75" customHeight="1">
      <c r="A259" s="23"/>
      <c r="B259" s="23"/>
      <c r="C259" s="56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57"/>
      <c r="O259" s="56"/>
      <c r="Z259" s="57"/>
    </row>
    <row r="260" ht="15.75" customHeight="1">
      <c r="A260" s="23"/>
      <c r="B260" s="23"/>
      <c r="C260" s="56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57"/>
      <c r="O260" s="56"/>
      <c r="Z260" s="57"/>
    </row>
    <row r="261" ht="15.75" customHeight="1">
      <c r="A261" s="23"/>
      <c r="B261" s="23"/>
      <c r="C261" s="56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57"/>
      <c r="O261" s="56"/>
      <c r="Z261" s="57"/>
    </row>
    <row r="262" ht="15.75" customHeight="1">
      <c r="A262" s="23"/>
      <c r="B262" s="23"/>
      <c r="C262" s="56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57"/>
      <c r="O262" s="56"/>
      <c r="Z262" s="57"/>
    </row>
    <row r="263" ht="15.75" customHeight="1">
      <c r="A263" s="23"/>
      <c r="B263" s="23"/>
      <c r="C263" s="56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57"/>
      <c r="O263" s="56"/>
      <c r="Z263" s="57"/>
    </row>
    <row r="264" ht="15.75" customHeight="1">
      <c r="A264" s="23"/>
      <c r="B264" s="23"/>
      <c r="C264" s="56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57"/>
      <c r="O264" s="56"/>
      <c r="Z264" s="57"/>
    </row>
    <row r="265" ht="15.75" customHeight="1">
      <c r="A265" s="23"/>
      <c r="B265" s="23"/>
      <c r="C265" s="56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57"/>
      <c r="O265" s="56"/>
      <c r="Z265" s="57"/>
    </row>
    <row r="266" ht="15.75" customHeight="1">
      <c r="A266" s="23"/>
      <c r="B266" s="23"/>
      <c r="C266" s="56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57"/>
      <c r="O266" s="56"/>
      <c r="Z266" s="57"/>
    </row>
    <row r="267" ht="15.75" customHeight="1">
      <c r="A267" s="23"/>
      <c r="B267" s="23"/>
      <c r="C267" s="56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57"/>
      <c r="O267" s="56"/>
      <c r="Z267" s="57"/>
    </row>
    <row r="268" ht="15.75" customHeight="1">
      <c r="A268" s="23"/>
      <c r="B268" s="23"/>
      <c r="C268" s="56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57"/>
      <c r="O268" s="56"/>
      <c r="Z268" s="57"/>
    </row>
    <row r="269" ht="15.75" customHeight="1">
      <c r="A269" s="23"/>
      <c r="B269" s="23"/>
      <c r="C269" s="56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57"/>
      <c r="O269" s="56"/>
      <c r="Z269" s="57"/>
    </row>
    <row r="270" ht="15.75" customHeight="1">
      <c r="A270" s="23"/>
      <c r="B270" s="23"/>
      <c r="C270" s="56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57"/>
      <c r="O270" s="56"/>
      <c r="Z270" s="57"/>
    </row>
    <row r="271" ht="15.75" customHeight="1">
      <c r="A271" s="23"/>
      <c r="B271" s="23"/>
      <c r="C271" s="56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57"/>
      <c r="O271" s="56"/>
      <c r="Z271" s="57"/>
    </row>
    <row r="272" ht="15.75" customHeight="1">
      <c r="A272" s="23"/>
      <c r="B272" s="23"/>
      <c r="C272" s="56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57"/>
      <c r="O272" s="56"/>
      <c r="Z272" s="57"/>
    </row>
    <row r="273" ht="15.75" customHeight="1">
      <c r="A273" s="23"/>
      <c r="B273" s="23"/>
      <c r="C273" s="56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57"/>
      <c r="O273" s="56"/>
      <c r="Z273" s="57"/>
    </row>
    <row r="274" ht="15.75" customHeight="1">
      <c r="A274" s="23"/>
      <c r="B274" s="23"/>
      <c r="C274" s="56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57"/>
      <c r="O274" s="56"/>
      <c r="Z274" s="57"/>
    </row>
    <row r="275" ht="15.75" customHeight="1">
      <c r="A275" s="23"/>
      <c r="B275" s="23"/>
      <c r="C275" s="56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57"/>
      <c r="O275" s="56"/>
      <c r="Z275" s="57"/>
    </row>
    <row r="276" ht="15.75" customHeight="1">
      <c r="A276" s="23"/>
      <c r="B276" s="23"/>
      <c r="C276" s="56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57"/>
      <c r="O276" s="56"/>
      <c r="Z276" s="57"/>
    </row>
    <row r="277" ht="15.75" customHeight="1">
      <c r="A277" s="23"/>
      <c r="B277" s="23"/>
      <c r="C277" s="56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57"/>
      <c r="O277" s="56"/>
      <c r="Z277" s="57"/>
    </row>
    <row r="278" ht="15.75" customHeight="1">
      <c r="A278" s="23"/>
      <c r="B278" s="23"/>
      <c r="C278" s="56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57"/>
      <c r="O278" s="56"/>
      <c r="Z278" s="57"/>
    </row>
    <row r="279" ht="15.75" customHeight="1">
      <c r="A279" s="23"/>
      <c r="B279" s="23"/>
      <c r="C279" s="56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57"/>
      <c r="O279" s="56"/>
      <c r="Z279" s="57"/>
    </row>
    <row r="280" ht="15.75" customHeight="1">
      <c r="A280" s="23"/>
      <c r="B280" s="23"/>
      <c r="C280" s="56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57"/>
      <c r="O280" s="56"/>
      <c r="Z280" s="57"/>
    </row>
    <row r="281" ht="15.75" customHeight="1">
      <c r="A281" s="23"/>
      <c r="B281" s="23"/>
      <c r="C281" s="56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57"/>
      <c r="O281" s="56"/>
      <c r="Z281" s="57"/>
    </row>
    <row r="282" ht="15.75" customHeight="1">
      <c r="A282" s="23"/>
      <c r="B282" s="23"/>
      <c r="C282" s="56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57"/>
      <c r="O282" s="56"/>
      <c r="Z282" s="57"/>
    </row>
    <row r="283" ht="15.75" customHeight="1">
      <c r="A283" s="23"/>
      <c r="B283" s="23"/>
      <c r="C283" s="56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57"/>
      <c r="O283" s="56"/>
      <c r="Z283" s="57"/>
    </row>
    <row r="284" ht="15.75" customHeight="1">
      <c r="A284" s="23"/>
      <c r="B284" s="23"/>
      <c r="C284" s="56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57"/>
      <c r="O284" s="56"/>
      <c r="Z284" s="57"/>
    </row>
    <row r="285" ht="15.75" customHeight="1">
      <c r="A285" s="23"/>
      <c r="B285" s="23"/>
      <c r="C285" s="56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57"/>
      <c r="O285" s="56"/>
      <c r="Z285" s="57"/>
    </row>
    <row r="286" ht="15.75" customHeight="1">
      <c r="A286" s="23"/>
      <c r="B286" s="23"/>
      <c r="C286" s="56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57"/>
      <c r="O286" s="56"/>
      <c r="Z286" s="57"/>
    </row>
    <row r="287" ht="15.75" customHeight="1">
      <c r="A287" s="23"/>
      <c r="B287" s="23"/>
      <c r="C287" s="56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57"/>
      <c r="O287" s="56"/>
      <c r="Z287" s="57"/>
    </row>
    <row r="288" ht="15.75" customHeight="1">
      <c r="A288" s="23"/>
      <c r="B288" s="23"/>
      <c r="C288" s="56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57"/>
      <c r="O288" s="56"/>
      <c r="Z288" s="57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</row>
  </sheetData>
  <mergeCells count="5">
    <mergeCell ref="C1:N1"/>
    <mergeCell ref="O1:Z1"/>
    <mergeCell ref="A4:Z4"/>
    <mergeCell ref="A19:Z19"/>
    <mergeCell ref="A63:Z63"/>
  </mergeCells>
  <printOptions/>
  <pageMargins bottom="1.0" footer="0.0" header="0.0" left="0.75" right="0.75" top="1.0"/>
  <pageSetup orientation="landscape"/>
  <drawing r:id="rId1"/>
</worksheet>
</file>