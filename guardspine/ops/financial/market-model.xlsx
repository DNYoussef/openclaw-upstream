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-SAM-SOM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Revenue Scenarios" sheetId="3" state="visible" r:id="rId3"/>
    <sheet xmlns:r="http://schemas.openxmlformats.org/officeDocument/2006/relationships" name="Fee Cascade" sheetId="4" state="visible" r:id="rId4"/>
    <sheet xmlns:r="http://schemas.openxmlformats.org/officeDocument/2006/relationships" name="Competitive Scorecard" sheetId="5" state="visible" r:id="rId5"/>
    <sheet xmlns:r="http://schemas.openxmlformats.org/officeDocument/2006/relationships" name="Acquisition &amp; Dilution" sheetId="6" state="visible" r:id="rId6"/>
    <sheet xmlns:r="http://schemas.openxmlformats.org/officeDocument/2006/relationships" name="Speed Plan" sheetId="7" state="visible" r:id="rId7"/>
    <sheet xmlns:r="http://schemas.openxmlformats.org/officeDocument/2006/relationships" name="AI-Adjusted Math" sheetId="8" state="visible" r:id="rId8"/>
    <sheet xmlns:r="http://schemas.openxmlformats.org/officeDocument/2006/relationships" name="AI Unicorn Pa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$#,##0.000"/>
    <numFmt numFmtId="168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1E88E5"/>
    </font>
    <font>
      <b val="1"/>
      <sz val="14"/>
    </font>
    <font>
      <b val="1"/>
      <color rgb="00C62828"/>
      <sz val="12"/>
    </font>
    <font>
      <b val="1"/>
      <color rgb="00C62828"/>
    </font>
    <font>
      <b val="1"/>
      <color rgb="001565C0"/>
    </font>
    <font>
      <b val="1"/>
      <color rgb="001565C0"/>
      <sz val="12"/>
    </font>
    <font>
      <b val="1"/>
      <sz val="11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2" fontId="0" fillId="0" borderId="0" pivotButton="0" quotePrefix="0" xfId="0"/>
    <xf numFmtId="168" fontId="4" fillId="0" borderId="0" pivotButton="0" quotePrefix="0" xfId="0"/>
    <xf numFmtId="0" fontId="5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8" fillId="0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8" fillId="0" borderId="0" pivotButton="0" quotePrefix="0" xfId="0"/>
    <xf numFmtId="164" fontId="8" fillId="5" borderId="0" pivotButton="0" quotePrefix="0" xfId="0"/>
    <xf numFmtId="164" fontId="8" fillId="3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40" customWidth="1" min="4" max="4"/>
  </cols>
  <sheetData>
    <row r="1">
      <c r="A1" s="1" t="inlineStr">
        <is>
          <t>Market Segment</t>
        </is>
      </c>
      <c r="B1" s="1" t="inlineStr">
        <is>
          <t>Value ($)</t>
        </is>
      </c>
      <c r="C1" s="1" t="inlineStr">
        <is>
          <t>Source</t>
        </is>
      </c>
      <c r="D1" s="1" t="inlineStr">
        <is>
          <t>Notes</t>
        </is>
      </c>
    </row>
    <row r="2">
      <c r="A2" s="2" t="inlineStr">
        <is>
          <t>CODE-ONLY TAM</t>
        </is>
      </c>
    </row>
    <row r="3">
      <c r="A3" t="inlineStr">
        <is>
          <t>DevSecOps TAM 2026</t>
        </is>
      </c>
      <c r="B3" s="3" t="n">
        <v>11720000000</v>
      </c>
      <c r="C3" t="inlineStr">
        <is>
          <t>Precedence Research</t>
        </is>
      </c>
    </row>
    <row r="4">
      <c r="A4" t="inlineStr">
        <is>
          <t>AI Governance TAM 2026</t>
        </is>
      </c>
      <c r="B4" s="3" t="n">
        <v>440000000</v>
      </c>
      <c r="C4" t="inlineStr">
        <is>
          <t>Precedence/Grand View</t>
        </is>
      </c>
    </row>
    <row r="5">
      <c r="A5" t="inlineStr">
        <is>
          <t>Code Review Tools TAM 2026</t>
        </is>
      </c>
      <c r="B5" s="3" t="n">
        <v>3000000000</v>
      </c>
      <c r="C5" t="inlineStr">
        <is>
          <t>Estimate</t>
        </is>
      </c>
    </row>
    <row r="6">
      <c r="A6" s="4" t="inlineStr">
        <is>
          <t>Code-Only TAM</t>
        </is>
      </c>
      <c r="B6" s="3">
        <f>SUM(B3:B5)</f>
        <v/>
      </c>
    </row>
    <row r="8">
      <c r="A8" s="2" t="inlineStr">
        <is>
          <t>MULTI-ARTIFACT EXPANSION</t>
        </is>
      </c>
      <c r="D8" t="inlineStr">
        <is>
          <t>AI Office thesis: code + docs + sheets + images</t>
        </is>
      </c>
    </row>
    <row r="9">
      <c r="A9" t="inlineStr">
        <is>
          <t>GRC Software TAM 2026</t>
        </is>
      </c>
      <c r="B9" s="3" t="n">
        <v>23320000000</v>
      </c>
      <c r="C9" t="inlineStr">
        <is>
          <t>Mordor Intelligence</t>
        </is>
      </c>
    </row>
    <row r="10">
      <c r="A10" t="inlineStr">
        <is>
          <t>Document Management TAM 2026</t>
        </is>
      </c>
      <c r="B10" s="3" t="n">
        <v>7000000000</v>
      </c>
      <c r="C10" t="inlineStr">
        <is>
          <t>Market estimate</t>
        </is>
      </c>
    </row>
    <row r="11">
      <c r="A11" t="inlineStr">
        <is>
          <t>Digital Asset Management TAM 2026</t>
        </is>
      </c>
      <c r="B11" s="3" t="n">
        <v>5800000000</v>
      </c>
      <c r="C11" t="inlineStr">
        <is>
          <t>Market estimate</t>
        </is>
      </c>
    </row>
    <row r="12">
      <c r="A12" s="4" t="inlineStr">
        <is>
          <t>Multi-Artifact TAM</t>
        </is>
      </c>
      <c r="B12" s="3">
        <f>B6+SUM(B9:B11)</f>
        <v/>
      </c>
    </row>
    <row r="13">
      <c r="A13" t="inlineStr">
        <is>
          <t>Governance Layer (5%)</t>
        </is>
      </c>
      <c r="B13" s="3">
        <f>B12*0.05</f>
        <v/>
      </c>
    </row>
    <row r="14">
      <c r="A14" t="inlineStr">
        <is>
          <t>Governance Layer (15%)</t>
        </is>
      </c>
      <c r="B14" s="3">
        <f>B12*0.15</f>
        <v/>
      </c>
    </row>
    <row r="16">
      <c r="A16" s="2" t="inlineStr">
        <is>
          <t>BOTTOM-UP TAM</t>
        </is>
      </c>
    </row>
    <row r="17">
      <c r="A17" t="inlineStr">
        <is>
          <t>Total Developers</t>
        </is>
      </c>
      <c r="B17" t="n">
        <v>47200000</v>
      </c>
      <c r="C17" t="inlineStr">
        <is>
          <t>SlashData 2025</t>
        </is>
      </c>
    </row>
    <row r="18">
      <c r="A18" t="inlineStr">
        <is>
          <t>PRs per Dev per Month</t>
        </is>
      </c>
      <c r="B18" t="n">
        <v>20</v>
      </c>
      <c r="C18" t="inlineStr">
        <is>
          <t>minware/GitClear</t>
        </is>
      </c>
    </row>
    <row r="19">
      <c r="A19" t="inlineStr">
        <is>
          <t>Months per Year</t>
        </is>
      </c>
      <c r="B19" t="n">
        <v>12</v>
      </c>
      <c r="C19" t="inlineStr"/>
    </row>
    <row r="20">
      <c r="A20" t="inlineStr">
        <is>
          <t>Governance Price per PR ($)</t>
        </is>
      </c>
      <c r="B20" t="n">
        <v>0.25</v>
      </c>
      <c r="C20" t="inlineStr"/>
    </row>
    <row r="21">
      <c r="A21" s="4" t="inlineStr">
        <is>
          <t>Bottom-Up Code TAM</t>
        </is>
      </c>
      <c r="B21" s="3">
        <f>B17*B18*B19*B20</f>
        <v/>
      </c>
    </row>
    <row r="23">
      <c r="A23" s="2" t="inlineStr">
        <is>
          <t>SERVICEABLE ADDRESSABLE MARKET (SAM)</t>
        </is>
      </c>
    </row>
    <row r="24">
      <c r="A24" s="1" t="inlineStr">
        <is>
          <t>Segment</t>
        </is>
      </c>
      <c r="B24" s="1" t="inlineStr">
        <is>
          <t>Org Count</t>
        </is>
      </c>
      <c r="C24" s="1" t="inlineStr">
        <is>
          <t>Avg ACV</t>
        </is>
      </c>
      <c r="D24" s="1" t="inlineStr">
        <is>
          <t>Segment SAM</t>
        </is>
      </c>
    </row>
    <row r="25">
      <c r="A25" t="inlineStr">
        <is>
          <t>GitHub Enterprise Regulated Orgs</t>
        </is>
      </c>
      <c r="B25" t="n">
        <v>15000</v>
      </c>
      <c r="C25" s="3" t="n">
        <v>25000</v>
      </c>
      <c r="D25" s="3">
        <f>B25*C25</f>
        <v/>
      </c>
    </row>
    <row r="26">
      <c r="A26" t="inlineStr">
        <is>
          <t>Enterprise Document Governance Orgs</t>
        </is>
      </c>
      <c r="B26" t="n">
        <v>5000</v>
      </c>
      <c r="C26" s="3" t="n">
        <v>50000</v>
      </c>
      <c r="D26" s="3">
        <f>B26*C26</f>
        <v/>
      </c>
    </row>
    <row r="27">
      <c r="A27" t="inlineStr">
        <is>
          <t>Cross-Artifact (Code + Docs) Orgs</t>
        </is>
      </c>
      <c r="B27" t="n">
        <v>3000</v>
      </c>
      <c r="C27" s="3" t="n">
        <v>75000</v>
      </c>
      <c r="D27" s="3">
        <f>B27*C27</f>
        <v/>
      </c>
    </row>
    <row r="28">
      <c r="A28" s="4" t="inlineStr">
        <is>
          <t>Total SAM</t>
        </is>
      </c>
      <c r="D28" s="3">
        <f>SUM(D25:D27)</f>
        <v/>
      </c>
    </row>
    <row r="30">
      <c r="A30" s="2" t="inlineStr">
        <is>
          <t>SOM PROJECTIONS</t>
        </is>
      </c>
    </row>
    <row r="31">
      <c r="A31" t="inlineStr">
        <is>
          <t>Year 1</t>
        </is>
      </c>
      <c r="B31" s="5" t="n">
        <v>0.01</v>
      </c>
      <c r="C31" s="3">
        <f>D28*B31</f>
        <v/>
      </c>
      <c r="D31" t="inlineStr">
        <is>
          <t>SOM</t>
        </is>
      </c>
    </row>
    <row r="32">
      <c r="A32" t="inlineStr">
        <is>
          <t>Year 2</t>
        </is>
      </c>
      <c r="B32" s="5" t="n">
        <v>0.04</v>
      </c>
      <c r="C32" s="3">
        <f>D28*B32</f>
        <v/>
      </c>
      <c r="D32" t="inlineStr">
        <is>
          <t>SOM</t>
        </is>
      </c>
    </row>
    <row r="33">
      <c r="A33" t="inlineStr">
        <is>
          <t>Year 3</t>
        </is>
      </c>
      <c r="B33" s="5" t="n">
        <v>0.1</v>
      </c>
      <c r="C33" s="3">
        <f>D28*B33</f>
        <v/>
      </c>
      <c r="D33" t="inlineStr">
        <is>
          <t>SOM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</cols>
  <sheetData>
    <row r="1">
      <c r="A1" s="2" t="inlineStr">
        <is>
          <t>L0-L4 RISK TIER MODEL</t>
        </is>
      </c>
      <c r="D1" t="inlineStr">
        <is>
          <t>Risk tiers = governance behavior, not just cost</t>
        </is>
      </c>
    </row>
    <row r="2">
      <c r="A2" s="1" t="inlineStr">
        <is>
          <t>Tier</t>
        </is>
      </c>
      <c r="B2" s="1" t="inlineStr">
        <is>
          <t>Share of Changes</t>
        </is>
      </c>
      <c r="C2" s="1" t="inlineStr">
        <is>
          <t>COGS/Change ($)</t>
        </is>
      </c>
      <c r="D2" s="1" t="inlineStr">
        <is>
          <t>Revenue/Change ($)</t>
        </is>
      </c>
    </row>
    <row r="3">
      <c r="A3" t="inlineStr">
        <is>
          <t>L0: Auto-pass</t>
        </is>
      </c>
      <c r="B3" s="5" t="n">
        <v>0.55</v>
      </c>
      <c r="C3" s="6" t="n">
        <v>0</v>
      </c>
      <c r="D3" s="6" t="n">
        <v>0</v>
      </c>
    </row>
    <row r="4">
      <c r="A4" t="inlineStr">
        <is>
          <t>L1: Light review</t>
        </is>
      </c>
      <c r="B4" s="5" t="n">
        <v>0.25</v>
      </c>
      <c r="C4" s="6" t="n">
        <v>0.03</v>
      </c>
      <c r="D4" s="6" t="n">
        <v>0.15</v>
      </c>
    </row>
    <row r="5">
      <c r="A5" t="inlineStr">
        <is>
          <t>L2: Standard review</t>
        </is>
      </c>
      <c r="B5" s="5" t="n">
        <v>0.12</v>
      </c>
      <c r="C5" s="6" t="n">
        <v>0.15</v>
      </c>
      <c r="D5" s="6" t="n">
        <v>0.6</v>
      </c>
    </row>
    <row r="6">
      <c r="A6" t="inlineStr">
        <is>
          <t>L3: Elevated review</t>
        </is>
      </c>
      <c r="B6" s="5" t="n">
        <v>0.06</v>
      </c>
      <c r="C6" s="6" t="n">
        <v>0.5</v>
      </c>
      <c r="D6" s="6" t="n">
        <v>1.5</v>
      </c>
    </row>
    <row r="7">
      <c r="A7" t="inlineStr">
        <is>
          <t>L4: Full audit + cognitive attestation</t>
        </is>
      </c>
      <c r="B7" s="5" t="n">
        <v>0.02</v>
      </c>
      <c r="C7" s="6" t="n">
        <v>1.5</v>
      </c>
      <c r="D7" s="6" t="n">
        <v>3</v>
      </c>
    </row>
    <row r="8">
      <c r="A8" s="4" t="inlineStr">
        <is>
          <t>Blended COGS/Change</t>
        </is>
      </c>
      <c r="C8" s="7">
        <f>SUMPRODUCT(B3:B7,C3:C7)</f>
        <v/>
      </c>
    </row>
    <row r="9">
      <c r="A9" s="4" t="inlineStr">
        <is>
          <t>Blended Revenue/Change</t>
        </is>
      </c>
      <c r="D9" s="7">
        <f>SUMPRODUCT(B3:B7,D3:D7)</f>
        <v/>
      </c>
    </row>
    <row r="10">
      <c r="A10" s="4" t="inlineStr">
        <is>
          <t>Per-Change Gross Margin</t>
        </is>
      </c>
      <c r="B10" s="5">
        <f>(D9-C8)/(D9)</f>
        <v/>
      </c>
    </row>
    <row r="12">
      <c r="A12" s="2" t="inlineStr">
        <is>
          <t>OPEN-CORE MODEL (Linux vs Red Hat)</t>
        </is>
      </c>
    </row>
    <row r="13">
      <c r="A13" t="inlineStr">
        <is>
          <t>BYOK: Users bring their own LLM API keys. GuardSpine pays ZERO API costs.</t>
        </is>
      </c>
    </row>
    <row r="14">
      <c r="A14" t="inlineStr">
        <is>
          <t>Free: Spec + verifier + CodeGuard Action + PII-Shield + YAML rubrics</t>
        </is>
      </c>
    </row>
    <row r="15">
      <c r="A15" t="inlineStr">
        <is>
          <t>Paid: UI + management coordination + enterprise features + cognitive attestation</t>
        </is>
      </c>
    </row>
    <row r="17">
      <c r="A17" s="2" t="inlineStr">
        <is>
          <t>CONVERSION FUNNEL</t>
        </is>
      </c>
    </row>
    <row r="18">
      <c r="A18" t="inlineStr">
        <is>
          <t>Free-to-Pro Conversion Rate</t>
        </is>
      </c>
      <c r="B18" s="5" t="n">
        <v>0.03</v>
      </c>
      <c r="C18" t="inlineStr">
        <is>
          <t>Industry: 1-5% for open-core</t>
        </is>
      </c>
    </row>
    <row r="19">
      <c r="A19" t="inlineStr">
        <is>
          <t>Pro-to-Business Expansion (12mo)</t>
        </is>
      </c>
      <c r="B19" s="5" t="n">
        <v>0.2</v>
      </c>
    </row>
    <row r="20">
      <c r="A20" t="inlineStr">
        <is>
          <t>Business-to-Enterprise (18mo)</t>
        </is>
      </c>
      <c r="B20" s="5" t="n">
        <v>0.1</v>
      </c>
    </row>
    <row r="22">
      <c r="A22" s="2" t="inlineStr">
        <is>
          <t>PER-CUSTOMER MODEL (MONTHLY, BYOK)</t>
        </is>
      </c>
    </row>
    <row r="23">
      <c r="A23" s="1" t="inlineStr">
        <is>
          <t>Metric</t>
        </is>
      </c>
      <c r="B23" s="1" t="inlineStr">
        <is>
          <t>Pro (Code UI)</t>
        </is>
      </c>
      <c r="C23" s="1" t="inlineStr">
        <is>
          <t>Business (Multi-Lane)</t>
        </is>
      </c>
      <c r="D23" s="1" t="inlineStr">
        <is>
          <t>Enterprise (Full)</t>
        </is>
      </c>
    </row>
    <row r="24">
      <c r="A24" t="inlineStr">
        <is>
          <t>Monthly Subscription ($)</t>
        </is>
      </c>
      <c r="B24" s="3" t="n">
        <v>2000</v>
      </c>
      <c r="C24" s="3" t="n">
        <v>5000</v>
      </c>
      <c r="D24" s="3" t="n">
        <v>12000</v>
      </c>
    </row>
    <row r="25">
      <c r="A25" t="inlineStr">
        <is>
          <t>Changes per Month</t>
        </is>
      </c>
      <c r="B25" s="3" t="n">
        <v>800</v>
      </c>
      <c r="C25" s="3" t="n">
        <v>2500</v>
      </c>
      <c r="D25" s="3" t="n">
        <v>8000</v>
      </c>
    </row>
    <row r="26">
      <c r="A26" t="inlineStr">
        <is>
          <t>Hosting/Infrastructure ($)</t>
        </is>
      </c>
      <c r="B26" s="3" t="n">
        <v>150</v>
      </c>
      <c r="C26" s="3" t="n">
        <v>300</v>
      </c>
      <c r="D26" s="3" t="n">
        <v>500</v>
      </c>
    </row>
    <row r="27">
      <c r="A27" t="inlineStr">
        <is>
          <t>Cognitive Attestation License ($)</t>
        </is>
      </c>
      <c r="B27" s="3" t="n">
        <v>0</v>
      </c>
      <c r="C27" s="3" t="n">
        <v>0</v>
      </c>
      <c r="D27" s="3" t="n">
        <v>150</v>
      </c>
    </row>
    <row r="28">
      <c r="A28" t="inlineStr">
        <is>
          <t>Support Allocation ($)</t>
        </is>
      </c>
      <c r="B28" s="3" t="n">
        <v>100</v>
      </c>
      <c r="C28" s="3" t="n">
        <v>200</v>
      </c>
      <c r="D28" s="3" t="n">
        <v>400</v>
      </c>
    </row>
    <row r="29">
      <c r="A29" s="4" t="inlineStr">
        <is>
          <t>Total COGS ($) [BYOK: zero API cost]</t>
        </is>
      </c>
      <c r="B29" s="3">
        <f>SUM(B26:B28)</f>
        <v/>
      </c>
      <c r="C29" s="3">
        <f>SUM(C26:C28)</f>
        <v/>
      </c>
      <c r="D29" s="3">
        <f>SUM(D26:D28)</f>
        <v/>
      </c>
    </row>
    <row r="30">
      <c r="A30" s="4" t="inlineStr">
        <is>
          <t>Gross Profit ($)</t>
        </is>
      </c>
      <c r="B30" s="3">
        <f>B24-B29</f>
        <v/>
      </c>
      <c r="C30" s="3">
        <f>C24-C29</f>
        <v/>
      </c>
      <c r="D30" s="3">
        <f>D24-D29</f>
        <v/>
      </c>
    </row>
    <row r="31">
      <c r="A31" s="4" t="inlineStr">
        <is>
          <t>Gross Margin (%)</t>
        </is>
      </c>
      <c r="B31" s="5">
        <f>IF(B24&gt;0,B30/B24,0)</f>
        <v/>
      </c>
      <c r="C31" s="5">
        <f>IF(C24&gt;0,C30/C24,0)</f>
        <v/>
      </c>
      <c r="D31" s="5">
        <f>IF(D24&gt;0,D30/D24,0)</f>
        <v/>
      </c>
    </row>
    <row r="33">
      <c r="A33" s="2" t="inlineStr">
        <is>
          <t>LIFETIME VALUE</t>
        </is>
      </c>
    </row>
    <row r="34">
      <c r="A34" t="inlineStr">
        <is>
          <t>Customer Lifetime (months)</t>
        </is>
      </c>
      <c r="B34" t="n">
        <v>36</v>
      </c>
      <c r="C34" t="n">
        <v>36</v>
      </c>
      <c r="D34" t="n">
        <v>36</v>
      </c>
    </row>
    <row r="35">
      <c r="A35" t="inlineStr">
        <is>
          <t>Net Revenue Retention</t>
        </is>
      </c>
      <c r="B35" s="5" t="n">
        <v>1.15</v>
      </c>
      <c r="C35" s="5" t="n">
        <v>1.2</v>
      </c>
      <c r="D35" s="5" t="n">
        <v>1.3</v>
      </c>
    </row>
    <row r="36">
      <c r="A36" s="4" t="inlineStr">
        <is>
          <t>LTV ($)</t>
        </is>
      </c>
      <c r="B36" s="3">
        <f>B24*B31*B34*B35</f>
        <v/>
      </c>
      <c r="C36" s="3">
        <f>C24*C31*C34*C35</f>
        <v/>
      </c>
      <c r="D36" s="3">
        <f>D24*D31*D34*D35</f>
        <v/>
      </c>
    </row>
    <row r="38">
      <c r="A38" s="2" t="inlineStr">
        <is>
          <t>CAC &amp; PAYBACK</t>
        </is>
      </c>
    </row>
    <row r="39">
      <c r="A39" t="inlineStr">
        <is>
          <t>Target CAC ($)</t>
        </is>
      </c>
      <c r="B39" s="3" t="n">
        <v>5000</v>
      </c>
      <c r="C39" s="3" t="n">
        <v>15000</v>
      </c>
      <c r="D39" s="3" t="n">
        <v>50000</v>
      </c>
    </row>
    <row r="40">
      <c r="A40" s="4" t="inlineStr">
        <is>
          <t>LTV/CAC Ratio</t>
        </is>
      </c>
      <c r="B40" s="8">
        <f>B36/B39</f>
        <v/>
      </c>
      <c r="C40" s="8">
        <f>C36/C39</f>
        <v/>
      </c>
      <c r="D40" s="8">
        <f>D36/D39</f>
        <v/>
      </c>
    </row>
    <row r="41">
      <c r="A41" t="inlineStr">
        <is>
          <t>CAC Payback (months)</t>
        </is>
      </c>
      <c r="B41" s="8">
        <f>B39/B30</f>
        <v/>
      </c>
      <c r="C41" s="8">
        <f>C39/C30</f>
        <v/>
      </c>
      <c r="D41" s="8">
        <f>D39/D30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Scenario Parameters</t>
        </is>
      </c>
    </row>
    <row r="2">
      <c r="A2" s="1" t="inlineStr">
        <is>
          <t>Parameter</t>
        </is>
      </c>
      <c r="B2" s="1" t="inlineStr">
        <is>
          <t>Bear</t>
        </is>
      </c>
      <c r="C2" s="1" t="inlineStr">
        <is>
          <t>Base</t>
        </is>
      </c>
      <c r="D2" s="1" t="inlineStr">
        <is>
          <t>Bull</t>
        </is>
      </c>
    </row>
    <row r="3">
      <c r="A3" t="inlineStr">
        <is>
          <t>Starting Customers</t>
        </is>
      </c>
      <c r="B3" t="n">
        <v>5</v>
      </c>
      <c r="C3" t="n">
        <v>8</v>
      </c>
      <c r="D3" t="n">
        <v>15</v>
      </c>
    </row>
    <row r="4">
      <c r="A4" t="inlineStr">
        <is>
          <t>Monthly Growth Rate</t>
        </is>
      </c>
      <c r="B4" s="5" t="n">
        <v>0.08</v>
      </c>
      <c r="C4" s="5" t="n">
        <v>0.15</v>
      </c>
      <c r="D4" s="5" t="n">
        <v>0.2</v>
      </c>
    </row>
    <row r="5">
      <c r="A5" t="inlineStr">
        <is>
          <t>Avg ACV ($)</t>
        </is>
      </c>
      <c r="B5" s="3" t="n">
        <v>18000</v>
      </c>
      <c r="C5" s="3" t="n">
        <v>30000</v>
      </c>
      <c r="D5" s="3" t="n">
        <v>50000</v>
      </c>
    </row>
    <row r="7">
      <c r="A7" s="2" t="inlineStr">
        <is>
          <t>Monthly Projection</t>
        </is>
      </c>
    </row>
    <row r="8">
      <c r="A8" s="1" t="inlineStr">
        <is>
          <t>Month</t>
        </is>
      </c>
      <c r="B8" s="1" t="inlineStr">
        <is>
          <t>Bear Cust</t>
        </is>
      </c>
      <c r="C8" s="1" t="inlineStr">
        <is>
          <t>Bear MRR ($)</t>
        </is>
      </c>
      <c r="D8" s="1" t="inlineStr">
        <is>
          <t>Base Cust</t>
        </is>
      </c>
      <c r="E8" s="1" t="inlineStr">
        <is>
          <t>Base MRR ($)</t>
        </is>
      </c>
      <c r="F8" s="1" t="inlineStr">
        <is>
          <t>Bull Cust</t>
        </is>
      </c>
      <c r="G8" s="1" t="inlineStr">
        <is>
          <t>Bull MRR ($)</t>
        </is>
      </c>
    </row>
    <row r="9">
      <c r="A9" t="n">
        <v>0</v>
      </c>
      <c r="B9" s="8">
        <f>B3</f>
        <v/>
      </c>
      <c r="C9" s="3">
        <f>B9*B5/12</f>
        <v/>
      </c>
      <c r="D9" s="8">
        <f>C3</f>
        <v/>
      </c>
      <c r="E9" s="3">
        <f>D9*C5/12</f>
        <v/>
      </c>
      <c r="F9" s="8">
        <f>D3</f>
        <v/>
      </c>
      <c r="G9" s="3">
        <f>F9*D5/12</f>
        <v/>
      </c>
    </row>
    <row r="10">
      <c r="A10" t="n">
        <v>1</v>
      </c>
      <c r="B10" s="8">
        <f>B9*(1+B4)</f>
        <v/>
      </c>
      <c r="C10" s="3">
        <f>B10*B5/12</f>
        <v/>
      </c>
      <c r="D10" s="8">
        <f>D9*(1+C4)</f>
        <v/>
      </c>
      <c r="E10" s="3">
        <f>D10*C5/12</f>
        <v/>
      </c>
      <c r="F10" s="8">
        <f>F9*(1+D4)</f>
        <v/>
      </c>
      <c r="G10" s="3">
        <f>F10*D5/12</f>
        <v/>
      </c>
    </row>
    <row r="11">
      <c r="A11" t="n">
        <v>2</v>
      </c>
      <c r="B11" s="8">
        <f>B10*(1+B4)</f>
        <v/>
      </c>
      <c r="C11" s="3">
        <f>B11*B5/12</f>
        <v/>
      </c>
      <c r="D11" s="8">
        <f>D10*(1+C4)</f>
        <v/>
      </c>
      <c r="E11" s="3">
        <f>D11*C5/12</f>
        <v/>
      </c>
      <c r="F11" s="8">
        <f>F10*(1+D4)</f>
        <v/>
      </c>
      <c r="G11" s="3">
        <f>F11*D5/12</f>
        <v/>
      </c>
    </row>
    <row r="12">
      <c r="A12" t="n">
        <v>3</v>
      </c>
      <c r="B12" s="8">
        <f>B11*(1+B4)</f>
        <v/>
      </c>
      <c r="C12" s="3">
        <f>B12*B5/12</f>
        <v/>
      </c>
      <c r="D12" s="8">
        <f>D11*(1+C4)</f>
        <v/>
      </c>
      <c r="E12" s="3">
        <f>D12*C5/12</f>
        <v/>
      </c>
      <c r="F12" s="8">
        <f>F11*(1+D4)</f>
        <v/>
      </c>
      <c r="G12" s="3">
        <f>F12*D5/12</f>
        <v/>
      </c>
    </row>
    <row r="13">
      <c r="A13" t="n">
        <v>4</v>
      </c>
      <c r="B13" s="8">
        <f>B12*(1+B4)</f>
        <v/>
      </c>
      <c r="C13" s="3">
        <f>B13*B5/12</f>
        <v/>
      </c>
      <c r="D13" s="8">
        <f>D12*(1+C4)</f>
        <v/>
      </c>
      <c r="E13" s="3">
        <f>D13*C5/12</f>
        <v/>
      </c>
      <c r="F13" s="8">
        <f>F12*(1+D4)</f>
        <v/>
      </c>
      <c r="G13" s="3">
        <f>F13*D5/12</f>
        <v/>
      </c>
    </row>
    <row r="14">
      <c r="A14" t="n">
        <v>5</v>
      </c>
      <c r="B14" s="8">
        <f>B13*(1+B4)</f>
        <v/>
      </c>
      <c r="C14" s="3">
        <f>B14*B5/12</f>
        <v/>
      </c>
      <c r="D14" s="8">
        <f>D13*(1+C4)</f>
        <v/>
      </c>
      <c r="E14" s="3">
        <f>D14*C5/12</f>
        <v/>
      </c>
      <c r="F14" s="8">
        <f>F13*(1+D4)</f>
        <v/>
      </c>
      <c r="G14" s="3">
        <f>F14*D5/12</f>
        <v/>
      </c>
    </row>
    <row r="15">
      <c r="A15" t="n">
        <v>6</v>
      </c>
      <c r="B15" s="8">
        <f>B14*(1+B4)</f>
        <v/>
      </c>
      <c r="C15" s="3">
        <f>B15*B5/12</f>
        <v/>
      </c>
      <c r="D15" s="8">
        <f>D14*(1+C4)</f>
        <v/>
      </c>
      <c r="E15" s="3">
        <f>D15*C5/12</f>
        <v/>
      </c>
      <c r="F15" s="8">
        <f>F14*(1+D4)</f>
        <v/>
      </c>
      <c r="G15" s="3">
        <f>F15*D5/12</f>
        <v/>
      </c>
    </row>
    <row r="16">
      <c r="A16" t="n">
        <v>7</v>
      </c>
      <c r="B16" s="8">
        <f>B15*(1+B4)</f>
        <v/>
      </c>
      <c r="C16" s="3">
        <f>B16*B5/12</f>
        <v/>
      </c>
      <c r="D16" s="8">
        <f>D15*(1+C4)</f>
        <v/>
      </c>
      <c r="E16" s="3">
        <f>D16*C5/12</f>
        <v/>
      </c>
      <c r="F16" s="8">
        <f>F15*(1+D4)</f>
        <v/>
      </c>
      <c r="G16" s="3">
        <f>F16*D5/12</f>
        <v/>
      </c>
    </row>
    <row r="17">
      <c r="A17" t="n">
        <v>8</v>
      </c>
      <c r="B17" s="8">
        <f>B16*(1+B4)</f>
        <v/>
      </c>
      <c r="C17" s="3">
        <f>B17*B5/12</f>
        <v/>
      </c>
      <c r="D17" s="8">
        <f>D16*(1+C4)</f>
        <v/>
      </c>
      <c r="E17" s="3">
        <f>D17*C5/12</f>
        <v/>
      </c>
      <c r="F17" s="8">
        <f>F16*(1+D4)</f>
        <v/>
      </c>
      <c r="G17" s="3">
        <f>F17*D5/12</f>
        <v/>
      </c>
    </row>
    <row r="18">
      <c r="A18" t="n">
        <v>9</v>
      </c>
      <c r="B18" s="8">
        <f>B17*(1+B4)</f>
        <v/>
      </c>
      <c r="C18" s="3">
        <f>B18*B5/12</f>
        <v/>
      </c>
      <c r="D18" s="8">
        <f>D17*(1+C4)</f>
        <v/>
      </c>
      <c r="E18" s="3">
        <f>D18*C5/12</f>
        <v/>
      </c>
      <c r="F18" s="8">
        <f>F17*(1+D4)</f>
        <v/>
      </c>
      <c r="G18" s="3">
        <f>F18*D5/12</f>
        <v/>
      </c>
    </row>
    <row r="19">
      <c r="A19" t="n">
        <v>10</v>
      </c>
      <c r="B19" s="8">
        <f>B18*(1+B4)</f>
        <v/>
      </c>
      <c r="C19" s="3">
        <f>B19*B5/12</f>
        <v/>
      </c>
      <c r="D19" s="8">
        <f>D18*(1+C4)</f>
        <v/>
      </c>
      <c r="E19" s="3">
        <f>D19*C5/12</f>
        <v/>
      </c>
      <c r="F19" s="8">
        <f>F18*(1+D4)</f>
        <v/>
      </c>
      <c r="G19" s="3">
        <f>F19*D5/12</f>
        <v/>
      </c>
    </row>
    <row r="20">
      <c r="A20" t="n">
        <v>11</v>
      </c>
      <c r="B20" s="8">
        <f>B19*(1+B4)</f>
        <v/>
      </c>
      <c r="C20" s="3">
        <f>B20*B5/12</f>
        <v/>
      </c>
      <c r="D20" s="8">
        <f>D19*(1+C4)</f>
        <v/>
      </c>
      <c r="E20" s="3">
        <f>D20*C5/12</f>
        <v/>
      </c>
      <c r="F20" s="8">
        <f>F19*(1+D4)</f>
        <v/>
      </c>
      <c r="G20" s="3">
        <f>F20*D5/12</f>
        <v/>
      </c>
    </row>
    <row r="21">
      <c r="A21" t="n">
        <v>12</v>
      </c>
      <c r="B21" s="8">
        <f>B20*(1+B4)</f>
        <v/>
      </c>
      <c r="C21" s="3">
        <f>B21*B5/12</f>
        <v/>
      </c>
      <c r="D21" s="8">
        <f>D20*(1+C4)</f>
        <v/>
      </c>
      <c r="E21" s="3">
        <f>D21*C5/12</f>
        <v/>
      </c>
      <c r="F21" s="8">
        <f>F20*(1+D4)</f>
        <v/>
      </c>
      <c r="G21" s="3">
        <f>F21*D5/12</f>
        <v/>
      </c>
    </row>
    <row r="22">
      <c r="A22" t="n">
        <v>13</v>
      </c>
      <c r="B22" s="8">
        <f>B21*(1+B4)</f>
        <v/>
      </c>
      <c r="C22" s="3">
        <f>B22*B5/12</f>
        <v/>
      </c>
      <c r="D22" s="8">
        <f>D21*(1+C4)</f>
        <v/>
      </c>
      <c r="E22" s="3">
        <f>D22*C5/12</f>
        <v/>
      </c>
      <c r="F22" s="8">
        <f>F21*(1+D4)</f>
        <v/>
      </c>
      <c r="G22" s="3">
        <f>F22*D5/12</f>
        <v/>
      </c>
    </row>
    <row r="23">
      <c r="A23" t="n">
        <v>14</v>
      </c>
      <c r="B23" s="8">
        <f>B22*(1+B4)</f>
        <v/>
      </c>
      <c r="C23" s="3">
        <f>B23*B5/12</f>
        <v/>
      </c>
      <c r="D23" s="8">
        <f>D22*(1+C4)</f>
        <v/>
      </c>
      <c r="E23" s="3">
        <f>D23*C5/12</f>
        <v/>
      </c>
      <c r="F23" s="8">
        <f>F22*(1+D4)</f>
        <v/>
      </c>
      <c r="G23" s="3">
        <f>F23*D5/12</f>
        <v/>
      </c>
    </row>
    <row r="24">
      <c r="A24" t="n">
        <v>15</v>
      </c>
      <c r="B24" s="8">
        <f>B23*(1+B4)</f>
        <v/>
      </c>
      <c r="C24" s="3">
        <f>B24*B5/12</f>
        <v/>
      </c>
      <c r="D24" s="8">
        <f>D23*(1+C4)</f>
        <v/>
      </c>
      <c r="E24" s="3">
        <f>D24*C5/12</f>
        <v/>
      </c>
      <c r="F24" s="8">
        <f>F23*(1+D4)</f>
        <v/>
      </c>
      <c r="G24" s="3">
        <f>F24*D5/12</f>
        <v/>
      </c>
    </row>
    <row r="25">
      <c r="A25" t="n">
        <v>16</v>
      </c>
      <c r="B25" s="8">
        <f>B24*(1+B4)</f>
        <v/>
      </c>
      <c r="C25" s="3">
        <f>B25*B5/12</f>
        <v/>
      </c>
      <c r="D25" s="8">
        <f>D24*(1+C4)</f>
        <v/>
      </c>
      <c r="E25" s="3">
        <f>D25*C5/12</f>
        <v/>
      </c>
      <c r="F25" s="8">
        <f>F24*(1+D4)</f>
        <v/>
      </c>
      <c r="G25" s="3">
        <f>F25*D5/12</f>
        <v/>
      </c>
    </row>
    <row r="26">
      <c r="A26" t="n">
        <v>17</v>
      </c>
      <c r="B26" s="8">
        <f>B25*(1+B4)</f>
        <v/>
      </c>
      <c r="C26" s="3">
        <f>B26*B5/12</f>
        <v/>
      </c>
      <c r="D26" s="8">
        <f>D25*(1+C4)</f>
        <v/>
      </c>
      <c r="E26" s="3">
        <f>D26*C5/12</f>
        <v/>
      </c>
      <c r="F26" s="8">
        <f>F25*(1+D4)</f>
        <v/>
      </c>
      <c r="G26" s="3">
        <f>F26*D5/12</f>
        <v/>
      </c>
    </row>
    <row r="27">
      <c r="A27" t="n">
        <v>18</v>
      </c>
      <c r="B27" s="8">
        <f>B26*(1+B4)</f>
        <v/>
      </c>
      <c r="C27" s="3">
        <f>B27*B5/12</f>
        <v/>
      </c>
      <c r="D27" s="8">
        <f>D26*(1+C4)</f>
        <v/>
      </c>
      <c r="E27" s="3">
        <f>D27*C5/12</f>
        <v/>
      </c>
      <c r="F27" s="8">
        <f>F26*(1+D4)</f>
        <v/>
      </c>
      <c r="G27" s="3">
        <f>F27*D5/12</f>
        <v/>
      </c>
    </row>
    <row r="28">
      <c r="A28" t="n">
        <v>19</v>
      </c>
      <c r="B28" s="8">
        <f>B27*(1+B4)</f>
        <v/>
      </c>
      <c r="C28" s="3">
        <f>B28*B5/12</f>
        <v/>
      </c>
      <c r="D28" s="8">
        <f>D27*(1+C4)</f>
        <v/>
      </c>
      <c r="E28" s="3">
        <f>D28*C5/12</f>
        <v/>
      </c>
      <c r="F28" s="8">
        <f>F27*(1+D4)</f>
        <v/>
      </c>
      <c r="G28" s="3">
        <f>F28*D5/12</f>
        <v/>
      </c>
    </row>
    <row r="29">
      <c r="A29" t="n">
        <v>20</v>
      </c>
      <c r="B29" s="8">
        <f>B28*(1+B4)</f>
        <v/>
      </c>
      <c r="C29" s="3">
        <f>B29*B5/12</f>
        <v/>
      </c>
      <c r="D29" s="8">
        <f>D28*(1+C4)</f>
        <v/>
      </c>
      <c r="E29" s="3">
        <f>D29*C5/12</f>
        <v/>
      </c>
      <c r="F29" s="8">
        <f>F28*(1+D4)</f>
        <v/>
      </c>
      <c r="G29" s="3">
        <f>F29*D5/12</f>
        <v/>
      </c>
    </row>
    <row r="30">
      <c r="A30" t="n">
        <v>21</v>
      </c>
      <c r="B30" s="8">
        <f>B29*(1+B4)</f>
        <v/>
      </c>
      <c r="C30" s="3">
        <f>B30*B5/12</f>
        <v/>
      </c>
      <c r="D30" s="8">
        <f>D29*(1+C4)</f>
        <v/>
      </c>
      <c r="E30" s="3">
        <f>D30*C5/12</f>
        <v/>
      </c>
      <c r="F30" s="8">
        <f>F29*(1+D4)</f>
        <v/>
      </c>
      <c r="G30" s="3">
        <f>F30*D5/12</f>
        <v/>
      </c>
    </row>
    <row r="31">
      <c r="A31" t="n">
        <v>22</v>
      </c>
      <c r="B31" s="8">
        <f>B30*(1+B4)</f>
        <v/>
      </c>
      <c r="C31" s="3">
        <f>B31*B5/12</f>
        <v/>
      </c>
      <c r="D31" s="8">
        <f>D30*(1+C4)</f>
        <v/>
      </c>
      <c r="E31" s="3">
        <f>D31*C5/12</f>
        <v/>
      </c>
      <c r="F31" s="8">
        <f>F30*(1+D4)</f>
        <v/>
      </c>
      <c r="G31" s="3">
        <f>F31*D5/12</f>
        <v/>
      </c>
    </row>
    <row r="32">
      <c r="A32" t="n">
        <v>23</v>
      </c>
      <c r="B32" s="8">
        <f>B31*(1+B4)</f>
        <v/>
      </c>
      <c r="C32" s="3">
        <f>B32*B5/12</f>
        <v/>
      </c>
      <c r="D32" s="8">
        <f>D31*(1+C4)</f>
        <v/>
      </c>
      <c r="E32" s="3">
        <f>D32*C5/12</f>
        <v/>
      </c>
      <c r="F32" s="8">
        <f>F31*(1+D4)</f>
        <v/>
      </c>
      <c r="G32" s="3">
        <f>F32*D5/12</f>
        <v/>
      </c>
    </row>
    <row r="33">
      <c r="A33" t="n">
        <v>24</v>
      </c>
      <c r="B33" s="8">
        <f>B32*(1+B4)</f>
        <v/>
      </c>
      <c r="C33" s="3">
        <f>B33*B5/12</f>
        <v/>
      </c>
      <c r="D33" s="8">
        <f>D32*(1+C4)</f>
        <v/>
      </c>
      <c r="E33" s="3">
        <f>D33*C5/12</f>
        <v/>
      </c>
      <c r="F33" s="8">
        <f>F32*(1+D4)</f>
        <v/>
      </c>
      <c r="G33" s="3">
        <f>F33*D5/12</f>
        <v/>
      </c>
    </row>
    <row r="34">
      <c r="A34" t="n">
        <v>25</v>
      </c>
      <c r="B34" s="8">
        <f>B33*(1+B4)</f>
        <v/>
      </c>
      <c r="C34" s="3">
        <f>B34*B5/12</f>
        <v/>
      </c>
      <c r="D34" s="8">
        <f>D33*(1+C4)</f>
        <v/>
      </c>
      <c r="E34" s="3">
        <f>D34*C5/12</f>
        <v/>
      </c>
      <c r="F34" s="8">
        <f>F33*(1+D4)</f>
        <v/>
      </c>
      <c r="G34" s="3">
        <f>F34*D5/12</f>
        <v/>
      </c>
    </row>
    <row r="35">
      <c r="A35" t="n">
        <v>26</v>
      </c>
      <c r="B35" s="8">
        <f>B34*(1+B4)</f>
        <v/>
      </c>
      <c r="C35" s="3">
        <f>B35*B5/12</f>
        <v/>
      </c>
      <c r="D35" s="8">
        <f>D34*(1+C4)</f>
        <v/>
      </c>
      <c r="E35" s="3">
        <f>D35*C5/12</f>
        <v/>
      </c>
      <c r="F35" s="8">
        <f>F34*(1+D4)</f>
        <v/>
      </c>
      <c r="G35" s="3">
        <f>F35*D5/12</f>
        <v/>
      </c>
    </row>
    <row r="36">
      <c r="A36" t="n">
        <v>27</v>
      </c>
      <c r="B36" s="8">
        <f>B35*(1+B4)</f>
        <v/>
      </c>
      <c r="C36" s="3">
        <f>B36*B5/12</f>
        <v/>
      </c>
      <c r="D36" s="8">
        <f>D35*(1+C4)</f>
        <v/>
      </c>
      <c r="E36" s="3">
        <f>D36*C5/12</f>
        <v/>
      </c>
      <c r="F36" s="8">
        <f>F35*(1+D4)</f>
        <v/>
      </c>
      <c r="G36" s="3">
        <f>F36*D5/12</f>
        <v/>
      </c>
    </row>
    <row r="37">
      <c r="A37" t="n">
        <v>28</v>
      </c>
      <c r="B37" s="8">
        <f>B36*(1+B4)</f>
        <v/>
      </c>
      <c r="C37" s="3">
        <f>B37*B5/12</f>
        <v/>
      </c>
      <c r="D37" s="8">
        <f>D36*(1+C4)</f>
        <v/>
      </c>
      <c r="E37" s="3">
        <f>D37*C5/12</f>
        <v/>
      </c>
      <c r="F37" s="8">
        <f>F36*(1+D4)</f>
        <v/>
      </c>
      <c r="G37" s="3">
        <f>F37*D5/12</f>
        <v/>
      </c>
    </row>
    <row r="38">
      <c r="A38" t="n">
        <v>29</v>
      </c>
      <c r="B38" s="8">
        <f>B37*(1+B4)</f>
        <v/>
      </c>
      <c r="C38" s="3">
        <f>B38*B5/12</f>
        <v/>
      </c>
      <c r="D38" s="8">
        <f>D37*(1+C4)</f>
        <v/>
      </c>
      <c r="E38" s="3">
        <f>D38*C5/12</f>
        <v/>
      </c>
      <c r="F38" s="8">
        <f>F37*(1+D4)</f>
        <v/>
      </c>
      <c r="G38" s="3">
        <f>F38*D5/12</f>
        <v/>
      </c>
    </row>
    <row r="39">
      <c r="A39" t="n">
        <v>30</v>
      </c>
      <c r="B39" s="8">
        <f>B38*(1+B4)</f>
        <v/>
      </c>
      <c r="C39" s="3">
        <f>B39*B5/12</f>
        <v/>
      </c>
      <c r="D39" s="8">
        <f>D38*(1+C4)</f>
        <v/>
      </c>
      <c r="E39" s="3">
        <f>D39*C5/12</f>
        <v/>
      </c>
      <c r="F39" s="8">
        <f>F38*(1+D4)</f>
        <v/>
      </c>
      <c r="G39" s="3">
        <f>F39*D5/12</f>
        <v/>
      </c>
    </row>
    <row r="40">
      <c r="A40" t="n">
        <v>31</v>
      </c>
      <c r="B40" s="8">
        <f>B39*(1+B4)</f>
        <v/>
      </c>
      <c r="C40" s="3">
        <f>B40*B5/12</f>
        <v/>
      </c>
      <c r="D40" s="8">
        <f>D39*(1+C4)</f>
        <v/>
      </c>
      <c r="E40" s="3">
        <f>D40*C5/12</f>
        <v/>
      </c>
      <c r="F40" s="8">
        <f>F39*(1+D4)</f>
        <v/>
      </c>
      <c r="G40" s="3">
        <f>F40*D5/12</f>
        <v/>
      </c>
    </row>
    <row r="41">
      <c r="A41" t="n">
        <v>32</v>
      </c>
      <c r="B41" s="8">
        <f>B40*(1+B4)</f>
        <v/>
      </c>
      <c r="C41" s="3">
        <f>B41*B5/12</f>
        <v/>
      </c>
      <c r="D41" s="8">
        <f>D40*(1+C4)</f>
        <v/>
      </c>
      <c r="E41" s="3">
        <f>D41*C5/12</f>
        <v/>
      </c>
      <c r="F41" s="8">
        <f>F40*(1+D4)</f>
        <v/>
      </c>
      <c r="G41" s="3">
        <f>F41*D5/12</f>
        <v/>
      </c>
    </row>
    <row r="42">
      <c r="A42" t="n">
        <v>33</v>
      </c>
      <c r="B42" s="8">
        <f>B41*(1+B4)</f>
        <v/>
      </c>
      <c r="C42" s="3">
        <f>B42*B5/12</f>
        <v/>
      </c>
      <c r="D42" s="8">
        <f>D41*(1+C4)</f>
        <v/>
      </c>
      <c r="E42" s="3">
        <f>D42*C5/12</f>
        <v/>
      </c>
      <c r="F42" s="8">
        <f>F41*(1+D4)</f>
        <v/>
      </c>
      <c r="G42" s="3">
        <f>F42*D5/12</f>
        <v/>
      </c>
    </row>
    <row r="43">
      <c r="A43" t="n">
        <v>34</v>
      </c>
      <c r="B43" s="8">
        <f>B42*(1+B4)</f>
        <v/>
      </c>
      <c r="C43" s="3">
        <f>B43*B5/12</f>
        <v/>
      </c>
      <c r="D43" s="8">
        <f>D42*(1+C4)</f>
        <v/>
      </c>
      <c r="E43" s="3">
        <f>D43*C5/12</f>
        <v/>
      </c>
      <c r="F43" s="8">
        <f>F42*(1+D4)</f>
        <v/>
      </c>
      <c r="G43" s="3">
        <f>F43*D5/12</f>
        <v/>
      </c>
    </row>
    <row r="44">
      <c r="A44" t="n">
        <v>35</v>
      </c>
      <c r="B44" s="8">
        <f>B43*(1+B4)</f>
        <v/>
      </c>
      <c r="C44" s="3">
        <f>B44*B5/12</f>
        <v/>
      </c>
      <c r="D44" s="8">
        <f>D43*(1+C4)</f>
        <v/>
      </c>
      <c r="E44" s="3">
        <f>D44*C5/12</f>
        <v/>
      </c>
      <c r="F44" s="8">
        <f>F43*(1+D4)</f>
        <v/>
      </c>
      <c r="G44" s="3">
        <f>F44*D5/12</f>
        <v/>
      </c>
    </row>
    <row r="45">
      <c r="A45" t="n">
        <v>36</v>
      </c>
      <c r="B45" s="8">
        <f>B44*(1+B4)</f>
        <v/>
      </c>
      <c r="C45" s="3">
        <f>B45*B5/12</f>
        <v/>
      </c>
      <c r="D45" s="8">
        <f>D44*(1+C4)</f>
        <v/>
      </c>
      <c r="E45" s="3">
        <f>D45*C5/12</f>
        <v/>
      </c>
      <c r="F45" s="8">
        <f>F44*(1+D4)</f>
        <v/>
      </c>
      <c r="G45" s="3">
        <f>F45*D5/12</f>
        <v/>
      </c>
    </row>
    <row r="47">
      <c r="A47" s="4" t="inlineStr">
        <is>
          <t>Year 1 ARR (MRR*12)</t>
        </is>
      </c>
      <c r="B47" s="3">
        <f>C21*12</f>
        <v/>
      </c>
      <c r="C47" t="inlineStr">
        <is>
          <t>Bear</t>
        </is>
      </c>
      <c r="D47" s="3">
        <f>E21*12</f>
        <v/>
      </c>
      <c r="E47" t="inlineStr">
        <is>
          <t>Base</t>
        </is>
      </c>
      <c r="F47" s="3">
        <f>G21*12</f>
        <v/>
      </c>
      <c r="G47" t="inlineStr">
        <is>
          <t>Bull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Fee Cascade Model</t>
        </is>
      </c>
    </row>
    <row r="2">
      <c r="A2" t="inlineStr">
        <is>
          <t>Adoption rate (r)</t>
        </is>
      </c>
      <c r="B2" t="n">
        <v>0.15</v>
      </c>
    </row>
    <row r="3">
      <c r="A3" t="inlineStr">
        <is>
          <t>Inflection (t0)</t>
        </is>
      </c>
      <c r="B3" t="n">
        <v>18</v>
      </c>
    </row>
    <row r="4">
      <c r="A4" t="inlineStr">
        <is>
          <t>Calibration</t>
        </is>
      </c>
      <c r="B4" t="inlineStr">
        <is>
          <t>KPMG 14% in ~12mo =&gt; k=-ln(0.86)/cumsum(A,0..12)=0.0747</t>
        </is>
      </c>
    </row>
    <row r="6">
      <c r="A6" s="1" t="inlineStr">
        <is>
          <t>Sector</t>
        </is>
      </c>
      <c r="B6" s="1" t="inlineStr">
        <is>
          <t>k (decay)</t>
        </is>
      </c>
      <c r="C6" s="1" t="inlineStr">
        <is>
          <t>Lag (months)</t>
        </is>
      </c>
    </row>
    <row r="7">
      <c r="A7" t="inlineStr">
        <is>
          <t>Audit</t>
        </is>
      </c>
      <c r="B7" t="n">
        <v>0.0747</v>
      </c>
      <c r="C7" t="n">
        <v>0</v>
      </c>
    </row>
    <row r="8">
      <c r="A8" t="inlineStr">
        <is>
          <t>Legal</t>
        </is>
      </c>
      <c r="B8" t="n">
        <v>0.0534</v>
      </c>
      <c r="C8" t="n">
        <v>6</v>
      </c>
    </row>
    <row r="9">
      <c r="A9" t="inlineStr">
        <is>
          <t>Consulting</t>
        </is>
      </c>
      <c r="B9" t="n">
        <v>0.0427</v>
      </c>
      <c r="C9" t="n">
        <v>12</v>
      </c>
    </row>
    <row r="10">
      <c r="A10" t="inlineStr">
        <is>
          <t>Implementation</t>
        </is>
      </c>
      <c r="B10" t="n">
        <v>0.032</v>
      </c>
      <c r="C10" t="n">
        <v>18</v>
      </c>
    </row>
    <row r="11">
      <c r="A11" t="inlineStr">
        <is>
          <t>Design</t>
        </is>
      </c>
      <c r="B11" t="n">
        <v>0.0213</v>
      </c>
      <c r="C11" t="n">
        <v>24</v>
      </c>
    </row>
    <row r="13">
      <c r="A13" s="2" t="inlineStr">
        <is>
          <t>Governance Premium</t>
        </is>
      </c>
    </row>
    <row r="14">
      <c r="A14" t="inlineStr">
        <is>
          <t>G0 (current)</t>
        </is>
      </c>
      <c r="B14" s="5" t="n">
        <v>0.02</v>
      </c>
    </row>
    <row r="15">
      <c r="A15" t="inlineStr">
        <is>
          <t>Gmax (ceiling)</t>
        </is>
      </c>
      <c r="B15" s="5" t="n">
        <v>0.2</v>
      </c>
    </row>
    <row r="16">
      <c r="A16" t="inlineStr">
        <is>
          <t>Lambda</t>
        </is>
      </c>
      <c r="B16" t="n">
        <v>0.08</v>
      </c>
    </row>
    <row r="18">
      <c r="A18" s="2" t="inlineStr">
        <is>
          <t>Monthly Fee Levels &amp; Governance Premium</t>
        </is>
      </c>
    </row>
    <row r="19">
      <c r="A19" s="1" t="inlineStr">
        <is>
          <t>Month</t>
        </is>
      </c>
      <c r="B19" s="1" t="inlineStr">
        <is>
          <t>A(t)</t>
        </is>
      </c>
      <c r="C19" s="1" t="inlineStr">
        <is>
          <t>Audit</t>
        </is>
      </c>
      <c r="D19" s="1" t="inlineStr">
        <is>
          <t>Legal</t>
        </is>
      </c>
      <c r="E19" s="1" t="inlineStr">
        <is>
          <t>Consulting</t>
        </is>
      </c>
      <c r="F19" s="1" t="inlineStr">
        <is>
          <t>Implementation</t>
        </is>
      </c>
      <c r="G19" s="1" t="inlineStr">
        <is>
          <t>Design</t>
        </is>
      </c>
      <c r="H19" s="1" t="inlineStr">
        <is>
          <t>Gov Premium %</t>
        </is>
      </c>
    </row>
    <row r="20">
      <c r="A20" t="n">
        <v>0</v>
      </c>
      <c r="B20" t="n">
        <v>0.063</v>
      </c>
      <c r="C20" s="5" t="n">
        <v>1</v>
      </c>
      <c r="D20" s="5" t="n">
        <v>1</v>
      </c>
      <c r="E20" s="5" t="n">
        <v>1</v>
      </c>
      <c r="F20" s="5" t="n">
        <v>1</v>
      </c>
      <c r="G20" s="5" t="n">
        <v>1</v>
      </c>
      <c r="H20" s="5" t="n">
        <v>0.02</v>
      </c>
    </row>
    <row r="21">
      <c r="A21" t="n">
        <v>1</v>
      </c>
      <c r="B21" t="n">
        <v>0.07240000000000001</v>
      </c>
      <c r="C21" s="5" t="n">
        <v>0.9899</v>
      </c>
      <c r="D21" s="5" t="n">
        <v>1</v>
      </c>
      <c r="E21" s="5" t="n">
        <v>1</v>
      </c>
      <c r="F21" s="5" t="n">
        <v>1</v>
      </c>
      <c r="G21" s="5" t="n">
        <v>1</v>
      </c>
      <c r="H21" s="5" t="n">
        <v>0.0338</v>
      </c>
    </row>
    <row r="22">
      <c r="A22" t="n">
        <v>2</v>
      </c>
      <c r="B22" t="n">
        <v>0.0832</v>
      </c>
      <c r="C22" s="5" t="n">
        <v>0.9838</v>
      </c>
      <c r="D22" s="5" t="n">
        <v>1</v>
      </c>
      <c r="E22" s="5" t="n">
        <v>1</v>
      </c>
      <c r="F22" s="5" t="n">
        <v>1</v>
      </c>
      <c r="G22" s="5" t="n">
        <v>1</v>
      </c>
      <c r="H22" s="5" t="n">
        <v>0.0466</v>
      </c>
    </row>
    <row r="23">
      <c r="A23" t="n">
        <v>3</v>
      </c>
      <c r="B23" t="n">
        <v>0.0953</v>
      </c>
      <c r="C23" s="5" t="n">
        <v>0.9768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0.0584</v>
      </c>
    </row>
    <row r="24">
      <c r="A24" t="n">
        <v>4</v>
      </c>
      <c r="B24" t="n">
        <v>0.1091</v>
      </c>
      <c r="C24" s="5" t="n">
        <v>0.9689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0.0693</v>
      </c>
    </row>
    <row r="25">
      <c r="A25" t="n">
        <v>5</v>
      </c>
      <c r="B25" t="n">
        <v>0.1246</v>
      </c>
      <c r="C25" s="5" t="n">
        <v>0.9599</v>
      </c>
      <c r="D25" s="5" t="n">
        <v>1</v>
      </c>
      <c r="E25" s="5" t="n">
        <v>1</v>
      </c>
      <c r="F25" s="5" t="n">
        <v>1</v>
      </c>
      <c r="G25" s="5" t="n">
        <v>1</v>
      </c>
      <c r="H25" s="5" t="n">
        <v>0.0793</v>
      </c>
    </row>
    <row r="26">
      <c r="A26" t="n">
        <v>6</v>
      </c>
      <c r="B26" t="n">
        <v>0.1419</v>
      </c>
      <c r="C26" s="5" t="n">
        <v>0.9498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0.0886</v>
      </c>
    </row>
    <row r="27">
      <c r="A27" t="n">
        <v>7</v>
      </c>
      <c r="B27" t="n">
        <v>0.1611</v>
      </c>
      <c r="C27" s="5" t="n">
        <v>0.9384</v>
      </c>
      <c r="D27" s="5" t="n">
        <v>0.984</v>
      </c>
      <c r="E27" s="5" t="n">
        <v>1</v>
      </c>
      <c r="F27" s="5" t="n">
        <v>1</v>
      </c>
      <c r="G27" s="5" t="n">
        <v>1</v>
      </c>
      <c r="H27" s="5" t="n">
        <v>0.09719999999999999</v>
      </c>
    </row>
    <row r="28">
      <c r="A28" t="n">
        <v>8</v>
      </c>
      <c r="B28" t="n">
        <v>0.1824</v>
      </c>
      <c r="C28" s="5" t="n">
        <v>0.9257</v>
      </c>
      <c r="D28" s="5" t="n">
        <v>0.9744</v>
      </c>
      <c r="E28" s="5" t="n">
        <v>1</v>
      </c>
      <c r="F28" s="5" t="n">
        <v>1</v>
      </c>
      <c r="G28" s="5" t="n">
        <v>1</v>
      </c>
      <c r="H28" s="5" t="n">
        <v>0.1051</v>
      </c>
    </row>
    <row r="29">
      <c r="A29" t="n">
        <v>9</v>
      </c>
      <c r="B29" t="n">
        <v>0.2059</v>
      </c>
      <c r="C29" s="5" t="n">
        <v>0.9116</v>
      </c>
      <c r="D29" s="5" t="n">
        <v>0.9638</v>
      </c>
      <c r="E29" s="5" t="n">
        <v>1</v>
      </c>
      <c r="F29" s="5" t="n">
        <v>1</v>
      </c>
      <c r="G29" s="5" t="n">
        <v>1</v>
      </c>
      <c r="H29" s="5" t="n">
        <v>0.1124</v>
      </c>
    </row>
    <row r="30">
      <c r="A30" t="n">
        <v>10</v>
      </c>
      <c r="B30" t="n">
        <v>0.2315</v>
      </c>
      <c r="C30" s="5" t="n">
        <v>0.896</v>
      </c>
      <c r="D30" s="5" t="n">
        <v>0.9519</v>
      </c>
      <c r="E30" s="5" t="n">
        <v>1</v>
      </c>
      <c r="F30" s="5" t="n">
        <v>1</v>
      </c>
      <c r="G30" s="5" t="n">
        <v>1</v>
      </c>
      <c r="H30" s="5" t="n">
        <v>0.1191</v>
      </c>
    </row>
    <row r="31">
      <c r="A31" t="n">
        <v>11</v>
      </c>
      <c r="B31" t="n">
        <v>0.2592</v>
      </c>
      <c r="C31" s="5" t="n">
        <v>0.8788</v>
      </c>
      <c r="D31" s="5" t="n">
        <v>0.9388</v>
      </c>
      <c r="E31" s="5" t="n">
        <v>1</v>
      </c>
      <c r="F31" s="5" t="n">
        <v>1</v>
      </c>
      <c r="G31" s="5" t="n">
        <v>1</v>
      </c>
      <c r="H31" s="5" t="n">
        <v>0.1253</v>
      </c>
    </row>
    <row r="32">
      <c r="A32" t="n">
        <v>12</v>
      </c>
      <c r="B32" t="n">
        <v>0.2891</v>
      </c>
      <c r="C32" s="5" t="n">
        <v>0.86</v>
      </c>
      <c r="D32" s="5" t="n">
        <v>0.9245</v>
      </c>
      <c r="E32" s="5" t="n">
        <v>1</v>
      </c>
      <c r="F32" s="5" t="n">
        <v>1</v>
      </c>
      <c r="G32" s="5" t="n">
        <v>1</v>
      </c>
      <c r="H32" s="5" t="n">
        <v>0.1311</v>
      </c>
    </row>
    <row r="33">
      <c r="A33" t="n">
        <v>13</v>
      </c>
      <c r="B33" t="n">
        <v>0.3208</v>
      </c>
      <c r="C33" s="5" t="n">
        <v>0.8397</v>
      </c>
      <c r="D33" s="5" t="n">
        <v>0.9088000000000001</v>
      </c>
      <c r="E33" s="5" t="n">
        <v>0.9743000000000001</v>
      </c>
      <c r="F33" s="5" t="n">
        <v>1</v>
      </c>
      <c r="G33" s="5" t="n">
        <v>1</v>
      </c>
      <c r="H33" s="5" t="n">
        <v>0.1364</v>
      </c>
    </row>
    <row r="34">
      <c r="A34" t="n">
        <v>14</v>
      </c>
      <c r="B34" t="n">
        <v>0.3543</v>
      </c>
      <c r="C34" s="5" t="n">
        <v>0.8177</v>
      </c>
      <c r="D34" s="5" t="n">
        <v>0.8917</v>
      </c>
      <c r="E34" s="5" t="n">
        <v>0.9597</v>
      </c>
      <c r="F34" s="5" t="n">
        <v>1</v>
      </c>
      <c r="G34" s="5" t="n">
        <v>1</v>
      </c>
      <c r="H34" s="5" t="n">
        <v>0.1413</v>
      </c>
    </row>
    <row r="35">
      <c r="A35" t="n">
        <v>15</v>
      </c>
      <c r="B35" t="n">
        <v>0.3894</v>
      </c>
      <c r="C35" s="5" t="n">
        <v>0.7943</v>
      </c>
      <c r="D35" s="5" t="n">
        <v>0.8734</v>
      </c>
      <c r="E35" s="5" t="n">
        <v>0.9438</v>
      </c>
      <c r="F35" s="5" t="n">
        <v>1</v>
      </c>
      <c r="G35" s="5" t="n">
        <v>1</v>
      </c>
      <c r="H35" s="5" t="n">
        <v>0.1458</v>
      </c>
    </row>
    <row r="36">
      <c r="A36" t="n">
        <v>16</v>
      </c>
      <c r="B36" t="n">
        <v>0.4256</v>
      </c>
      <c r="C36" s="5" t="n">
        <v>0.7694</v>
      </c>
      <c r="D36" s="5" t="n">
        <v>0.8537</v>
      </c>
      <c r="E36" s="5" t="n">
        <v>0.9268</v>
      </c>
      <c r="F36" s="5" t="n">
        <v>1</v>
      </c>
      <c r="G36" s="5" t="n">
        <v>1</v>
      </c>
      <c r="H36" s="5" t="n">
        <v>0.15</v>
      </c>
    </row>
    <row r="37">
      <c r="A37" t="n">
        <v>17</v>
      </c>
      <c r="B37" t="n">
        <v>0.4626</v>
      </c>
      <c r="C37" s="5" t="n">
        <v>0.7433</v>
      </c>
      <c r="D37" s="5" t="n">
        <v>0.8329</v>
      </c>
      <c r="E37" s="5" t="n">
        <v>0.9087</v>
      </c>
      <c r="F37" s="5" t="n">
        <v>1</v>
      </c>
      <c r="G37" s="5" t="n">
        <v>1</v>
      </c>
      <c r="H37" s="5" t="n">
        <v>0.1538</v>
      </c>
    </row>
    <row r="38">
      <c r="A38" t="n">
        <v>18</v>
      </c>
      <c r="B38" t="n">
        <v>0.5</v>
      </c>
      <c r="C38" s="5" t="n">
        <v>0.7161</v>
      </c>
      <c r="D38" s="5" t="n">
        <v>0.8110000000000001</v>
      </c>
      <c r="E38" s="5" t="n">
        <v>0.8895</v>
      </c>
      <c r="F38" s="5" t="n">
        <v>1</v>
      </c>
      <c r="G38" s="5" t="n">
        <v>1</v>
      </c>
      <c r="H38" s="5" t="n">
        <v>0.1574</v>
      </c>
    </row>
    <row r="39">
      <c r="A39" t="n">
        <v>19</v>
      </c>
      <c r="B39" t="n">
        <v>0.5374</v>
      </c>
      <c r="C39" s="5" t="n">
        <v>0.6879</v>
      </c>
      <c r="D39" s="5" t="n">
        <v>0.788</v>
      </c>
      <c r="E39" s="5" t="n">
        <v>0.8693</v>
      </c>
      <c r="F39" s="5" t="n">
        <v>0.9673</v>
      </c>
      <c r="G39" s="5" t="n">
        <v>1</v>
      </c>
      <c r="H39" s="5" t="n">
        <v>0.1606</v>
      </c>
    </row>
    <row r="40">
      <c r="A40" t="n">
        <v>20</v>
      </c>
      <c r="B40" t="n">
        <v>0.5744</v>
      </c>
      <c r="C40" s="5" t="n">
        <v>0.659</v>
      </c>
      <c r="D40" s="5" t="n">
        <v>0.7642</v>
      </c>
      <c r="E40" s="5" t="n">
        <v>0.8483000000000001</v>
      </c>
      <c r="F40" s="5" t="n">
        <v>0.9497</v>
      </c>
      <c r="G40" s="5" t="n">
        <v>1</v>
      </c>
      <c r="H40" s="5" t="n">
        <v>0.1637</v>
      </c>
    </row>
    <row r="41">
      <c r="A41" t="n">
        <v>21</v>
      </c>
      <c r="B41" t="n">
        <v>0.6106</v>
      </c>
      <c r="C41" s="5" t="n">
        <v>0.6296</v>
      </c>
      <c r="D41" s="5" t="n">
        <v>0.7397</v>
      </c>
      <c r="E41" s="5" t="n">
        <v>0.8264</v>
      </c>
      <c r="F41" s="5" t="n">
        <v>0.9313</v>
      </c>
      <c r="G41" s="5" t="n">
        <v>1</v>
      </c>
      <c r="H41" s="5" t="n">
        <v>0.1665</v>
      </c>
    </row>
    <row r="42">
      <c r="A42" t="n">
        <v>22</v>
      </c>
      <c r="B42" t="n">
        <v>0.6457000000000001</v>
      </c>
      <c r="C42" s="5" t="n">
        <v>0.6</v>
      </c>
      <c r="D42" s="5" t="n">
        <v>0.7146</v>
      </c>
      <c r="E42" s="5" t="n">
        <v>0.804</v>
      </c>
      <c r="F42" s="5" t="n">
        <v>0.9123</v>
      </c>
      <c r="G42" s="5" t="n">
        <v>1</v>
      </c>
      <c r="H42" s="5" t="n">
        <v>0.169</v>
      </c>
    </row>
    <row r="43">
      <c r="A43" t="n">
        <v>23</v>
      </c>
      <c r="B43" t="n">
        <v>0.6792</v>
      </c>
      <c r="C43" s="5" t="n">
        <v>0.5703</v>
      </c>
      <c r="D43" s="5" t="n">
        <v>0.6892</v>
      </c>
      <c r="E43" s="5" t="n">
        <v>0.781</v>
      </c>
      <c r="F43" s="5" t="n">
        <v>0.8927</v>
      </c>
      <c r="G43" s="5" t="n">
        <v>1</v>
      </c>
      <c r="H43" s="5" t="n">
        <v>0.1714</v>
      </c>
    </row>
    <row r="44">
      <c r="A44" t="n">
        <v>24</v>
      </c>
      <c r="B44" t="n">
        <v>0.7109</v>
      </c>
      <c r="C44" s="5" t="n">
        <v>0.5407999999999999</v>
      </c>
      <c r="D44" s="5" t="n">
        <v>0.6635</v>
      </c>
      <c r="E44" s="5" t="n">
        <v>0.7576000000000001</v>
      </c>
      <c r="F44" s="5" t="n">
        <v>0.8726</v>
      </c>
      <c r="G44" s="5" t="n">
        <v>1</v>
      </c>
      <c r="H44" s="5" t="n">
        <v>0.1736</v>
      </c>
    </row>
    <row r="45">
      <c r="A45" t="n">
        <v>25</v>
      </c>
      <c r="B45" t="n">
        <v>0.7408</v>
      </c>
      <c r="C45" s="5" t="n">
        <v>0.5117</v>
      </c>
      <c r="D45" s="5" t="n">
        <v>0.6378</v>
      </c>
      <c r="E45" s="5" t="n">
        <v>0.734</v>
      </c>
      <c r="F45" s="5" t="n">
        <v>0.8522</v>
      </c>
      <c r="G45" s="5" t="n">
        <v>0.9696</v>
      </c>
      <c r="H45" s="5" t="n">
        <v>0.1756</v>
      </c>
    </row>
    <row r="46">
      <c r="A46" t="n">
        <v>26</v>
      </c>
      <c r="B46" t="n">
        <v>0.7685</v>
      </c>
      <c r="C46" s="5" t="n">
        <v>0.4831</v>
      </c>
      <c r="D46" s="5" t="n">
        <v>0.6121</v>
      </c>
      <c r="E46" s="5" t="n">
        <v>0.7104</v>
      </c>
      <c r="F46" s="5" t="n">
        <v>0.8315</v>
      </c>
      <c r="G46" s="5" t="n">
        <v>0.9538</v>
      </c>
      <c r="H46" s="5" t="n">
        <v>0.1775</v>
      </c>
    </row>
    <row r="47">
      <c r="A47" t="n">
        <v>27</v>
      </c>
      <c r="B47" t="n">
        <v>0.7941</v>
      </c>
      <c r="C47" s="5" t="n">
        <v>0.4553</v>
      </c>
      <c r="D47" s="5" t="n">
        <v>0.5867</v>
      </c>
      <c r="E47" s="5" t="n">
        <v>0.6867</v>
      </c>
      <c r="F47" s="5" t="n">
        <v>0.8106</v>
      </c>
      <c r="G47" s="5" t="n">
        <v>0.9378</v>
      </c>
      <c r="H47" s="5" t="n">
        <v>0.1792</v>
      </c>
    </row>
    <row r="48">
      <c r="A48" t="n">
        <v>28</v>
      </c>
      <c r="B48" t="n">
        <v>0.8176</v>
      </c>
      <c r="C48" s="5" t="n">
        <v>0.4283</v>
      </c>
      <c r="D48" s="5" t="n">
        <v>0.5616</v>
      </c>
      <c r="E48" s="5" t="n">
        <v>0.6631</v>
      </c>
      <c r="F48" s="5" t="n">
        <v>0.7897</v>
      </c>
      <c r="G48" s="5" t="n">
        <v>0.9216</v>
      </c>
      <c r="H48" s="5" t="n">
        <v>0.1808</v>
      </c>
    </row>
    <row r="49">
      <c r="A49" t="n">
        <v>29</v>
      </c>
      <c r="B49" t="n">
        <v>0.8389</v>
      </c>
      <c r="C49" s="5" t="n">
        <v>0.4023</v>
      </c>
      <c r="D49" s="5" t="n">
        <v>0.537</v>
      </c>
      <c r="E49" s="5" t="n">
        <v>0.6398</v>
      </c>
      <c r="F49" s="5" t="n">
        <v>0.7688</v>
      </c>
      <c r="G49" s="5" t="n">
        <v>0.9053</v>
      </c>
      <c r="H49" s="5" t="n">
        <v>0.1823</v>
      </c>
    </row>
    <row r="50">
      <c r="A50" t="n">
        <v>30</v>
      </c>
      <c r="B50" t="n">
        <v>0.8581</v>
      </c>
      <c r="C50" s="5" t="n">
        <v>0.3773</v>
      </c>
      <c r="D50" s="5" t="n">
        <v>0.513</v>
      </c>
      <c r="E50" s="5" t="n">
        <v>0.6168</v>
      </c>
      <c r="F50" s="5" t="n">
        <v>0.7479</v>
      </c>
      <c r="G50" s="5" t="n">
        <v>0.8889</v>
      </c>
      <c r="H50" s="5" t="n">
        <v>0.1837</v>
      </c>
    </row>
    <row r="51">
      <c r="A51" t="n">
        <v>31</v>
      </c>
      <c r="B51" t="n">
        <v>0.8754</v>
      </c>
      <c r="C51" s="5" t="n">
        <v>0.3534</v>
      </c>
      <c r="D51" s="5" t="n">
        <v>0.4896</v>
      </c>
      <c r="E51" s="5" t="n">
        <v>0.5941</v>
      </c>
      <c r="F51" s="5" t="n">
        <v>0.7272999999999999</v>
      </c>
      <c r="G51" s="5" t="n">
        <v>0.8725000000000001</v>
      </c>
      <c r="H51" s="5" t="n">
        <v>0.1849</v>
      </c>
    </row>
    <row r="52">
      <c r="A52" t="n">
        <v>32</v>
      </c>
      <c r="B52" t="n">
        <v>0.8909</v>
      </c>
      <c r="C52" s="5" t="n">
        <v>0.3307</v>
      </c>
      <c r="D52" s="5" t="n">
        <v>0.4668</v>
      </c>
      <c r="E52" s="5" t="n">
        <v>0.572</v>
      </c>
      <c r="F52" s="5" t="n">
        <v>0.7068</v>
      </c>
      <c r="G52" s="5" t="n">
        <v>0.8561</v>
      </c>
      <c r="H52" s="5" t="n">
        <v>0.1861</v>
      </c>
    </row>
    <row r="53">
      <c r="A53" t="n">
        <v>33</v>
      </c>
      <c r="B53" t="n">
        <v>0.9046999999999999</v>
      </c>
      <c r="C53" s="5" t="n">
        <v>0.3091</v>
      </c>
      <c r="D53" s="5" t="n">
        <v>0.4448</v>
      </c>
      <c r="E53" s="5" t="n">
        <v>0.5503</v>
      </c>
      <c r="F53" s="5" t="n">
        <v>0.6867</v>
      </c>
      <c r="G53" s="5" t="n">
        <v>0.8397</v>
      </c>
      <c r="H53" s="5" t="n">
        <v>0.1872</v>
      </c>
    </row>
    <row r="54">
      <c r="A54" t="n">
        <v>34</v>
      </c>
      <c r="B54" t="n">
        <v>0.9167999999999999</v>
      </c>
      <c r="C54" s="5" t="n">
        <v>0.2886</v>
      </c>
      <c r="D54" s="5" t="n">
        <v>0.4235</v>
      </c>
      <c r="E54" s="5" t="n">
        <v>0.5292</v>
      </c>
      <c r="F54" s="5" t="n">
        <v>0.6667999999999999</v>
      </c>
      <c r="G54" s="5" t="n">
        <v>0.8235</v>
      </c>
      <c r="H54" s="5" t="n">
        <v>0.1881</v>
      </c>
    </row>
    <row r="55">
      <c r="A55" t="n">
        <v>35</v>
      </c>
      <c r="B55" t="n">
        <v>0.9276</v>
      </c>
      <c r="C55" s="5" t="n">
        <v>0.2693</v>
      </c>
      <c r="D55" s="5" t="n">
        <v>0.4031</v>
      </c>
      <c r="E55" s="5" t="n">
        <v>0.5086000000000001</v>
      </c>
      <c r="F55" s="5" t="n">
        <v>0.6473</v>
      </c>
      <c r="G55" s="5" t="n">
        <v>0.8074</v>
      </c>
      <c r="H55" s="5" t="n">
        <v>0.1891</v>
      </c>
    </row>
    <row r="56">
      <c r="A56" t="n">
        <v>36</v>
      </c>
      <c r="B56" t="n">
        <v>0.9370000000000001</v>
      </c>
      <c r="C56" s="5" t="n">
        <v>0.2511</v>
      </c>
      <c r="D56" s="5" t="n">
        <v>0.3834</v>
      </c>
      <c r="E56" s="5" t="n">
        <v>0.4887</v>
      </c>
      <c r="F56" s="5" t="n">
        <v>0.6282</v>
      </c>
      <c r="G56" s="5" t="n">
        <v>0.7914</v>
      </c>
      <c r="H56" s="5" t="n">
        <v>0.1899</v>
      </c>
    </row>
    <row r="57">
      <c r="A57" t="inlineStr">
        <is>
          <t>Formulas: P(t)=exp(-k*cumsum(A(s))), A(t)=1/(1+exp(-r*(t-t0))), G(t)=G0+(Gmax-G0)*(1-exp(-lambda*t))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MOAT SCORECARD (Weighted)</t>
        </is>
      </c>
    </row>
    <row r="2">
      <c r="A2" s="1" t="inlineStr">
        <is>
          <t>Competitor</t>
        </is>
      </c>
      <c r="B2" s="1" t="inlineStr">
        <is>
          <t>Data Moat (3x)</t>
        </is>
      </c>
      <c r="C2" s="1" t="inlineStr">
        <is>
          <t>Network (1x)</t>
        </is>
      </c>
      <c r="D2" s="1" t="inlineStr">
        <is>
          <t>Regulatory (2x)</t>
        </is>
      </c>
      <c r="E2" s="1" t="inlineStr">
        <is>
          <t>Tech Diff (1x)</t>
        </is>
      </c>
      <c r="F2" s="1" t="inlineStr">
        <is>
          <t>Switching (1x)</t>
        </is>
      </c>
      <c r="G2" s="1" t="inlineStr">
        <is>
          <t>Weighted Score</t>
        </is>
      </c>
    </row>
    <row r="3">
      <c r="A3" s="9" t="inlineStr">
        <is>
          <t>GuardSpine</t>
        </is>
      </c>
      <c r="B3" s="9" t="n">
        <v>9</v>
      </c>
      <c r="C3" s="9" t="n">
        <v>7</v>
      </c>
      <c r="D3" s="9" t="n">
        <v>9</v>
      </c>
      <c r="E3" s="9" t="n">
        <v>9</v>
      </c>
      <c r="F3" s="9" t="n">
        <v>8</v>
      </c>
      <c r="G3" s="10">
        <f>(B3*3+C3*1+D3*2+E3*1+F3*1)/8</f>
        <v/>
      </c>
    </row>
    <row r="4">
      <c r="A4" t="inlineStr">
        <is>
          <t>GitHub</t>
        </is>
      </c>
      <c r="B4" t="n">
        <v>7</v>
      </c>
      <c r="C4" t="n">
        <v>9</v>
      </c>
      <c r="D4" t="n">
        <v>4</v>
      </c>
      <c r="E4" t="n">
        <v>5</v>
      </c>
      <c r="F4" t="n">
        <v>6</v>
      </c>
      <c r="G4" s="11">
        <f>(B4*3+C4*1+D4*2+E4*1+F4*1)/8</f>
        <v/>
      </c>
    </row>
    <row r="5">
      <c r="A5" t="inlineStr">
        <is>
          <t>SonarQube</t>
        </is>
      </c>
      <c r="B5" t="n">
        <v>5</v>
      </c>
      <c r="C5" t="n">
        <v>6</v>
      </c>
      <c r="D5" t="n">
        <v>3</v>
      </c>
      <c r="E5" t="n">
        <v>6</v>
      </c>
      <c r="F5" t="n">
        <v>4</v>
      </c>
      <c r="G5" s="11">
        <f>(B5*3+C5*1+D5*2+E5*1+F5*1)/8</f>
        <v/>
      </c>
    </row>
    <row r="6">
      <c r="A6" t="inlineStr">
        <is>
          <t>Codebat</t>
        </is>
      </c>
      <c r="B6" t="n">
        <v>6</v>
      </c>
      <c r="C6" t="n">
        <v>3</v>
      </c>
      <c r="D6" t="n">
        <v>7</v>
      </c>
      <c r="E6" t="n">
        <v>8</v>
      </c>
      <c r="F6" t="n">
        <v>5</v>
      </c>
      <c r="G6" s="11">
        <f>(B6*3+C6*1+D6*2+E6*1+F6*1)/8</f>
        <v/>
      </c>
    </row>
    <row r="7">
      <c r="A7" t="inlineStr">
        <is>
          <t>Manual Review</t>
        </is>
      </c>
      <c r="B7" t="n">
        <v>2</v>
      </c>
      <c r="C7" t="n">
        <v>2</v>
      </c>
      <c r="D7" t="n">
        <v>6</v>
      </c>
      <c r="E7" t="n">
        <v>2</v>
      </c>
      <c r="F7" t="n">
        <v>3</v>
      </c>
      <c r="G7" s="11">
        <f>(B7*3+C7*1+D7*2+E7*1+F7*1)/8</f>
        <v/>
      </c>
    </row>
    <row r="10">
      <c r="A10" s="2" t="inlineStr">
        <is>
          <t>MECE 9-DIMENSION MATRIX</t>
        </is>
      </c>
    </row>
    <row r="11">
      <c r="A11" t="inlineStr">
        <is>
          <t>1=Yes, 0.5=Partial, 0=No</t>
        </is>
      </c>
    </row>
    <row r="12">
      <c r="A12" s="1" t="inlineStr">
        <is>
          <t>Competitor</t>
        </is>
      </c>
      <c r="B12" s="1" t="inlineStr">
        <is>
          <t>Code</t>
        </is>
      </c>
      <c r="C12" s="1" t="inlineStr">
        <is>
          <t>Docs</t>
        </is>
      </c>
      <c r="D12" s="1" t="inlineStr">
        <is>
          <t>Sheets</t>
        </is>
      </c>
      <c r="E12" s="1" t="inlineStr">
        <is>
          <t>Images</t>
        </is>
      </c>
      <c r="F12" s="1" t="inlineStr">
        <is>
          <t>AI Prov</t>
        </is>
      </c>
      <c r="G12" s="1" t="inlineStr">
        <is>
          <t>Risk Gate</t>
        </is>
      </c>
      <c r="H12" s="1" t="inlineStr">
        <is>
          <t>Evidence</t>
        </is>
      </c>
      <c r="I12" s="1" t="inlineStr">
        <is>
          <t>Diffs</t>
        </is>
      </c>
      <c r="J12" s="1" t="inlineStr">
        <is>
          <t>Stop-Line</t>
        </is>
      </c>
      <c r="K12" s="1" t="inlineStr">
        <is>
          <t>Total</t>
        </is>
      </c>
    </row>
    <row r="13">
      <c r="A13" s="9" t="inlineStr">
        <is>
          <t>GuardSpine</t>
        </is>
      </c>
      <c r="B13" s="9" t="n">
        <v>1</v>
      </c>
      <c r="C13" s="9" t="n">
        <v>1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1</v>
      </c>
      <c r="I13" s="9" t="n">
        <v>1</v>
      </c>
      <c r="J13" s="9" t="n">
        <v>1</v>
      </c>
      <c r="K13" s="12">
        <f>SUM(B13:J13)</f>
        <v/>
      </c>
    </row>
    <row r="14">
      <c r="A14" t="inlineStr">
        <is>
          <t>Vanta/Secureframe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</v>
      </c>
      <c r="H14" t="n">
        <v>0.5</v>
      </c>
      <c r="I14" t="n">
        <v>0</v>
      </c>
      <c r="J14" t="n">
        <v>0</v>
      </c>
      <c r="K14" s="8">
        <f>SUM(B14:J14)</f>
        <v/>
      </c>
    </row>
    <row r="15">
      <c r="A15" t="inlineStr">
        <is>
          <t>GitHub/GitLab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0.5</v>
      </c>
      <c r="H15" t="n">
        <v>0</v>
      </c>
      <c r="I15" t="n">
        <v>1</v>
      </c>
      <c r="J15" t="n">
        <v>0.5</v>
      </c>
      <c r="K15" s="8">
        <f>SUM(B15:J15)</f>
        <v/>
      </c>
    </row>
    <row r="16">
      <c r="A16" t="inlineStr">
        <is>
          <t>Codebat</t>
        </is>
      </c>
      <c r="B16" t="n">
        <v>0.5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</v>
      </c>
      <c r="I16" t="n">
        <v>0</v>
      </c>
      <c r="J16" t="n">
        <v>0</v>
      </c>
      <c r="K16" s="8">
        <f>SUM(B16:J16)</f>
        <v/>
      </c>
    </row>
    <row r="17">
      <c r="A17" t="inlineStr">
        <is>
          <t>SonarQube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0.5</v>
      </c>
      <c r="H17" t="n">
        <v>0</v>
      </c>
      <c r="I17" t="n">
        <v>1</v>
      </c>
      <c r="J17" t="n">
        <v>0.5</v>
      </c>
      <c r="K17" s="8">
        <f>SUM(B17:J17)</f>
        <v/>
      </c>
    </row>
    <row r="18">
      <c r="A18" t="inlineStr">
        <is>
          <t>AI Observability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s="8">
        <f>SUM(B18:J18)</f>
        <v/>
      </c>
    </row>
    <row r="19">
      <c r="A19" t="inlineStr">
        <is>
          <t>Manual Review</t>
        </is>
      </c>
      <c r="B19" t="n">
        <v>0.5</v>
      </c>
      <c r="C19" t="n">
        <v>0.5</v>
      </c>
      <c r="D19" t="n">
        <v>0.5</v>
      </c>
      <c r="E19" t="n">
        <v>0.5</v>
      </c>
      <c r="F19" t="n">
        <v>0</v>
      </c>
      <c r="G19" t="n">
        <v>0.5</v>
      </c>
      <c r="H19" t="n">
        <v>0</v>
      </c>
      <c r="I19" t="n">
        <v>0</v>
      </c>
      <c r="J19" t="n">
        <v>0.5</v>
      </c>
      <c r="K19" s="8">
        <f>SUM(B19:J19)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3" t="inlineStr">
        <is>
          <t>CAPITAL STRATEGY: BOOTSTRAP vs VC</t>
        </is>
      </c>
      <c r="E1" t="inlineStr">
        <is>
          <t>Bootstrap = PRIMARY. VC = comparison only.</t>
        </is>
      </c>
    </row>
    <row r="2">
      <c r="A2" s="1" t="inlineStr">
        <is>
          <t>Metric</t>
        </is>
      </c>
      <c r="B2" s="1" t="inlineStr">
        <is>
          <t>Bootstrap (Angel)</t>
        </is>
      </c>
      <c r="C2" s="1" t="inlineStr">
        <is>
          <t>VC 2-Round</t>
        </is>
      </c>
      <c r="D2" s="1" t="inlineStr">
        <is>
          <t>VC 4-Round</t>
        </is>
      </c>
    </row>
    <row r="3">
      <c r="A3" t="inlineStr">
        <is>
          <t>Total Raised</t>
        </is>
      </c>
      <c r="B3" s="14" t="n">
        <v>1000000</v>
      </c>
      <c r="C3" s="3" t="n">
        <v>6000000</v>
      </c>
      <c r="D3" s="3" t="n">
        <v>76000000</v>
      </c>
    </row>
    <row r="4">
      <c r="A4" t="inlineStr">
        <is>
          <t>David Ownership</t>
        </is>
      </c>
      <c r="B4" s="15" t="n">
        <v>0.421875</v>
      </c>
      <c r="C4" s="5" t="n">
        <v>0.297</v>
      </c>
      <c r="D4" s="5" t="n">
        <v>0.19008</v>
      </c>
    </row>
    <row r="5">
      <c r="A5" t="inlineStr">
        <is>
          <t>Exit for $100M post-tax</t>
        </is>
      </c>
      <c r="B5" s="14" t="n">
        <v>316049382.7160494</v>
      </c>
      <c r="C5" s="3" t="n">
        <v>448933782.2671155</v>
      </c>
      <c r="D5" s="3" t="n">
        <v>701459034.7923681</v>
      </c>
    </row>
    <row r="6">
      <c r="A6" t="inlineStr">
        <is>
          <t>Take-home @ $305M exit</t>
        </is>
      </c>
      <c r="B6" s="14" t="n">
        <v>96503906.25</v>
      </c>
      <c r="C6" s="3" t="n">
        <v>67938750.00000001</v>
      </c>
      <c r="D6" s="3" t="n">
        <v>43480800.00000001</v>
      </c>
    </row>
    <row r="7">
      <c r="A7" t="inlineStr">
        <is>
          <t>Take-home @ $400M exit</t>
        </is>
      </c>
      <c r="B7" s="14" t="n">
        <v>126562500</v>
      </c>
      <c r="C7" s="3" t="n">
        <v>89100000.00000001</v>
      </c>
      <c r="D7" s="3" t="n">
        <v>57024000.00000001</v>
      </c>
    </row>
    <row r="8">
      <c r="A8" t="inlineStr">
        <is>
          <t>Take-home @ $600M exit</t>
        </is>
      </c>
      <c r="B8" s="14" t="n">
        <v>189843750</v>
      </c>
      <c r="C8" s="3" t="n">
        <v>133650000</v>
      </c>
      <c r="D8" s="3" t="n">
        <v>85536000.00000001</v>
      </c>
    </row>
    <row r="9">
      <c r="A9" t="inlineStr">
        <is>
          <t>Take-home @ $1B exit</t>
        </is>
      </c>
      <c r="B9" s="14" t="n">
        <v>316406250</v>
      </c>
      <c r="C9" s="3" t="n">
        <v>222750000.0000001</v>
      </c>
      <c r="D9" s="3" t="n">
        <v>142560000</v>
      </c>
    </row>
    <row r="12">
      <c r="A12" s="2" t="inlineStr">
        <is>
          <t>VC 4-ROUND DILUTION DETAIL (reference)</t>
        </is>
      </c>
      <c r="E12" t="inlineStr">
        <is>
          <t>Shown for comparison -- NOT the plan</t>
        </is>
      </c>
    </row>
    <row r="13">
      <c r="A13" s="1" t="inlineStr">
        <is>
          <t>Round</t>
        </is>
      </c>
      <c r="B13" s="1" t="inlineStr">
        <is>
          <t>Raise</t>
        </is>
      </c>
      <c r="C13" s="1" t="inlineStr">
        <is>
          <t>Pre-Money Val.</t>
        </is>
      </c>
      <c r="D13" s="1" t="inlineStr">
        <is>
          <t>Dilution %</t>
        </is>
      </c>
      <c r="E13" s="1" t="inlineStr">
        <is>
          <t>David Before</t>
        </is>
      </c>
      <c r="F13" s="1" t="inlineStr">
        <is>
          <t>David After</t>
        </is>
      </c>
      <c r="G13" s="1" t="inlineStr">
        <is>
          <t>Equity Lost</t>
        </is>
      </c>
      <c r="H13" s="1" t="inlineStr">
        <is>
          <t>Cost @ $400M Exit</t>
        </is>
      </c>
      <c r="I13" s="1" t="inlineStr">
        <is>
          <t>Cost @ $1B Exit</t>
        </is>
      </c>
    </row>
    <row r="14">
      <c r="A14" t="inlineStr">
        <is>
          <t>Pre-seed</t>
        </is>
      </c>
      <c r="B14" s="3" t="n">
        <v>1000000</v>
      </c>
      <c r="C14" s="3" t="n">
        <v>8000000</v>
      </c>
      <c r="D14" s="5" t="n">
        <v>0.12</v>
      </c>
      <c r="E14" s="5" t="n">
        <v>0.45</v>
      </c>
      <c r="F14" s="5" t="n">
        <v>0.396</v>
      </c>
      <c r="G14" s="5" t="n">
        <v>0.05399999999999999</v>
      </c>
      <c r="H14" s="3" t="n">
        <v>16200000</v>
      </c>
      <c r="I14" s="3" t="n">
        <v>40499999.99999999</v>
      </c>
    </row>
    <row r="15">
      <c r="A15" t="inlineStr">
        <is>
          <t>Seed</t>
        </is>
      </c>
      <c r="B15" s="3" t="n">
        <v>5000000</v>
      </c>
      <c r="C15" s="3" t="n">
        <v>15000000</v>
      </c>
      <c r="D15" s="5" t="n">
        <v>0.25</v>
      </c>
      <c r="E15" s="5" t="n">
        <v>0.396</v>
      </c>
      <c r="F15" s="5" t="n">
        <v>0.297</v>
      </c>
      <c r="G15" s="5" t="n">
        <v>0.09899999999999999</v>
      </c>
      <c r="H15" s="3" t="n">
        <v>29699999.99999999</v>
      </c>
      <c r="I15" s="3" t="n">
        <v>74249999.99999997</v>
      </c>
    </row>
    <row r="16">
      <c r="A16" t="inlineStr">
        <is>
          <t>Series A</t>
        </is>
      </c>
      <c r="B16" s="3" t="n">
        <v>20000000</v>
      </c>
      <c r="C16" s="3" t="n">
        <v>75000000</v>
      </c>
      <c r="D16" s="5" t="n">
        <v>0.2</v>
      </c>
      <c r="E16" s="5" t="n">
        <v>0.297</v>
      </c>
      <c r="F16" s="5" t="n">
        <v>0.2376000000000001</v>
      </c>
      <c r="G16" s="5" t="n">
        <v>0.05940000000000002</v>
      </c>
      <c r="H16" s="3" t="n">
        <v>17820000</v>
      </c>
      <c r="I16" s="3" t="n">
        <v>44550000.00000001</v>
      </c>
    </row>
    <row r="17">
      <c r="A17" t="inlineStr">
        <is>
          <t>Series B</t>
        </is>
      </c>
      <c r="B17" s="3" t="n">
        <v>50000000</v>
      </c>
      <c r="C17" s="3" t="n">
        <v>250000000</v>
      </c>
      <c r="D17" s="5" t="n">
        <v>0.2</v>
      </c>
      <c r="E17" s="5" t="n">
        <v>0.2376000000000001</v>
      </c>
      <c r="F17" s="5" t="n">
        <v>0.19008</v>
      </c>
      <c r="G17" s="5" t="n">
        <v>0.04752000000000001</v>
      </c>
      <c r="H17" s="3" t="n">
        <v>14256000</v>
      </c>
      <c r="I17" s="3" t="n">
        <v>35640000.00000001</v>
      </c>
    </row>
    <row r="18">
      <c r="A18" s="4" t="inlineStr">
        <is>
          <t>TOTAL</t>
        </is>
      </c>
      <c r="B18" s="3">
        <f>SUM(B14:B17)</f>
        <v/>
      </c>
      <c r="G18" s="5" t="n">
        <v>0.25992</v>
      </c>
      <c r="H18" s="3" t="n">
        <v>77976000</v>
      </c>
      <c r="I18" s="3" t="n">
        <v>194940000</v>
      </c>
    </row>
    <row r="19">
      <c r="A19" t="inlineStr">
        <is>
          <t>Final ownership (David)</t>
        </is>
      </c>
      <c r="F19" s="5" t="n">
        <v>0.19008</v>
      </c>
    </row>
    <row r="20">
      <c r="A20" t="inlineStr">
        <is>
          <t>David post-tax at $1B exit (VC path)</t>
        </is>
      </c>
      <c r="H20" s="3" t="n">
        <v>142560000</v>
      </c>
    </row>
    <row r="22">
      <c r="A22" s="2" t="inlineStr">
        <is>
          <t>ACQUISITION PRICE TRAJECTORY</t>
        </is>
      </c>
      <c r="D22" t="inlineStr">
        <is>
          <t>Market val * strategic premium (1.2-1.5x)</t>
        </is>
      </c>
    </row>
    <row r="23">
      <c r="A23" s="1" t="inlineStr">
        <is>
          <t>Year</t>
        </is>
      </c>
      <c r="B23" s="1" t="inlineStr">
        <is>
          <t>Bear ARR</t>
        </is>
      </c>
      <c r="C23" s="1" t="inlineStr">
        <is>
          <t>Bear Acq Price</t>
        </is>
      </c>
      <c r="D23" s="1" t="inlineStr">
        <is>
          <t>Base ARR</t>
        </is>
      </c>
      <c r="E23" s="1" t="inlineStr">
        <is>
          <t>Base Acq Price</t>
        </is>
      </c>
      <c r="F23" s="1" t="inlineStr">
        <is>
          <t>Bull ARR</t>
        </is>
      </c>
      <c r="G23" s="1" t="inlineStr">
        <is>
          <t>Bull Acq Price</t>
        </is>
      </c>
    </row>
    <row r="24">
      <c r="A24" t="inlineStr">
        <is>
          <t>Year 1</t>
        </is>
      </c>
      <c r="B24" s="3" t="n">
        <v>285635.3105137083</v>
      </c>
      <c r="C24" s="3" t="n">
        <v>16259790.05099284</v>
      </c>
      <c r="D24" s="3" t="n">
        <v>1682060.025313689</v>
      </c>
      <c r="E24" s="3" t="n">
        <v>89367849.14491633</v>
      </c>
      <c r="F24" s="3" t="n">
        <v>7912075.336191997</v>
      </c>
      <c r="G24" s="3" t="n">
        <v>315276421.9589106</v>
      </c>
    </row>
    <row r="25">
      <c r="A25" t="inlineStr">
        <is>
          <t>Year 2</t>
        </is>
      </c>
      <c r="B25" s="3" t="n">
        <v>666657.8283395409</v>
      </c>
      <c r="C25" s="3" t="n">
        <v>37949496.87822837</v>
      </c>
      <c r="D25" s="3" t="n">
        <v>6837079.03667414</v>
      </c>
      <c r="E25" s="3" t="n">
        <v>272440506.9138728</v>
      </c>
      <c r="F25" s="3" t="n">
        <v>50900028.90175991</v>
      </c>
      <c r="G25" s="3" t="n">
        <v>1158993658.093073</v>
      </c>
    </row>
    <row r="26">
      <c r="A26" t="inlineStr">
        <is>
          <t>Year 3</t>
        </is>
      </c>
      <c r="B26" s="3" t="n">
        <v>1313776.496392779</v>
      </c>
      <c r="C26" s="3" t="n">
        <v>58167454.37779027</v>
      </c>
      <c r="D26" s="3" t="n">
        <v>20080764.25344406</v>
      </c>
      <c r="E26" s="3" t="n">
        <v>594410702.6661977</v>
      </c>
      <c r="F26" s="3" t="n">
        <v>252925975.7158713</v>
      </c>
      <c r="G26" s="3" t="n">
        <v>4607299573.64031</v>
      </c>
    </row>
    <row r="27">
      <c r="A27" t="inlineStr">
        <is>
          <t>Year 4</t>
        </is>
      </c>
      <c r="B27" s="3" t="n">
        <v>2327321.717369113</v>
      </c>
      <c r="C27" s="3" t="n">
        <v>103042169.0365175</v>
      </c>
      <c r="D27" s="3" t="n">
        <v>48889497.80949174</v>
      </c>
      <c r="E27" s="3" t="n">
        <v>1447178024.658765</v>
      </c>
      <c r="F27" s="3" t="n">
        <v>1017231589.26552</v>
      </c>
      <c r="G27" s="3" t="n">
        <v>18529890630.06071</v>
      </c>
    </row>
    <row r="28">
      <c r="A28" t="inlineStr">
        <is>
          <t>Year 5</t>
        </is>
      </c>
      <c r="B28" s="3" t="n">
        <v>3814055.871486608</v>
      </c>
      <c r="C28" s="3" t="n">
        <v>168867323.7100695</v>
      </c>
      <c r="D28" s="3" t="n">
        <v>102341340.615006</v>
      </c>
      <c r="E28" s="3" t="n">
        <v>1864249860.642949</v>
      </c>
      <c r="F28" s="3" t="n">
        <v>3402402268.629845</v>
      </c>
      <c r="G28" s="3" t="n">
        <v>61978159725.36124</v>
      </c>
    </row>
    <row r="29">
      <c r="A29" t="inlineStr">
        <is>
          <t>Year 6</t>
        </is>
      </c>
      <c r="B29" s="3" t="n">
        <v>5874633.211289246</v>
      </c>
      <c r="C29" s="3" t="n">
        <v>195074539.0723735</v>
      </c>
      <c r="D29" s="3" t="n">
        <v>188962191.8446573</v>
      </c>
      <c r="E29" s="3" t="n">
        <v>2868446072.201898</v>
      </c>
      <c r="F29" s="3" t="n">
        <v>9635787141.068794</v>
      </c>
      <c r="G29" s="3" t="n">
        <v>175525498561.7091</v>
      </c>
    </row>
    <row r="30">
      <c r="A30" t="inlineStr">
        <is>
          <t>Year 7</t>
        </is>
      </c>
      <c r="B30" s="3" t="n">
        <v>8565829.917433195</v>
      </c>
      <c r="C30" s="3" t="n">
        <v>227551271.7566128</v>
      </c>
      <c r="D30" s="3" t="n">
        <v>314941641.5497506</v>
      </c>
      <c r="E30" s="3" t="n">
        <v>4780814118.725214</v>
      </c>
      <c r="F30" s="3" t="n">
        <v>23882989408.12585</v>
      </c>
      <c r="G30" s="3" t="n">
        <v>435052535058.4204</v>
      </c>
    </row>
    <row r="32">
      <c r="A32" s="2" t="inlineStr">
        <is>
          <t>$1B+ ACQUISITION REQUIREMENTS</t>
        </is>
      </c>
    </row>
    <row r="33">
      <c r="A33" t="inlineStr">
        <is>
          <t>Minimum ARR</t>
        </is>
      </c>
      <c r="B33" s="3" t="n">
        <v>30000000</v>
      </c>
      <c r="C33" t="inlineStr">
        <is>
          <t>Base case: Year 4</t>
        </is>
      </c>
    </row>
    <row r="34">
      <c r="A34" t="inlineStr">
        <is>
          <t>Strong-confidence ARR</t>
        </is>
      </c>
      <c r="B34" s="3" t="n">
        <v>50000000</v>
      </c>
      <c r="C34" t="inlineStr">
        <is>
          <t>Base case: Year 5</t>
        </is>
      </c>
    </row>
    <row r="35">
      <c r="A35" t="inlineStr">
        <is>
          <t>Min YoY Growth</t>
        </is>
      </c>
      <c r="B35" s="5" t="n">
        <v>0.5</v>
      </c>
    </row>
    <row r="36">
      <c r="A36" t="inlineStr">
        <is>
          <t>Min Gross Margin</t>
        </is>
      </c>
      <c r="B36" s="5" t="n">
        <v>0.85</v>
      </c>
    </row>
    <row r="37">
      <c r="A37" t="inlineStr">
        <is>
          <t>Min Enterprise Logos</t>
        </is>
      </c>
      <c r="B37" t="n">
        <v>5</v>
      </c>
    </row>
    <row r="39">
      <c r="A39" s="2" t="inlineStr">
        <is>
          <t>PER-ACQUIRER $1B TRIGGERS</t>
        </is>
      </c>
    </row>
    <row r="40">
      <c r="A40" s="1" t="inlineStr">
        <is>
          <t>Acquirer</t>
        </is>
      </c>
      <c r="B40" s="1" t="inlineStr">
        <is>
          <t>Trigger ARR</t>
        </is>
      </c>
      <c r="C40" s="1" t="inlineStr">
        <is>
          <t>Likely Price</t>
        </is>
      </c>
      <c r="D40" s="1" t="inlineStr">
        <is>
          <t>Rationale</t>
        </is>
      </c>
    </row>
    <row r="41">
      <c r="A41" t="inlineStr">
        <is>
          <t>Microsoft / GitHub</t>
        </is>
      </c>
      <c r="B41" s="3" t="n">
        <v>20000000</v>
      </c>
      <c r="C41" t="inlineStr">
        <is>
          <t>800M-1.5B</t>
        </is>
      </c>
      <c r="D41" t="inlineStr">
        <is>
          <t>GitHub Action adoption &gt; 10K installs. Copilot Trust layer. Missing link in dev platform.</t>
        </is>
      </c>
    </row>
    <row r="42">
      <c r="A42" t="inlineStr">
        <is>
          <t>IBM</t>
        </is>
      </c>
      <c r="B42" s="3" t="n">
        <v>15000000</v>
      </c>
      <c r="C42" t="inlineStr">
        <is>
          <t>500M-1.2B</t>
        </is>
      </c>
      <c r="D42" t="inlineStr">
        <is>
          <t>Ishwar internal champion. watsonx governance gap. Red Hat playbook (open-core -&gt; enterprise).</t>
        </is>
      </c>
    </row>
    <row r="43">
      <c r="A43" t="inlineStr">
        <is>
          <t>ServiceNow</t>
        </is>
      </c>
      <c r="B43" s="3" t="n">
        <v>25000000</v>
      </c>
      <c r="C43" t="inlineStr">
        <is>
          <t>600M-1.2B</t>
        </is>
      </c>
      <c r="D43" t="inlineStr">
        <is>
          <t>GRC platform-of-platforms. Artifact governance fills gap. Enterprise distribution.</t>
        </is>
      </c>
    </row>
    <row r="44">
      <c r="A44" t="inlineStr">
        <is>
          <t>Palo Alto Networks</t>
        </is>
      </c>
      <c r="B44" s="3" t="n">
        <v>30000000</v>
      </c>
      <c r="C44" t="inlineStr">
        <is>
          <t>500M-1.0B</t>
        </is>
      </c>
      <c r="D44" t="inlineStr">
        <is>
          <t>Code-to-cloud security. Bridgecrew + Cider precedent. AI artifact extension.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3" t="inlineStr">
        <is>
          <t>SPEED-TO-$100M EXECUTION PLAN</t>
        </is>
      </c>
      <c r="D1" t="inlineStr">
        <is>
          <t>Target: $316M exit in 15-22 months</t>
        </is>
      </c>
    </row>
    <row r="2">
      <c r="A2" s="1" t="inlineStr">
        <is>
          <t>Phase</t>
        </is>
      </c>
      <c r="B2" s="1" t="inlineStr">
        <is>
          <t>Months</t>
        </is>
      </c>
      <c r="C2" s="1" t="inlineStr">
        <is>
          <t>Key Actions</t>
        </is>
      </c>
      <c r="D2" s="1" t="inlineStr">
        <is>
          <t>Target ARR</t>
        </is>
      </c>
      <c r="E2" s="1" t="inlineStr">
        <is>
          <t>Controlled?</t>
        </is>
      </c>
    </row>
    <row r="3">
      <c r="A3" s="4" t="inlineStr">
        <is>
          <t>Parallel Launch</t>
        </is>
      </c>
      <c r="B3" t="inlineStr">
        <is>
          <t>0-2</t>
        </is>
      </c>
      <c r="C3" t="inlineStr">
        <is>
          <t>Close $1M angel via Kristen's investor network | Ship TEAM tier (1-2 weeks remaining): full-text search, drift alerts | File provisional patent ($2K, cognitive attestation + evidence bundle)</t>
        </is>
      </c>
      <c r="D3" s="3" t="n">
        <v>0</v>
      </c>
      <c r="E3" t="inlineStr">
        <is>
          <t>Yes</t>
        </is>
      </c>
    </row>
    <row r="4">
      <c r="A4" s="4" t="inlineStr">
        <is>
          <t>First Revenue</t>
        </is>
      </c>
      <c r="B4" t="inlineStr">
        <is>
          <t>1-3</t>
        </is>
      </c>
      <c r="C4" t="inlineStr">
        <is>
          <t>Approach Ishwar at IBM (Z-Inspection evaluation, warm from Feb 13 meeting) | Jacob intro to Canada gov/enterprise contact (Platform One angle) | Inbound from GitHub Action installs -&gt; 2-3 mid-market prospects</t>
        </is>
      </c>
      <c r="D4" s="3" t="n">
        <v>0</v>
      </c>
      <c r="E4" t="inlineStr">
        <is>
          <t>Yes</t>
        </is>
      </c>
    </row>
    <row r="5">
      <c r="A5" s="4" t="inlineStr">
        <is>
          <t>Anchor Customers</t>
        </is>
      </c>
      <c r="B5" t="inlineStr">
        <is>
          <t>2-5</t>
        </is>
      </c>
      <c r="C5" t="inlineStr">
        <is>
          <t>Close 2-3 enterprise pilots at $200-500K ACV (IBM, gov, fintech) | Close 2-3 mid-market at $100-200K ACV (regulated: healthtech/govtech) | Publish case study (decision reduction 1000-&gt;10)</t>
        </is>
      </c>
      <c r="D5" s="3" t="n">
        <v>1500000</v>
      </c>
      <c r="E5" t="inlineStr">
        <is>
          <t>Yes</t>
        </is>
      </c>
    </row>
    <row r="6">
      <c r="A6" s="4" t="inlineStr">
        <is>
          <t>Revenue Ramp</t>
        </is>
      </c>
      <c r="B6" t="inlineStr">
        <is>
          <t>4-9</t>
        </is>
      </c>
      <c r="C6" t="inlineStr">
        <is>
          <t>Hit $1-5M ARR (IBM pilot + gov deals + mid-market) | Ship ENTERPRISE tier: SSO federation, custom SLAs, dedicated support | G7/NIST reference through Jacob (Triangle Strategy)</t>
        </is>
      </c>
      <c r="D6" s="3" t="n">
        <v>5000000</v>
      </c>
      <c r="E6" t="inlineStr">
        <is>
          <t>Yes</t>
        </is>
      </c>
    </row>
    <row r="7">
      <c r="A7" s="4" t="inlineStr">
        <is>
          <t>Acquisition Zone</t>
        </is>
      </c>
      <c r="B7" t="inlineStr">
        <is>
          <t>9-15</t>
        </is>
      </c>
      <c r="C7" t="inlineStr">
        <is>
          <t>Hit $5-12M ARR, 200%+ YoY growth | 5+ enterprise logos, 5K+ GitHub Action installs | Start acquirer conversations (warm intros via Chris/Kristen/angel network)</t>
        </is>
      </c>
      <c r="D7" s="3" t="n">
        <v>12000000</v>
      </c>
      <c r="E7" t="inlineStr">
        <is>
          <t>Yes</t>
        </is>
      </c>
    </row>
    <row r="8">
      <c r="A8" s="4" t="inlineStr">
        <is>
          <t>Close the Exit</t>
        </is>
      </c>
      <c r="B8" t="inlineStr">
        <is>
          <t>15-22</t>
        </is>
      </c>
      <c r="C8" t="inlineStr">
        <is>
          <t>Hit $12-20M ARR (trigger zone for IBM $15M, MSFT $20M) | 20-35x revenue = $240-700M acquisition price | Close at $316M+ -&gt; David: $100M+ post-tax</t>
        </is>
      </c>
      <c r="D8" s="3" t="n">
        <v>20000000</v>
      </c>
      <c r="E8" t="inlineStr">
        <is>
          <t>Partly</t>
        </is>
      </c>
    </row>
    <row r="11">
      <c r="A11" s="16" t="inlineStr">
        <is>
          <t>SPEED KILLERS (avoid these)</t>
        </is>
      </c>
    </row>
    <row r="12">
      <c r="A12" s="1" t="inlineStr">
        <is>
          <t>Killer</t>
        </is>
      </c>
      <c r="B12" s="1" t="inlineStr">
        <is>
          <t>Cost (months)</t>
        </is>
      </c>
      <c r="C12" s="1" t="inlineStr">
        <is>
          <t>Description</t>
        </is>
      </c>
      <c r="D12" s="1" t="inlineStr">
        <is>
          <t>Fix</t>
        </is>
      </c>
    </row>
    <row r="13">
      <c r="A13" s="17" t="inlineStr">
        <is>
          <t>Underpricing</t>
        </is>
      </c>
      <c r="B13" t="n">
        <v>6</v>
      </c>
      <c r="C13" t="inlineStr">
        <is>
          <t>$50K ACV when you should charge $500K</t>
        </is>
      </c>
      <c r="D13" t="inlineStr">
        <is>
          <t>Anchor on Netflix ACV. Never discount &gt;10%. First customer sets the floor.</t>
        </is>
      </c>
    </row>
    <row r="14">
      <c r="A14" s="17" t="inlineStr">
        <is>
          <t>Raising VC</t>
        </is>
      </c>
      <c r="B14" t="n">
        <v>4</v>
      </c>
      <c r="C14" t="inlineStr">
        <is>
          <t>$5M seed = 3-4 months founder time + 25% dilution</t>
        </is>
      </c>
      <c r="D14" t="inlineStr">
        <is>
          <t>Bootstrap. $1M angel only. Revenue funds growth at 87-91% margins.</t>
        </is>
      </c>
    </row>
    <row r="15">
      <c r="A15" s="17" t="inlineStr">
        <is>
          <t>Building before validating</t>
        </is>
      </c>
      <c r="B15" t="n">
        <v>3</v>
      </c>
      <c r="C15" t="inlineStr">
        <is>
          <t>PDFGuard before anyone asks = wasted months</t>
        </is>
      </c>
      <c r="D15" t="inlineStr">
        <is>
          <t>Only build what a paying customer needs. Phase 0 gates everything.</t>
        </is>
      </c>
    </row>
    <row r="16">
      <c r="A16" s="17" t="inlineStr">
        <is>
          <t>Small customer addiction</t>
        </is>
      </c>
      <c r="B16" t="n">
        <v>6</v>
      </c>
      <c r="C16" t="inlineStr">
        <is>
          <t>$10K/yr customer takes same effort as $500K/yr</t>
        </is>
      </c>
      <c r="D16" t="inlineStr">
        <is>
          <t>Enterprise only. SMB comes free from open source. Min ACV $100K.</t>
        </is>
      </c>
    </row>
    <row r="17">
      <c r="A17" s="17" t="inlineStr">
        <is>
          <t>Waiting for perfection</t>
        </is>
      </c>
      <c r="B17" t="n">
        <v>3</v>
      </c>
      <c r="C17" t="inlineStr">
        <is>
          <t>Delaying pilot until FP &lt;1% when &lt;5% is sufficient</t>
        </is>
      </c>
      <c r="D17" t="inlineStr">
        <is>
          <t>Ship at FP &lt;5%. Pilot IS the product-market fit test.</t>
        </is>
      </c>
    </row>
    <row r="20">
      <c r="A20" s="2" t="inlineStr">
        <is>
          <t>WHAT YOU CONTROL vs DON'T</t>
        </is>
      </c>
    </row>
    <row r="21">
      <c r="A21" s="1" t="inlineStr">
        <is>
          <t>You Control</t>
        </is>
      </c>
      <c r="B21" s="1" t="inlineStr">
        <is>
          <t>You Don't Control</t>
        </is>
      </c>
    </row>
    <row r="22">
      <c r="A22" s="18" t="inlineStr">
        <is>
          <t>Product quality (FP/FN rates)</t>
        </is>
      </c>
      <c r="B22" s="19" t="inlineStr">
        <is>
          <t>Enterprise procurement speed</t>
        </is>
      </c>
    </row>
    <row r="23">
      <c r="A23" s="18" t="inlineStr">
        <is>
          <t>Pricing discipline (anchor high)</t>
        </is>
      </c>
      <c r="B23" s="19" t="inlineStr">
        <is>
          <t>Acquirer timing appetite</t>
        </is>
      </c>
    </row>
    <row r="24">
      <c r="A24" s="18" t="inlineStr">
        <is>
          <t>Which customers to approach first</t>
        </is>
      </c>
      <c r="B24" s="19" t="inlineStr">
        <is>
          <t>Market sentiment at exit</t>
        </is>
      </c>
    </row>
    <row r="25">
      <c r="A25" s="18" t="inlineStr">
        <is>
          <t>Open-source distribution speed</t>
        </is>
      </c>
      <c r="B25" s="19" t="inlineStr">
        <is>
          <t>Competitor responses</t>
        </is>
      </c>
    </row>
    <row r="26">
      <c r="A26" s="18" t="inlineStr">
        <is>
          <t>Patent filing timing</t>
        </is>
      </c>
      <c r="B26" s="19" t="inlineStr">
        <is>
          <t>Regulatory timeline</t>
        </is>
      </c>
    </row>
    <row r="27">
      <c r="A27" s="18" t="inlineStr">
        <is>
          <t>When to start acquirer conversations</t>
        </is>
      </c>
      <c r="B27" s="19" t="inlineStr">
        <is>
          <t>How fast acquirers move</t>
        </is>
      </c>
    </row>
    <row r="28">
      <c r="A28" s="18" t="inlineStr">
        <is>
          <t>Whether to accept sub-$305M offers</t>
        </is>
      </c>
      <c r="B28" s="19" t="inlineStr">
        <is>
          <t>Whether $305M+ offer arrives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3" t="inlineStr">
        <is>
          <t>AI TRAJECTORY: SOURCED DATA (Feb 2026)</t>
        </is>
      </c>
    </row>
    <row r="2">
      <c r="A2" s="1" t="inlineStr">
        <is>
          <t>Data Point</t>
        </is>
      </c>
      <c r="B2" s="1" t="inlineStr">
        <is>
          <t>Value</t>
        </is>
      </c>
      <c r="C2" s="1" t="inlineStr">
        <is>
          <t>Source</t>
        </is>
      </c>
    </row>
    <row r="3">
      <c r="A3" t="inlineStr">
        <is>
          <t>METR task doubling time</t>
        </is>
      </c>
      <c r="B3" s="4" t="inlineStr">
        <is>
          <t>7 months</t>
        </is>
      </c>
      <c r="C3" t="inlineStr">
        <is>
          <t>METR / Epoch AI (Feb 2026)</t>
        </is>
      </c>
    </row>
    <row r="4">
      <c r="A4" t="inlineStr">
        <is>
          <t>Current task horizon</t>
        </is>
      </c>
      <c r="B4" s="4" t="inlineStr">
        <is>
          <t>50 minutes</t>
        </is>
      </c>
      <c r="C4" t="inlineStr">
        <is>
          <t>METR benchmark</t>
        </is>
      </c>
    </row>
    <row r="5">
      <c r="A5" t="inlineStr">
        <is>
          <t>Week-long task projection</t>
        </is>
      </c>
      <c r="B5" s="4" t="inlineStr">
        <is>
          <t>Late 2026-2027</t>
        </is>
      </c>
      <c r="C5" t="inlineStr">
        <is>
          <t>METR extrapolation</t>
        </is>
      </c>
    </row>
    <row r="6">
      <c r="A6" t="inlineStr">
        <is>
          <t>Token cost decline</t>
        </is>
      </c>
      <c r="B6" s="4" t="inlineStr">
        <is>
          <t>10x per year</t>
        </is>
      </c>
      <c r="C6" t="inlineStr">
        <is>
          <t>Epoch AI cost index</t>
        </is>
      </c>
    </row>
    <row r="7">
      <c r="A7" t="inlineStr">
        <is>
          <t>Cost per M tokens (2025)</t>
        </is>
      </c>
      <c r="B7" s="4" t="inlineStr">
        <is>
          <t>$0.40</t>
        </is>
      </c>
      <c r="C7" t="inlineStr">
        <is>
          <t>Epoch AI</t>
        </is>
      </c>
    </row>
    <row r="8">
      <c r="A8" t="inlineStr">
        <is>
          <t>Cost per M tokens (2026e)</t>
        </is>
      </c>
      <c r="B8" s="4" t="inlineStr">
        <is>
          <t>$0.04</t>
        </is>
      </c>
      <c r="C8" t="inlineStr">
        <is>
          <t>Epoch AI extrapolation</t>
        </is>
      </c>
    </row>
    <row r="9">
      <c r="A9" t="inlineStr">
        <is>
          <t>SWE-bench Verified solve rate</t>
        </is>
      </c>
      <c r="B9" s="4" t="inlineStr">
        <is>
          <t>75%</t>
        </is>
      </c>
      <c r="C9" t="inlineStr">
        <is>
          <t>SWE-bench (Feb 2026)</t>
        </is>
      </c>
    </row>
    <row r="10">
      <c r="A10" t="inlineStr">
        <is>
          <t>SWE-bench Pro (Claude Opus 4.5)</t>
        </is>
      </c>
      <c r="B10" s="4" t="inlineStr">
        <is>
          <t>45.89%</t>
        </is>
      </c>
      <c r="C10" t="inlineStr">
        <is>
          <t>SWE-bench Pro (Jan 2026)</t>
        </is>
      </c>
    </row>
    <row r="11">
      <c r="A11" t="inlineStr">
        <is>
          <t>AI-generated code share</t>
        </is>
      </c>
      <c r="B11" s="4" t="inlineStr">
        <is>
          <t>41%</t>
        </is>
      </c>
      <c r="C11" t="inlineStr">
        <is>
          <t>GitHub / Stack Overflow (Jan 2026)</t>
        </is>
      </c>
    </row>
    <row r="12">
      <c r="A12" t="inlineStr">
        <is>
          <t>Productivity gain (real)</t>
        </is>
      </c>
      <c r="B12" s="4" t="inlineStr">
        <is>
          <t>20-30%</t>
        </is>
      </c>
      <c r="C12" t="inlineStr">
        <is>
          <t>Multiple studies, GitHub Copilot</t>
        </is>
      </c>
    </row>
    <row r="13">
      <c r="A13" t="inlineStr">
        <is>
          <t>Enterprise agentic AI adoption</t>
        </is>
      </c>
      <c r="B13" s="4" t="inlineStr">
        <is>
          <t>79%</t>
        </is>
      </c>
      <c r="C13" t="inlineStr">
        <is>
          <t>Capgemini Research (Feb 2026)</t>
        </is>
      </c>
    </row>
    <row r="14">
      <c r="A14" t="inlineStr">
        <is>
          <t>Agentic AI surge (YoY)</t>
        </is>
      </c>
      <c r="B14" s="4" t="inlineStr">
        <is>
          <t>340%</t>
        </is>
      </c>
      <c r="C14" t="inlineStr">
        <is>
          <t>Capgemini Research</t>
        </is>
      </c>
    </row>
    <row r="15">
      <c r="A15" t="inlineStr">
        <is>
          <t>Apps agentic by EOY 2026</t>
        </is>
      </c>
      <c r="B15" s="4" t="inlineStr">
        <is>
          <t>40%</t>
        </is>
      </c>
      <c r="C15" t="inlineStr">
        <is>
          <t>Capgemini forecast</t>
        </is>
      </c>
    </row>
    <row r="16">
      <c r="A16" t="inlineStr">
        <is>
          <t>EU AI Act enforcement</t>
        </is>
      </c>
      <c r="B16" s="4" t="inlineStr">
        <is>
          <t>August 2, 2026</t>
        </is>
      </c>
      <c r="C16" t="inlineStr">
        <is>
          <t>Official Journal of the EU</t>
        </is>
      </c>
    </row>
    <row r="17">
      <c r="A17" t="inlineStr">
        <is>
          <t>EU AI Act max fine</t>
        </is>
      </c>
      <c r="B17" s="4" t="inlineStr">
        <is>
          <t>7% of global turnover</t>
        </is>
      </c>
      <c r="C17" t="inlineStr">
        <is>
          <t>EU AI Act Article 99</t>
        </is>
      </c>
    </row>
    <row r="20">
      <c r="A20" s="2" t="inlineStr">
        <is>
          <t>5 EFFECTS ON GUARDSPINE MATH</t>
        </is>
      </c>
    </row>
    <row r="21">
      <c r="A21" s="1" t="inlineStr">
        <is>
          <t>Effect</t>
        </is>
      </c>
      <c r="B21" s="1" t="inlineStr">
        <is>
          <t>Baseline</t>
        </is>
      </c>
      <c r="C21" s="1" t="inlineStr">
        <is>
          <t>AI-Adjusted</t>
        </is>
      </c>
      <c r="D21" s="1" t="inlineStr">
        <is>
          <t>Mechanism</t>
        </is>
      </c>
    </row>
    <row r="22">
      <c r="A22" s="4" t="inlineStr">
        <is>
          <t>TAM Expands (artifact volume 2-5x)</t>
        </is>
      </c>
      <c r="B22" t="inlineStr">
        <is>
          <t>TAM CAGR 35-40%</t>
        </is>
      </c>
      <c r="C22" s="20" t="inlineStr">
        <is>
          <t>TAM CAGR 50-70%</t>
        </is>
      </c>
      <c r="D22" t="inlineStr">
        <is>
          <t>More AI-generated artifacts = more governance surface. 41% of code already AI-generated. PDFs, spreadsheets, images next. Each artifact needs evidence bundles. Volume scales linearly with generation.</t>
        </is>
      </c>
    </row>
    <row r="23">
      <c r="A23" s="4" t="inlineStr">
        <is>
          <t>Build Costs Collapse (lane delivery 3-4 weeks, not 2-3 months)</t>
        </is>
      </c>
      <c r="B23" t="inlineStr">
        <is>
          <t>Lane delivery: 2-3 months</t>
        </is>
      </c>
      <c r="C23" s="20" t="inlineStr">
        <is>
          <t>Lane delivery: 3-4 weeks</t>
        </is>
      </c>
      <c r="D23" t="inlineStr">
        <is>
          <t>SWE-bench 75% solve rate + week-long agent tasks = AI handles 60-80% of implementation. 2 founders + AI = 5-person team -&gt; 8-person team. Saves 2-3 months on 4-lane roadmap.</t>
        </is>
      </c>
    </row>
    <row r="24">
      <c r="A24" s="4" t="inlineStr">
        <is>
          <t>Competition Easier to Enter, Harder to Win</t>
        </is>
      </c>
      <c r="B24" t="inlineStr">
        <is>
          <t>12-18 month head start</t>
        </is>
      </c>
      <c r="C24" s="20" t="inlineStr">
        <is>
          <t>6-9 month head start (but moat deepens)</t>
        </is>
      </c>
      <c r="D24" t="inlineStr">
        <is>
          <t>Anyone can build a governance tool faster. But evidence chain pedigree, hash-linked bundles, and cognitive attestation are not code -- they are data structures and trust networks. First mover with real enterprise data wins permanently.</t>
        </is>
      </c>
    </row>
    <row r="25">
      <c r="A25" s="4" t="inlineStr">
        <is>
          <t>Customer Willingness to Pay Increases</t>
        </is>
      </c>
      <c r="B25" t="inlineStr">
        <is>
          <t>ACV $200K (mid-market), $500K (enterprise)</t>
        </is>
      </c>
      <c r="C25" s="20" t="inlineStr">
        <is>
          <t>ACV $300-500K (mid-market), $500K-1M (enterprise)</t>
        </is>
      </c>
      <c r="D25" t="inlineStr">
        <is>
          <t>EU AI Act (Aug 2026, 7% turnover fines) creates compliance buyers. 79% of orgs adopted agentic AI but governance lags. Budget shifts from 'nice to have' to 'regulatory mandate'.</t>
        </is>
      </c>
    </row>
    <row r="26">
      <c r="A26" s="4" t="inlineStr">
        <is>
          <t>Acquirer Urgency Increases</t>
        </is>
      </c>
      <c r="B26" t="inlineStr">
        <is>
          <t>Revenue multiple 15-25x</t>
        </is>
      </c>
      <c r="C26" s="20" t="inlineStr">
        <is>
          <t>Revenue multiple 20-35x</t>
        </is>
      </c>
      <c r="D26" t="inlineStr">
        <is>
          <t>EU AI Act deadline forces platform vendors to acquire governance capabilities before Aug 2026. Compressed timeline = premium multiples. Every major cloud vendor needs this; build-vs-buy tilts to buy.</t>
        </is>
      </c>
    </row>
    <row r="29">
      <c r="A29" s="2" t="inlineStr">
        <is>
          <t>AI-ADJUSTED TIMELINE</t>
        </is>
      </c>
      <c r="C29" t="inlineStr">
        <is>
          <t>Best: 12mo (was 15mo) | Realistic: 18mo (was 22mo)</t>
        </is>
      </c>
    </row>
    <row r="30">
      <c r="A30" s="1" t="inlineStr">
        <is>
          <t>Phase</t>
        </is>
      </c>
      <c r="B30" s="1" t="inlineStr">
        <is>
          <t>Baseline Months</t>
        </is>
      </c>
      <c r="C30" s="1" t="inlineStr">
        <is>
          <t>AI-Adjusted Months</t>
        </is>
      </c>
      <c r="D30" s="1" t="inlineStr">
        <is>
          <t>ARR (AI)</t>
        </is>
      </c>
      <c r="E30" s="1" t="inlineStr">
        <is>
          <t>Note</t>
        </is>
      </c>
    </row>
    <row r="31">
      <c r="A31" s="4" t="inlineStr">
        <is>
          <t>Parallel Launch</t>
        </is>
      </c>
      <c r="B31" t="inlineStr">
        <is>
          <t>0-2</t>
        </is>
      </c>
      <c r="C31" s="20" t="inlineStr">
        <is>
          <t>0-1</t>
        </is>
      </c>
      <c r="D31" s="3" t="n">
        <v>0</v>
      </c>
      <c r="E31" t="inlineStr">
        <is>
          <t>Compressed: TEAM tier ships in 1-2 weeks. Angel closing via Kristen.</t>
        </is>
      </c>
    </row>
    <row r="32">
      <c r="A32" s="4" t="inlineStr">
        <is>
          <t>First Revenue</t>
        </is>
      </c>
      <c r="B32" t="inlineStr">
        <is>
          <t>1-3</t>
        </is>
      </c>
      <c r="C32" s="20" t="inlineStr">
        <is>
          <t>1-3</t>
        </is>
      </c>
      <c r="D32" s="3" t="n">
        <v>0</v>
      </c>
      <c r="E32" t="inlineStr">
        <is>
          <t>Ishwar + Jacob already warm. AI accelerates pilot setup and demo prep.</t>
        </is>
      </c>
    </row>
    <row r="33">
      <c r="A33" s="4" t="inlineStr">
        <is>
          <t>Anchor Customers</t>
        </is>
      </c>
      <c r="B33" t="inlineStr">
        <is>
          <t>2-5</t>
        </is>
      </c>
      <c r="C33" s="20" t="inlineStr">
        <is>
          <t>2-4</t>
        </is>
      </c>
      <c r="D33" s="3" t="n">
        <v>2000000</v>
      </c>
      <c r="E33" t="inlineStr">
        <is>
          <t>Higher ACV ($300-500K) = $2M ARR from 4-5 customers.</t>
        </is>
      </c>
    </row>
    <row r="34">
      <c r="A34" s="4" t="inlineStr">
        <is>
          <t>Revenue Ramp</t>
        </is>
      </c>
      <c r="B34" t="inlineStr">
        <is>
          <t>4-9</t>
        </is>
      </c>
      <c r="C34" s="20" t="inlineStr">
        <is>
          <t>3-7</t>
        </is>
      </c>
      <c r="D34" s="3" t="n">
        <v>5000000</v>
      </c>
      <c r="E34" t="inlineStr">
        <is>
          <t>ORG tier already 85%+ built. Hit $5M ARR faster.</t>
        </is>
      </c>
    </row>
    <row r="35">
      <c r="A35" s="4" t="inlineStr">
        <is>
          <t>Acquisition Zone</t>
        </is>
      </c>
      <c r="B35" t="inlineStr">
        <is>
          <t>9-15</t>
        </is>
      </c>
      <c r="C35" s="20" t="inlineStr">
        <is>
          <t>7-12</t>
        </is>
      </c>
      <c r="D35" s="3" t="n">
        <v>12000000</v>
      </c>
      <c r="E35" t="inlineStr">
        <is>
          <t>EU AI Act deadline (Aug 2026) compresses acquirer timelines.</t>
        </is>
      </c>
    </row>
    <row r="36">
      <c r="A36" s="4" t="inlineStr">
        <is>
          <t>Close the Exit</t>
        </is>
      </c>
      <c r="B36" t="inlineStr">
        <is>
          <t>15-22</t>
        </is>
      </c>
      <c r="C36" s="20" t="inlineStr">
        <is>
          <t>12-18</t>
        </is>
      </c>
      <c r="D36" s="3" t="n">
        <v>12000000</v>
      </c>
      <c r="E36" t="inlineStr">
        <is>
          <t>$12M ARR x 25x = $300M+. $316M achievable at $9-12M ARR at 25-35x.</t>
        </is>
      </c>
    </row>
    <row r="39">
      <c r="A39" s="2" t="inlineStr">
        <is>
          <t>ARR NEEDED FOR $316M EXIT</t>
        </is>
      </c>
    </row>
    <row r="40">
      <c r="A40" s="1" t="inlineStr">
        <is>
          <t>Revenue Multiple</t>
        </is>
      </c>
      <c r="B40" s="1" t="inlineStr">
        <is>
          <t>ARR Needed</t>
        </is>
      </c>
      <c r="C40" s="1" t="inlineStr">
        <is>
          <t>Achievable?</t>
        </is>
      </c>
      <c r="D40" s="1" t="inlineStr">
        <is>
          <t>Zone</t>
        </is>
      </c>
    </row>
    <row r="41">
      <c r="A41" s="19" t="inlineStr">
        <is>
          <t>15x</t>
        </is>
      </c>
      <c r="B41" s="21" t="n">
        <v>21069958.84773662</v>
      </c>
      <c r="C41" s="19" t="inlineStr">
        <is>
          <t>Stretch</t>
        </is>
      </c>
      <c r="D41" s="19" t="inlineStr">
        <is>
          <t>RED</t>
        </is>
      </c>
    </row>
    <row r="42">
      <c r="A42" s="22" t="inlineStr">
        <is>
          <t>20x</t>
        </is>
      </c>
      <c r="B42" s="23" t="n">
        <v>15802469.13580247</v>
      </c>
      <c r="C42" s="22" t="inlineStr">
        <is>
          <t>Stretch</t>
        </is>
      </c>
      <c r="D42" s="22" t="inlineStr">
        <is>
          <t>YELLOW</t>
        </is>
      </c>
    </row>
    <row r="43">
      <c r="A43" s="22" t="inlineStr">
        <is>
          <t>25x</t>
        </is>
      </c>
      <c r="B43" s="23" t="n">
        <v>12641975.30864198</v>
      </c>
      <c r="C43" s="22" t="inlineStr">
        <is>
          <t>Yes</t>
        </is>
      </c>
      <c r="D43" s="22" t="inlineStr">
        <is>
          <t>YELLOW</t>
        </is>
      </c>
    </row>
    <row r="44">
      <c r="A44" s="18" t="inlineStr">
        <is>
          <t>30x</t>
        </is>
      </c>
      <c r="B44" s="14" t="n">
        <v>10534979.42386831</v>
      </c>
      <c r="C44" s="18" t="inlineStr">
        <is>
          <t>Yes</t>
        </is>
      </c>
      <c r="D44" s="18" t="inlineStr">
        <is>
          <t>GREEN</t>
        </is>
      </c>
    </row>
    <row r="45">
      <c r="A45" s="18" t="inlineStr">
        <is>
          <t>35x</t>
        </is>
      </c>
      <c r="B45" s="14" t="n">
        <v>9029982.363315696</v>
      </c>
      <c r="C45" s="18" t="inlineStr">
        <is>
          <t>Yes</t>
        </is>
      </c>
      <c r="D45" s="18" t="inlineStr">
        <is>
          <t>GREEN</t>
        </is>
      </c>
    </row>
    <row r="48">
      <c r="A48" s="24" t="inlineStr">
        <is>
          <t>KEY INSIGHT</t>
        </is>
      </c>
    </row>
    <row r="49">
      <c r="A49" s="4" t="inlineStr">
        <is>
          <t>At AI-adjusted multiples (25-35x), $316M exit requires only $9-12M ARR instead of $15-20M.</t>
        </is>
      </c>
    </row>
    <row r="50">
      <c r="A50" s="4" t="inlineStr">
        <is>
          <t>This compresses the timeline by 4-6 months: 12 months best case (was 15), 18 realistic (was 22).</t>
        </is>
      </c>
    </row>
    <row r="51">
      <c r="A51" s="4" t="inlineStr">
        <is>
          <t>EU AI Act (Aug 2, 2026) creates a hard deadline forcing acquirers to move. GuardSpine must be in market BEFORE this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3" t="inlineStr">
        <is>
          <t>AI-ADJUSTED PATH TO UNICORN</t>
        </is>
      </c>
      <c r="D1" t="inlineStr">
        <is>
          <t>Unicorn probability: 48% (up from 27% baseline)</t>
        </is>
      </c>
    </row>
    <row r="3">
      <c r="A3" s="25" t="inlineStr">
        <is>
          <t>Bear: BASELINE vs AI-ADJUSTED</t>
        </is>
      </c>
    </row>
    <row r="4">
      <c r="A4" s="1" t="inlineStr">
        <is>
          <t>Year</t>
        </is>
      </c>
      <c r="B4" s="1" t="inlineStr">
        <is>
          <t>Baseline ARR</t>
        </is>
      </c>
      <c r="C4" s="1" t="inlineStr">
        <is>
          <t>Baseline Acq</t>
        </is>
      </c>
      <c r="D4" s="1" t="inlineStr">
        <is>
          <t>AI ARR</t>
        </is>
      </c>
      <c r="E4" s="1" t="inlineStr">
        <is>
          <t>AI Acq</t>
        </is>
      </c>
      <c r="F4" s="1" t="inlineStr">
        <is>
          <t>AI David Post-Tax</t>
        </is>
      </c>
    </row>
    <row r="5">
      <c r="A5" t="inlineStr">
        <is>
          <t>Y1</t>
        </is>
      </c>
      <c r="B5" s="3" t="n">
        <v>285635.3105137083</v>
      </c>
      <c r="C5" s="3" t="n">
        <v>16259790.05099284</v>
      </c>
      <c r="D5" s="26" t="n">
        <v>518937.8308573354</v>
      </c>
      <c r="E5" s="26" t="n">
        <v>38402696.82801997</v>
      </c>
      <c r="F5" s="3" t="n">
        <v>12150853.29324069</v>
      </c>
    </row>
    <row r="6">
      <c r="A6" t="inlineStr">
        <is>
          <t>Y2</t>
        </is>
      </c>
      <c r="B6" s="3" t="n">
        <v>666657.8283395409</v>
      </c>
      <c r="C6" s="3" t="n">
        <v>37949496.87822837</v>
      </c>
      <c r="D6" s="26" t="n">
        <v>1488806.613784459</v>
      </c>
      <c r="E6" s="26" t="n">
        <v>102830384.0074788</v>
      </c>
      <c r="F6" s="3" t="n">
        <v>32536176.18986636</v>
      </c>
    </row>
    <row r="7">
      <c r="A7" t="inlineStr">
        <is>
          <t>Y3</t>
        </is>
      </c>
      <c r="B7" s="3" t="n">
        <v>1313776.496392779</v>
      </c>
      <c r="C7" s="3" t="n">
        <v>58167454.37779027</v>
      </c>
      <c r="D7" s="26" t="n">
        <v>3649464.875553171</v>
      </c>
      <c r="E7" s="26" t="n">
        <v>252064889.489582</v>
      </c>
      <c r="F7" s="3" t="n">
        <v>79754906.44006306</v>
      </c>
    </row>
    <row r="8">
      <c r="A8" s="22" t="inlineStr">
        <is>
          <t>Y4</t>
        </is>
      </c>
      <c r="B8" s="23" t="n">
        <v>2327321.717369113</v>
      </c>
      <c r="C8" s="23" t="n">
        <v>103042169.0365175</v>
      </c>
      <c r="D8" s="27" t="n">
        <v>8037199.69232809</v>
      </c>
      <c r="E8" s="27" t="n">
        <v>416341009.1620566</v>
      </c>
      <c r="F8" s="23" t="n">
        <v>131732897.430182</v>
      </c>
    </row>
    <row r="9">
      <c r="A9" s="22" t="inlineStr">
        <is>
          <t>Y5</t>
        </is>
      </c>
      <c r="B9" s="23" t="n">
        <v>3814055.871486608</v>
      </c>
      <c r="C9" s="23" t="n">
        <v>168867323.7100695</v>
      </c>
      <c r="D9" s="27" t="n">
        <v>16208538.19161023</v>
      </c>
      <c r="E9" s="27" t="n">
        <v>779657025.8910133</v>
      </c>
      <c r="F9" s="23" t="n">
        <v>246688355.8483284</v>
      </c>
    </row>
    <row r="10">
      <c r="A10" s="22" t="inlineStr">
        <is>
          <t>Y6</t>
        </is>
      </c>
      <c r="B10" s="23" t="n">
        <v>5874633.211289246</v>
      </c>
      <c r="C10" s="23" t="n">
        <v>195074539.0723735</v>
      </c>
      <c r="D10" s="27" t="n">
        <v>30245746.15119339</v>
      </c>
      <c r="E10" s="27" t="n">
        <v>969913026.139932</v>
      </c>
      <c r="F10" s="23" t="n">
        <v>306886543.4270878</v>
      </c>
    </row>
    <row r="11">
      <c r="A11" s="18" t="inlineStr">
        <is>
          <t>Y7</t>
        </is>
      </c>
      <c r="B11" s="14" t="n">
        <v>8565829.917433195</v>
      </c>
      <c r="C11" s="14" t="n">
        <v>227551271.7566128</v>
      </c>
      <c r="D11" s="28" t="n">
        <v>52774731.44177976</v>
      </c>
      <c r="E11" s="28" t="n">
        <v>1301820687.840102</v>
      </c>
      <c r="F11" s="14" t="n">
        <v>411904202.0119073</v>
      </c>
    </row>
    <row r="13">
      <c r="A13" s="25" t="inlineStr">
        <is>
          <t>Base: BASELINE vs AI-ADJUSTED</t>
        </is>
      </c>
    </row>
    <row r="14">
      <c r="A14" s="1" t="inlineStr">
        <is>
          <t>Year</t>
        </is>
      </c>
      <c r="B14" s="1" t="inlineStr">
        <is>
          <t>Baseline ARR</t>
        </is>
      </c>
      <c r="C14" s="1" t="inlineStr">
        <is>
          <t>Baseline Acq</t>
        </is>
      </c>
      <c r="D14" s="1" t="inlineStr">
        <is>
          <t>AI ARR</t>
        </is>
      </c>
      <c r="E14" s="1" t="inlineStr">
        <is>
          <t>AI Acq</t>
        </is>
      </c>
      <c r="F14" s="1" t="inlineStr">
        <is>
          <t>AI David Post-Tax</t>
        </is>
      </c>
    </row>
    <row r="15">
      <c r="A15" t="inlineStr">
        <is>
          <t>Y1</t>
        </is>
      </c>
      <c r="B15" s="3" t="n">
        <v>1682060.025313689</v>
      </c>
      <c r="C15" s="3" t="n">
        <v>89367849.14491633</v>
      </c>
      <c r="D15" s="26" t="n">
        <v>3213533.345039283</v>
      </c>
      <c r="E15" s="26" t="n">
        <v>230492285.9396152</v>
      </c>
      <c r="F15" s="3" t="n">
        <v>72929199.84808135</v>
      </c>
    </row>
    <row r="16">
      <c r="A16" s="22" t="inlineStr">
        <is>
          <t>Y2</t>
        </is>
      </c>
      <c r="B16" s="23" t="n">
        <v>6837079.03667414</v>
      </c>
      <c r="C16" s="23" t="n">
        <v>272440506.9138728</v>
      </c>
      <c r="D16" s="27" t="n">
        <v>17675707.89129674</v>
      </c>
      <c r="E16" s="27" t="n">
        <v>882931436.9273386</v>
      </c>
      <c r="F16" s="23" t="n">
        <v>279365024.9652907</v>
      </c>
    </row>
    <row r="17">
      <c r="A17" s="18" t="inlineStr">
        <is>
          <t>Y3</t>
        </is>
      </c>
      <c r="B17" s="14" t="n">
        <v>20080764.25344406</v>
      </c>
      <c r="C17" s="14" t="n">
        <v>594410702.6661977</v>
      </c>
      <c r="D17" s="28" t="n">
        <v>73919620.06184247</v>
      </c>
      <c r="E17" s="28" t="n">
        <v>2272252160.891007</v>
      </c>
      <c r="F17" s="14" t="n">
        <v>718954785.2819202</v>
      </c>
    </row>
    <row r="18">
      <c r="A18" s="18" t="inlineStr">
        <is>
          <t>Y4</t>
        </is>
      </c>
      <c r="B18" s="14" t="n">
        <v>48889497.80949174</v>
      </c>
      <c r="C18" s="14" t="n">
        <v>1447178024.658765</v>
      </c>
      <c r="D18" s="28" t="n">
        <v>256612631.9268703</v>
      </c>
      <c r="E18" s="28" t="n">
        <v>6310515199.292824</v>
      </c>
      <c r="F18" s="14" t="n">
        <v>1996686449.776245</v>
      </c>
    </row>
    <row r="19">
      <c r="A19" s="18" t="inlineStr">
        <is>
          <t>Y5</t>
        </is>
      </c>
      <c r="B19" s="14" t="n">
        <v>102341340.615006</v>
      </c>
      <c r="C19" s="14" t="n">
        <v>1864249860.642949</v>
      </c>
      <c r="D19" s="28" t="n">
        <v>758059816.59623</v>
      </c>
      <c r="E19" s="28" t="n">
        <v>18641903785.80785</v>
      </c>
      <c r="F19" s="14" t="n">
        <v>5898414869.728267</v>
      </c>
    </row>
    <row r="20">
      <c r="A20" s="18" t="inlineStr">
        <is>
          <t>Y6</t>
        </is>
      </c>
      <c r="B20" s="14" t="n">
        <v>188962191.8446573</v>
      </c>
      <c r="C20" s="14" t="n">
        <v>2868446072.201898</v>
      </c>
      <c r="D20" s="28" t="n">
        <v>1942929105.992624</v>
      </c>
      <c r="E20" s="28" t="n">
        <v>47779735402.92823</v>
      </c>
      <c r="F20" s="14" t="n">
        <v>15117806904.83276</v>
      </c>
    </row>
    <row r="21">
      <c r="A21" s="18" t="inlineStr">
        <is>
          <t>Y7</t>
        </is>
      </c>
      <c r="B21" s="14" t="n">
        <v>314941641.5497506</v>
      </c>
      <c r="C21" s="14" t="n">
        <v>4780814118.725214</v>
      </c>
      <c r="D21" s="28" t="n">
        <v>4401875628.135958</v>
      </c>
      <c r="E21" s="28" t="n">
        <v>108249164696.8682</v>
      </c>
      <c r="F21" s="14" t="n">
        <v>34250712267.36847</v>
      </c>
    </row>
    <row r="23">
      <c r="A23" s="25" t="inlineStr">
        <is>
          <t>Bull: BASELINE vs AI-ADJUSTED</t>
        </is>
      </c>
    </row>
    <row r="24">
      <c r="A24" s="1" t="inlineStr">
        <is>
          <t>Year</t>
        </is>
      </c>
      <c r="B24" s="1" t="inlineStr">
        <is>
          <t>Baseline ARR</t>
        </is>
      </c>
      <c r="C24" s="1" t="inlineStr">
        <is>
          <t>Baseline Acq</t>
        </is>
      </c>
      <c r="D24" s="1" t="inlineStr">
        <is>
          <t>AI ARR</t>
        </is>
      </c>
      <c r="E24" s="1" t="inlineStr">
        <is>
          <t>AI Acq</t>
        </is>
      </c>
      <c r="F24" s="1" t="inlineStr">
        <is>
          <t>AI David Post-Tax</t>
        </is>
      </c>
    </row>
    <row r="25">
      <c r="A25" s="22" t="inlineStr">
        <is>
          <t>Y1</t>
        </is>
      </c>
      <c r="B25" s="23" t="n">
        <v>7912075.336191997</v>
      </c>
      <c r="C25" s="23" t="n">
        <v>315276421.9589106</v>
      </c>
      <c r="D25" s="27" t="n">
        <v>14124990.07356327</v>
      </c>
      <c r="E25" s="27" t="n">
        <v>731699204.5432062</v>
      </c>
      <c r="F25" s="23" t="n">
        <v>231514201.4374989</v>
      </c>
    </row>
    <row r="26">
      <c r="A26" s="18" t="inlineStr">
        <is>
          <t>Y2</t>
        </is>
      </c>
      <c r="B26" s="14" t="n">
        <v>50900028.90175991</v>
      </c>
      <c r="C26" s="14" t="n">
        <v>1158993658.093073</v>
      </c>
      <c r="D26" s="28" t="n">
        <v>114114079.9995666</v>
      </c>
      <c r="E26" s="28" t="n">
        <v>2910182913.780948</v>
      </c>
      <c r="F26" s="14" t="n">
        <v>920800062.563503</v>
      </c>
    </row>
    <row r="27">
      <c r="A27" s="18" t="inlineStr">
        <is>
          <t>Y3</t>
        </is>
      </c>
      <c r="B27" s="14" t="n">
        <v>252925975.7158713</v>
      </c>
      <c r="C27" s="14" t="n">
        <v>4607299573.64031</v>
      </c>
      <c r="D27" s="28" t="n">
        <v>740308727.9524996</v>
      </c>
      <c r="E27" s="28" t="n">
        <v>18879649303.73582</v>
      </c>
      <c r="F27" s="14" t="n">
        <v>5973639037.510163</v>
      </c>
    </row>
    <row r="28">
      <c r="A28" s="18" t="inlineStr">
        <is>
          <t>Y4</t>
        </is>
      </c>
      <c r="B28" s="14" t="n">
        <v>1017231589.26552</v>
      </c>
      <c r="C28" s="14" t="n">
        <v>18529890630.06071</v>
      </c>
      <c r="D28" s="28" t="n">
        <v>3963275652.006531</v>
      </c>
      <c r="E28" s="28" t="n">
        <v>101073040987.7314</v>
      </c>
      <c r="F28" s="14" t="n">
        <v>31980141875.02438</v>
      </c>
    </row>
    <row r="29">
      <c r="A29" s="18" t="inlineStr">
        <is>
          <t>Y5</t>
        </is>
      </c>
      <c r="B29" s="14" t="n">
        <v>3402402268.629845</v>
      </c>
      <c r="C29" s="14" t="n">
        <v>61978159725.36124</v>
      </c>
      <c r="D29" s="28" t="n">
        <v>17767052410.02967</v>
      </c>
      <c r="E29" s="28" t="n">
        <v>453102477381.5405</v>
      </c>
      <c r="F29" s="14" t="n">
        <v>143364455734.0031</v>
      </c>
    </row>
    <row r="30">
      <c r="A30" s="18" t="inlineStr">
        <is>
          <t>Y6</t>
        </is>
      </c>
      <c r="B30" s="14" t="n">
        <v>9635787141.068794</v>
      </c>
      <c r="C30" s="14" t="n">
        <v>175525498561.7091</v>
      </c>
      <c r="D30" s="28" t="n">
        <v>67706223262.81441</v>
      </c>
      <c r="E30" s="28" t="n">
        <v>1726671188137.598</v>
      </c>
      <c r="F30" s="14" t="n">
        <v>546329555621.6619</v>
      </c>
    </row>
    <row r="31">
      <c r="A31" s="18" t="inlineStr">
        <is>
          <t>Y7</t>
        </is>
      </c>
      <c r="B31" s="14" t="n">
        <v>23882989408.12585</v>
      </c>
      <c r="C31" s="14" t="n">
        <v>435052535058.4204</v>
      </c>
      <c r="D31" s="28" t="n">
        <v>223546312423.3412</v>
      </c>
      <c r="E31" s="28" t="n">
        <v>5700967477945.017</v>
      </c>
      <c r="F31" s="14" t="n">
        <v>1803821741068.54</v>
      </c>
    </row>
    <row r="33">
      <c r="A33" s="2" t="inlineStr">
        <is>
          <t>MILESTONE SUMMARY</t>
        </is>
      </c>
    </row>
    <row r="34">
      <c r="A34" s="1" t="inlineStr">
        <is>
          <t>Scenario</t>
        </is>
      </c>
      <c r="B34" s="1" t="inlineStr">
        <is>
          <t>$305M Exit Year</t>
        </is>
      </c>
      <c r="C34" s="1" t="inlineStr">
        <is>
          <t>Unicorn Year</t>
        </is>
      </c>
      <c r="D34" s="1" t="inlineStr">
        <is>
          <t>David at Unicorn</t>
        </is>
      </c>
    </row>
    <row r="35">
      <c r="A35" t="inlineStr">
        <is>
          <t>Bear</t>
        </is>
      </c>
      <c r="B35" t="inlineStr">
        <is>
          <t>-</t>
        </is>
      </c>
      <c r="C35" t="inlineStr">
        <is>
          <t>-</t>
        </is>
      </c>
      <c r="D35" s="3" t="n">
        <v>0</v>
      </c>
    </row>
    <row r="36">
      <c r="A36" t="inlineStr">
        <is>
          <t>Base</t>
        </is>
      </c>
      <c r="B36" t="inlineStr">
        <is>
          <t>Year 3</t>
        </is>
      </c>
      <c r="C36" t="inlineStr">
        <is>
          <t>Year 4</t>
        </is>
      </c>
      <c r="D36" s="3" t="n">
        <v>457896171.8646873</v>
      </c>
    </row>
    <row r="37">
      <c r="A37" t="inlineStr">
        <is>
          <t>Bull</t>
        </is>
      </c>
      <c r="B37" t="inlineStr">
        <is>
          <t>Year 1</t>
        </is>
      </c>
      <c r="C37" t="inlineStr">
        <is>
          <t>Year 2</t>
        </is>
      </c>
      <c r="D37" s="3" t="n">
        <v>366712837.1310114</v>
      </c>
    </row>
    <row r="38">
      <c r="A38" t="inlineStr">
        <is>
          <t>Bear (AI)</t>
        </is>
      </c>
      <c r="B38" t="inlineStr">
        <is>
          <t>Year 4</t>
        </is>
      </c>
      <c r="C38" t="inlineStr">
        <is>
          <t>Year 7</t>
        </is>
      </c>
      <c r="D38" s="3" t="n">
        <v>411904202.0119073</v>
      </c>
    </row>
    <row r="39">
      <c r="A39" t="inlineStr">
        <is>
          <t>Base (AI)</t>
        </is>
      </c>
      <c r="B39" t="inlineStr">
        <is>
          <t>Year 2</t>
        </is>
      </c>
      <c r="C39" t="inlineStr">
        <is>
          <t>Year 3</t>
        </is>
      </c>
      <c r="D39" s="3" t="n">
        <v>718954785.2819202</v>
      </c>
    </row>
    <row r="40">
      <c r="A40" t="inlineStr">
        <is>
          <t>Bull (AI)</t>
        </is>
      </c>
      <c r="B40" t="inlineStr">
        <is>
          <t>Year 1</t>
        </is>
      </c>
      <c r="C40" t="inlineStr">
        <is>
          <t>Year 2</t>
        </is>
      </c>
      <c r="D40" s="3" t="n">
        <v>920800062.563503</v>
      </c>
    </row>
    <row r="42">
      <c r="A42" s="2" t="inlineStr">
        <is>
          <t>UNICORN PROBABILITY BUILD-UP</t>
        </is>
      </c>
    </row>
    <row r="43">
      <c r="A43" s="1" t="inlineStr">
        <is>
          <t>Stage</t>
        </is>
      </c>
      <c r="B43" s="1" t="inlineStr">
        <is>
          <t>Probability</t>
        </is>
      </c>
    </row>
    <row r="44">
      <c r="A44" t="inlineStr">
        <is>
          <t>Solo (David)</t>
        </is>
      </c>
      <c r="B44" t="inlineStr">
        <is>
          <t>5.1%</t>
        </is>
      </c>
    </row>
    <row r="45">
      <c r="A45" t="inlineStr">
        <is>
          <t>+ Igor (CTO)</t>
        </is>
      </c>
      <c r="B45" t="inlineStr">
        <is>
          <t>8.0%</t>
        </is>
      </c>
    </row>
    <row r="46">
      <c r="A46" t="inlineStr">
        <is>
          <t>+ Chris (CCO)</t>
        </is>
      </c>
      <c r="B46" t="inlineStr">
        <is>
          <t>17.5%</t>
        </is>
      </c>
    </row>
    <row r="47">
      <c r="A47" t="inlineStr">
        <is>
          <t>Post Pre-Mortem</t>
        </is>
      </c>
      <c r="B47" t="inlineStr">
        <is>
          <t>21.0%</t>
        </is>
      </c>
    </row>
    <row r="48">
      <c r="A48" s="29" t="inlineStr">
        <is>
          <t>+ Triangle Strategy</t>
        </is>
      </c>
      <c r="B48" s="29" t="inlineStr">
        <is>
          <t>27.0%</t>
        </is>
      </c>
    </row>
    <row r="49">
      <c r="A49" s="29" t="inlineStr">
        <is>
          <t>+ AI Tailwinds</t>
        </is>
      </c>
      <c r="B49" s="29" t="inlineStr">
        <is>
          <t>48.0%</t>
        </is>
      </c>
    </row>
    <row r="51">
      <c r="A51" s="25" t="inlineStr">
        <is>
          <t>AI RISK ADJUSTMENTS</t>
        </is>
      </c>
    </row>
    <row r="52">
      <c r="A52" t="inlineStr">
        <is>
          <t>Technical Execution</t>
        </is>
      </c>
      <c r="B52" s="29" t="inlineStr">
        <is>
          <t>-2pp</t>
        </is>
      </c>
    </row>
    <row r="53">
      <c r="A53" t="inlineStr">
        <is>
          <t>Product-Market Fit</t>
        </is>
      </c>
      <c r="B53" s="29" t="inlineStr">
        <is>
          <t>-3pp</t>
        </is>
      </c>
    </row>
    <row r="54">
      <c r="A54" t="inlineStr">
        <is>
          <t>GTM / Sales</t>
        </is>
      </c>
      <c r="B54" s="29" t="inlineStr">
        <is>
          <t>-2pp</t>
        </is>
      </c>
    </row>
    <row r="55">
      <c r="A55" t="inlineStr">
        <is>
          <t>Competitive Moat</t>
        </is>
      </c>
      <c r="B55" s="17" t="inlineStr">
        <is>
          <t>+3pp</t>
        </is>
      </c>
    </row>
    <row r="56">
      <c r="A56" t="inlineStr">
        <is>
          <t>Capital Access</t>
        </is>
      </c>
      <c r="B56" s="29" t="inlineStr">
        <is>
          <t>-1pp</t>
        </is>
      </c>
    </row>
    <row r="57">
      <c r="A57" t="inlineStr">
        <is>
          <t>Scaling</t>
        </is>
      </c>
      <c r="B57" s="29" t="inlineStr">
        <is>
          <t>-2pp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2026-02-14T02:52:08Z</dcterms:created>
  <dcterms:modified xmlns:dcterms="http://purl.org/dc/terms/" xmlns:xsi="http://www.w3.org/2001/XMLSchema-instance" xsi:type="dcterms:W3CDTF">2026-02-14T02:52:08Z</dcterms:modified>
</cp:coreProperties>
</file>